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rices" sheetId="1" r:id="rId5"/>
    <sheet state="visible" name="SM2 2026" sheetId="2" r:id="rId6"/>
    <sheet state="visible" name="RoadCraft 2026" sheetId="3" r:id="rId7"/>
    <sheet state="visible" name="Toxic Commando 2026" sheetId="4" r:id="rId8"/>
    <sheet state="visible" name="Snow 2026" sheetId="5" r:id="rId9"/>
    <sheet state="visible" name="Expe 2026" sheetId="6" r:id="rId10"/>
    <sheet state="visible" name="ISS 2026" sheetId="7" r:id="rId11"/>
    <sheet state="visible" name="SM2 2025" sheetId="8" r:id="rId12"/>
    <sheet state="visible" name="RoadCraft 2025" sheetId="9" r:id="rId13"/>
    <sheet state="visible" name="Snow 2025" sheetId="10" r:id="rId14"/>
    <sheet state="visible" name="Expe 2025" sheetId="11" r:id="rId15"/>
    <sheet state="visible" name="ISS 2025" sheetId="12" r:id="rId16"/>
    <sheet state="visible" name="ISS 2024" sheetId="13" r:id="rId17"/>
    <sheet state="visible" name="Snow 2024" sheetId="14" r:id="rId18"/>
    <sheet state="visible" name="Expeditions 2024" sheetId="15" r:id="rId19"/>
    <sheet state="visible" name="ISS 2023" sheetId="16" r:id="rId20"/>
    <sheet state="visible" name="Snow 2023" sheetId="17" r:id="rId21"/>
  </sheets>
  <definedNames/>
  <calcPr/>
</workbook>
</file>

<file path=xl/sharedStrings.xml><?xml version="1.0" encoding="utf-8"?>
<sst xmlns="http://schemas.openxmlformats.org/spreadsheetml/2006/main" count="15532" uniqueCount="735">
  <si>
    <t>Insurgency: Sandstorm</t>
  </si>
  <si>
    <t>Insurgency: Sandstorm - Gold Edition</t>
  </si>
  <si>
    <t>Start Date</t>
  </si>
  <si>
    <t>Insurgency: Sandstorm - Y1 and Y2 Passes</t>
  </si>
  <si>
    <t>-</t>
  </si>
  <si>
    <t>Insurgency: Sandstorm - Deluxe Edition</t>
  </si>
  <si>
    <t>End Date</t>
  </si>
  <si>
    <t>Program</t>
  </si>
  <si>
    <t>Content Name</t>
  </si>
  <si>
    <t>Current SRP ($USD)</t>
  </si>
  <si>
    <t>Promo SRP ($USD)</t>
  </si>
  <si>
    <t>Discount %</t>
  </si>
  <si>
    <t>Insurgency: Sandstorm - Ultimate Edition</t>
  </si>
  <si>
    <t>Insurgency: Sandstorm - Year Pass 1 + 2</t>
  </si>
  <si>
    <t>STEAM</t>
  </si>
  <si>
    <t>Insurgency: Sandstorm - Year Pass 1 + 2 + 3</t>
  </si>
  <si>
    <t>Insurgency: Sandstorm - Year Pass 3</t>
  </si>
  <si>
    <t>SnowRunner - 1-Year Anniversary Edition</t>
  </si>
  <si>
    <t>SnowRunner - Year 1 Pass</t>
  </si>
  <si>
    <t>SnowRunner - 2-Year Anniversary Edition</t>
  </si>
  <si>
    <t>SnowRunner - 4-Year Anniversary Edition</t>
  </si>
  <si>
    <t>SnowRunner - 2-Year Anniversary Edition Upgrade</t>
  </si>
  <si>
    <t>SnowRunner - 3-Year Anniversary Edition Upgrade</t>
  </si>
  <si>
    <t>SnowRunner - 4-Year Anniversary Edition Upgrade</t>
  </si>
  <si>
    <t>SnowRunner</t>
  </si>
  <si>
    <t>SnowRunner - 3-Year Anniversary Edition</t>
  </si>
  <si>
    <t>SnowRunner - DLCs</t>
  </si>
  <si>
    <t>Custom Sales</t>
  </si>
  <si>
    <t>SnowRunner - Seasons 1 to 12</t>
  </si>
  <si>
    <t>SnowRunner - Season 13</t>
  </si>
  <si>
    <t>SnowRunner - Seasons 14</t>
  </si>
  <si>
    <t>Roadcraft</t>
  </si>
  <si>
    <t>SnowRunner - Year 2 Pass</t>
  </si>
  <si>
    <t>Base Game</t>
  </si>
  <si>
    <t>SnowRunner - Year 3 Pass</t>
  </si>
  <si>
    <t>Expeditions Base Game</t>
  </si>
  <si>
    <t>Expeditions Supreme Edition</t>
  </si>
  <si>
    <t>Expeditions Year 1 Edition</t>
  </si>
  <si>
    <t>Warhammer 40,000 : Space Marine 2</t>
  </si>
  <si>
    <t>Warhammer 40,000: Space Marine 2 - Ultra Edition</t>
  </si>
  <si>
    <t>Warhammer 40,000 : Space Marine 2 - Gold Edition</t>
  </si>
  <si>
    <t>Warhammer 40,000: Space Marine 2 - Gold Edition</t>
  </si>
  <si>
    <t>Warhammer 40,000: Space Marine 2 - DLCs</t>
  </si>
  <si>
    <t>Warhammer 40,000: Space Marine 2 - Season Pass</t>
  </si>
  <si>
    <t>Warhammer 40,000: Space Marine 2</t>
  </si>
  <si>
    <t xml:space="preserve">STEAM </t>
  </si>
  <si>
    <t>RoadCraft – Rebuild Edition</t>
  </si>
  <si>
    <t>Blood Edition</t>
  </si>
  <si>
    <t>RoadCraft – Rebuild Expansion</t>
  </si>
  <si>
    <t>Bloody Pass</t>
  </si>
  <si>
    <t>DLCs</t>
  </si>
  <si>
    <t>tbc</t>
  </si>
  <si>
    <t xml:space="preserve">Warhammer 40,000: Space Marine 2 1 Year Anniversary </t>
  </si>
  <si>
    <t>Warhammer 40,000: Space Marine 2 Ultra Edition</t>
  </si>
  <si>
    <t>Spring Sales</t>
  </si>
  <si>
    <t xml:space="preserve">Warhammer 40,000: Space Marine 2 2 Year Anniversary </t>
  </si>
  <si>
    <t>Summer Sales</t>
  </si>
  <si>
    <t>Warhammer 40,000: Space Marine 2 - DLC 1,3</t>
  </si>
  <si>
    <t>Warhammer 40,000: Space Marine 2 - OST</t>
  </si>
  <si>
    <t>Warhammer 40,000: Space Marine 2 - Artbook</t>
  </si>
  <si>
    <t>Warhammer 40,000: Space Marine 2 - DLC 4 (Dark Angels)</t>
  </si>
  <si>
    <t>Warhammer 40,000: Space Marine 2 - DLC 8 (Salamanders)</t>
  </si>
  <si>
    <t>1 Year Anniversary Edition</t>
  </si>
  <si>
    <t>Warhammer 40,000: Space Marine 2 - DLC 7 (Raven Guard)</t>
  </si>
  <si>
    <t>Year 1 Pass</t>
  </si>
  <si>
    <t>Warhammer 40,000: Space Marine 2 - DLC 5 (Space Wolves)</t>
  </si>
  <si>
    <t>Warhammer 40,000: Space Marine 2 - DLC 10 (Imperial Fist)</t>
  </si>
  <si>
    <t>Warhammer 40,000: Space Marine 2 - DLC 6 (White Scarf)</t>
  </si>
  <si>
    <t>RoadCraft – Reclaim Expansion</t>
  </si>
  <si>
    <t>Warhammer 40,000: Space Marine 2 - DLC 11 (Blodd Angels)</t>
  </si>
  <si>
    <t>Warhammer 40,000: Space Marine 2 - DLC 14 (Salamanders)</t>
  </si>
  <si>
    <t>Warhammer 40,000: Space Marine 2 - DLC 15 (Blood Angels champion)</t>
  </si>
  <si>
    <t>Publisher Sales</t>
  </si>
  <si>
    <t>Release</t>
  </si>
  <si>
    <t>Warhammer 40,000: Space Marine 2 - Season Pass 2</t>
  </si>
  <si>
    <t>Autumn Sales</t>
  </si>
  <si>
    <t xml:space="preserve">SnowRunner - 1  year anniversary </t>
  </si>
  <si>
    <t xml:space="preserve">SnowRunner - 2  year anniversary </t>
  </si>
  <si>
    <t>MICROSOFT</t>
  </si>
  <si>
    <t xml:space="preserve">SnowRunner - 3  year anniversary </t>
  </si>
  <si>
    <t xml:space="preserve">SnowRunner - 4  year anniversary </t>
  </si>
  <si>
    <t xml:space="preserve">SnowRunner - 5  year anniversary </t>
  </si>
  <si>
    <t>Snowrunner all seasons except before 12</t>
  </si>
  <si>
    <t>Season 12</t>
  </si>
  <si>
    <t>Season 13</t>
  </si>
  <si>
    <t>Season 14</t>
  </si>
  <si>
    <t>Game Pass UGS Teaser Sale</t>
  </si>
  <si>
    <t>John Carpenter's Toxic Commando</t>
  </si>
  <si>
    <t>$39,99</t>
  </si>
  <si>
    <t>$29,99</t>
  </si>
  <si>
    <t>Ultimate Games Sale (UGS)</t>
  </si>
  <si>
    <t>Season 15</t>
  </si>
  <si>
    <t>Deals With Game Pass Ultimate and Core</t>
  </si>
  <si>
    <t>Season 16</t>
  </si>
  <si>
    <t>John Carpenter's Toxic Commando - Blood Edition</t>
  </si>
  <si>
    <t>$49,99</t>
  </si>
  <si>
    <t>$34,99</t>
  </si>
  <si>
    <t>Snowrunner all Vehicules</t>
  </si>
  <si>
    <t>Publisher Spotlight Series</t>
  </si>
  <si>
    <t>SnowRunner Year 1 Pass</t>
  </si>
  <si>
    <t>SnowRunner Year 2 Pass</t>
  </si>
  <si>
    <t>Shocktober Sale</t>
  </si>
  <si>
    <t>SnowRunner Year 3 Pass</t>
  </si>
  <si>
    <t>Black Friday Sale</t>
  </si>
  <si>
    <t>SnowRunner Year 4 Pass</t>
  </si>
  <si>
    <t>SnowRunner Year 5 Pass</t>
  </si>
  <si>
    <t>Countdown Sale</t>
  </si>
  <si>
    <t>SONY</t>
  </si>
  <si>
    <t>TBC</t>
  </si>
  <si>
    <t>Warhammer 40,000: Space Marine 2 - DLC 17 (Carcharodons cosmectic)</t>
  </si>
  <si>
    <t>Warhammer 40,000: Space Marine 2 - DLC 16 (Raven guards)</t>
  </si>
  <si>
    <t>Deals with Game Pass</t>
  </si>
  <si>
    <t>$32,49</t>
  </si>
  <si>
    <t>Summer Sale Part 1</t>
  </si>
  <si>
    <t>Publisher Dedicated Sale</t>
  </si>
  <si>
    <t>$27,99</t>
  </si>
  <si>
    <t>Best Rated Sale</t>
  </si>
  <si>
    <t>RoadCraft - Rebuild Edition</t>
  </si>
  <si>
    <t>Summer Sale Part 2</t>
  </si>
  <si>
    <t>Game Pass Spring Sale Review</t>
  </si>
  <si>
    <t>$25,99</t>
  </si>
  <si>
    <t>Gamescom</t>
  </si>
  <si>
    <t>Spring Sale</t>
  </si>
  <si>
    <t>Tokyo Game Show</t>
  </si>
  <si>
    <t>RoadCraft – 1-Year Anniversary Edition</t>
  </si>
  <si>
    <t>Deals Unlocked Sale</t>
  </si>
  <si>
    <t>Deals Unlocked Add-on Sale</t>
  </si>
  <si>
    <t>RoadCraft – Aramatsu Bowhead 20T</t>
  </si>
  <si>
    <t>$3,99</t>
  </si>
  <si>
    <t>$3,19</t>
  </si>
  <si>
    <t>$14,99</t>
  </si>
  <si>
    <t>$11,99</t>
  </si>
  <si>
    <t>$59,99</t>
  </si>
  <si>
    <t>$44,99</t>
  </si>
  <si>
    <t>$23,99</t>
  </si>
  <si>
    <t>UGS Add-on Sale</t>
  </si>
  <si>
    <t>Skulls 2026</t>
  </si>
  <si>
    <t>$20,00</t>
  </si>
  <si>
    <t>Black Friday Add-on Sale</t>
  </si>
  <si>
    <t>Holiday-Jan Sale - Part 1</t>
  </si>
  <si>
    <t>RoadCraft</t>
  </si>
  <si>
    <t>Season 17</t>
  </si>
  <si>
    <t>Holiday-Jan Sale - Part 2</t>
  </si>
  <si>
    <t>LNY/Critic's Choice</t>
  </si>
  <si>
    <t>Dealmania</t>
  </si>
  <si>
    <t>Spring Sale - PS+ EA</t>
  </si>
  <si>
    <t>Spring Sale - Part 1</t>
  </si>
  <si>
    <t>Spring Sale - Part 2</t>
  </si>
  <si>
    <t>Next Level Savings</t>
  </si>
  <si>
    <t>RoadCraft - Reclaim Expansion</t>
  </si>
  <si>
    <t>RoadCraft - Rebuild Expansion</t>
  </si>
  <si>
    <t>Days of Play</t>
  </si>
  <si>
    <t>RoadCraft - 1-Year Anniversary Edition</t>
  </si>
  <si>
    <t>RoadCraft - Year 1 Pass</t>
  </si>
  <si>
    <t>Snowrunner all seasons except before 15</t>
  </si>
  <si>
    <t>Warhammer 40,000: Space Marine 2 - DLC 18 (Iron Hands)</t>
  </si>
  <si>
    <t>Snowrunner Seasons 1 to 4 (TEST)</t>
  </si>
  <si>
    <t>Snowrunner all seasons before 15</t>
  </si>
  <si>
    <t>Feb</t>
  </si>
  <si>
    <t>May</t>
  </si>
  <si>
    <t>Warhammer 40,000: Space Marine 2 - DLC 19 (Champion Pack 2)</t>
  </si>
  <si>
    <t>July</t>
  </si>
  <si>
    <t>Warhammer 40,000: Space Marine 2 - DLC 20 (Raptors cosmoetic pack)</t>
  </si>
  <si>
    <t>Season 18</t>
  </si>
  <si>
    <t>Countdown Add-on Sale</t>
  </si>
  <si>
    <t>$31,99</t>
  </si>
  <si>
    <t>Warhammer 40,000: Space Marine 2 - Ultramarines Cosmetic Pack</t>
  </si>
  <si>
    <t>$4,99</t>
  </si>
  <si>
    <t>Warhammer 40,000: Space Marine 2 - Dark Angels Chapter Pack</t>
  </si>
  <si>
    <t>$9,99</t>
  </si>
  <si>
    <t>$7,99</t>
  </si>
  <si>
    <t>Warhammer 40,000: Space Marine 2 - Raven Guard Cosmetic Pack</t>
  </si>
  <si>
    <t>Warhammer 40,000: Space Marine 2 - Salamanders Champion Pack</t>
  </si>
  <si>
    <t>$6,39</t>
  </si>
  <si>
    <t>Warhammer 40,000: Space Marine 2 - Imperial Fists Champion Pack</t>
  </si>
  <si>
    <t>Warhammer 40,000: Space Marine 2 - Blood Angels Cosmetic Pack</t>
  </si>
  <si>
    <t>Warhammer 40,000: Space Marine 2 - Space Wolves Chapter Pack</t>
  </si>
  <si>
    <t>Warhammer 40,000: Space Marine 2 - White Scars Chapter Pack</t>
  </si>
  <si>
    <t>Warhammer 40,000: Space Marine 2 Year 1 + Year 2 Pass</t>
  </si>
  <si>
    <t>$69,99</t>
  </si>
  <si>
    <t>$59,49</t>
  </si>
  <si>
    <t>Game Pass Last Chance Sale</t>
  </si>
  <si>
    <t>Warhammer 40,000: Space Marine 2 - 1 Year Anniversary Edition</t>
  </si>
  <si>
    <t>$99,99</t>
  </si>
  <si>
    <t>$40,00</t>
  </si>
  <si>
    <t>$28,00</t>
  </si>
  <si>
    <t>Co-op &amp; Chill Sale</t>
  </si>
  <si>
    <t>Warhammer 40,000: Space Marine 2 - 2 Year Anniversary Edition</t>
  </si>
  <si>
    <t>$129,99</t>
  </si>
  <si>
    <t>$77,99</t>
  </si>
  <si>
    <t>Lunar New Year Sale</t>
  </si>
  <si>
    <t>Opportunistic</t>
  </si>
  <si>
    <t>Warhammer 40,000: Space Marine 2 - DLC 7 - Raven Guard Cosmetic Pack</t>
  </si>
  <si>
    <t>Warhammer 40,000: Space Marine 2 - DLC 8 - Salamanders Champion Pack</t>
  </si>
  <si>
    <t>Warhammer 40,000: Space Marine 2 - DLC 13 - Imperial Fists Cosmetic Pack</t>
  </si>
  <si>
    <t>SnowRunner - Season 1: Search &amp; Recover</t>
  </si>
  <si>
    <t>$6,99</t>
  </si>
  <si>
    <t>Warhammer 40,000: Space Marine 2 - DLC 11 - Blood Angel Cosmetic Pack</t>
  </si>
  <si>
    <t>$4,54</t>
  </si>
  <si>
    <t>Warhammer 40,000: Space Marine 2 - DLC 5 - Space Wolves Chapter Pack</t>
  </si>
  <si>
    <t>Warhammer 40,000: Space Marine 2 - DLC 6 - White Scars Chapter Pack</t>
  </si>
  <si>
    <t>SnowRunner - Season 2: Explore &amp; Expand</t>
  </si>
  <si>
    <t>Warhammer 40,000: Space Marine 2 - Year 1 + Year 2 Pass</t>
  </si>
  <si>
    <t>SnowRunner - Season 3: Locate &amp; Deliver</t>
  </si>
  <si>
    <t>Warhammer 40,000: Space Marine 2 - 2-Year Anniversary Edition</t>
  </si>
  <si>
    <t>SnowRunner - Season 4: New Frontiers</t>
  </si>
  <si>
    <t>$24,50</t>
  </si>
  <si>
    <t>$7,79</t>
  </si>
  <si>
    <t>Warhammer 40,000: Space Marine 2 - 1-Year Anniversary Edition</t>
  </si>
  <si>
    <t>SnowRunner - Season 5: Build &amp; Dispatch</t>
  </si>
  <si>
    <t>SnowRunner - Season 6 : Haul &amp; Hustle</t>
  </si>
  <si>
    <t>SnowRunner - Season 7 : Compete and Conquer</t>
  </si>
  <si>
    <t>Expeditions Year 1 pass</t>
  </si>
  <si>
    <t>Spring Add-on Sale</t>
  </si>
  <si>
    <t>SnowRunner - Season 8 : Grand Harvest</t>
  </si>
  <si>
    <t>$3,74</t>
  </si>
  <si>
    <t xml:space="preserve">Expeditions Pioneer pack </t>
  </si>
  <si>
    <t>SnowRunner - Season 9 : Renew &amp; Rebuild</t>
  </si>
  <si>
    <t>$7,49</t>
  </si>
  <si>
    <t>Expeditions the Great Don 71</t>
  </si>
  <si>
    <t>SnowRunner - Season 10 : Fix &amp; Connect</t>
  </si>
  <si>
    <t>SnowRunner - Season 11: Lights &amp; Cameras</t>
  </si>
  <si>
    <t xml:space="preserve">Expeditions cotto canyon </t>
  </si>
  <si>
    <t>$5,99</t>
  </si>
  <si>
    <t>SnowRunner - Season 12: Public Energy</t>
  </si>
  <si>
    <t>$8,39</t>
  </si>
  <si>
    <t>SnowRunner - Season 13: Dig &amp; Drill</t>
  </si>
  <si>
    <t>Saison 1</t>
  </si>
  <si>
    <t>$4,89</t>
  </si>
  <si>
    <t>SnowRunner - Season 14: Reap &amp; Sow</t>
  </si>
  <si>
    <t>$5,24</t>
  </si>
  <si>
    <t>Saison 2</t>
  </si>
  <si>
    <t>Saison 3</t>
  </si>
  <si>
    <t>Discover New Worlds B1G1</t>
  </si>
  <si>
    <t>$65,00</t>
  </si>
  <si>
    <t>Saison 4</t>
  </si>
  <si>
    <t>Warhammer Skulls Sale</t>
  </si>
  <si>
    <t>$35,00</t>
  </si>
  <si>
    <t>$55,99</t>
  </si>
  <si>
    <t>Insurgency Sandstorm</t>
  </si>
  <si>
    <t>$12,00</t>
  </si>
  <si>
    <t>$8,40</t>
  </si>
  <si>
    <t>$5,59</t>
  </si>
  <si>
    <t>Warhammer 40,000: Space Marine 2 - Black Templars Champion Pack</t>
  </si>
  <si>
    <t>$24,99</t>
  </si>
  <si>
    <t>$16,24</t>
  </si>
  <si>
    <t>Warhammer 40,000: Space Marine 2 - Blood Angels Champion Pack</t>
  </si>
  <si>
    <t>Warhammer 40,000: Space Marine 2 - Ultramarines Champion Pack</t>
  </si>
  <si>
    <t xml:space="preserve">Insurgency Sandstorm 1 Year Anniversary </t>
  </si>
  <si>
    <t>Warhammer 40,000: Space Marine 2 - Macragge’s Chosen DLC</t>
  </si>
  <si>
    <t>$16,74</t>
  </si>
  <si>
    <t>SnowRunner – Year 4 Pass</t>
  </si>
  <si>
    <t>$19,99</t>
  </si>
  <si>
    <t>Insurgency Sandstorm Gold Edition</t>
  </si>
  <si>
    <t>$17,49</t>
  </si>
  <si>
    <t>Warhammer 40,000: Space Marine 2 - Salamanders Cosmetic Pack</t>
  </si>
  <si>
    <t>Warhammer 40,000: Space Marine 2 - Carcharodons Cosmetic Pack</t>
  </si>
  <si>
    <t>Insurgency Sandstorm Ultimate Edition</t>
  </si>
  <si>
    <t>Game Pass Franchise Hits Sale</t>
  </si>
  <si>
    <t xml:space="preserve">Insurgency Sandstorm 4 Year Anniversary </t>
  </si>
  <si>
    <t>Insurgency Sandstorm Year Pass 1</t>
  </si>
  <si>
    <t>SnowRunner - Year 1 Pass + Year 2 Pass</t>
  </si>
  <si>
    <t>$26,79</t>
  </si>
  <si>
    <t>$30,00</t>
  </si>
  <si>
    <t>$52,49</t>
  </si>
  <si>
    <t>SnowRunner - Year 1 Pass + Year 2 Pass + Year 3 Pass</t>
  </si>
  <si>
    <t>Insurgency Sandstorm Year Pass 2</t>
  </si>
  <si>
    <t>$40,19</t>
  </si>
  <si>
    <t>SnowRunner - Year 1 Pass + Year 2 Pass + Year 3 Pass + Year 4 Pass</t>
  </si>
  <si>
    <t>$79,99</t>
  </si>
  <si>
    <t>$58,50</t>
  </si>
  <si>
    <t>Insurgency Sandstorm Year Pass 3</t>
  </si>
  <si>
    <t>Insurgency Sandstorm Year Pass 4</t>
  </si>
  <si>
    <t>$63,99</t>
  </si>
  <si>
    <t>Insurgency Sandstorm Year Pass 1 + 2</t>
  </si>
  <si>
    <t>SnowRunner - Year 1 Pass + Year 2 Pass + Year 3 Pass + Year 4 Pass + Year 5 Pass</t>
  </si>
  <si>
    <t>$74,99</t>
  </si>
  <si>
    <t>Insurgency Sandstorm Year Pass 1 + 2+3+4</t>
  </si>
  <si>
    <t>Warhammer 40,000: Space Marine 2 - DLC 12 - Black Templars Champion Pack</t>
  </si>
  <si>
    <t>Warhammer 40,000: Space Marine 2 - DLC 2 - Ultramarines Champion Pack</t>
  </si>
  <si>
    <t>$16,00</t>
  </si>
  <si>
    <t>$15,00</t>
  </si>
  <si>
    <t>SnowRunner – 5-Year Anniversary Edition</t>
  </si>
  <si>
    <t>$90,99</t>
  </si>
  <si>
    <t>$123,99</t>
  </si>
  <si>
    <t>$86,79</t>
  </si>
  <si>
    <t>$4,19</t>
  </si>
  <si>
    <t>Warhammer 40,000: Space Marine 2 - Raven Guard Champion Pack</t>
  </si>
  <si>
    <t>$7,19</t>
  </si>
  <si>
    <t>$21,00</t>
  </si>
  <si>
    <t>Gamescom Sale</t>
  </si>
  <si>
    <t>SnowRunner - Season 6: Haul &amp; Hustle</t>
  </si>
  <si>
    <t>SnowRunner - Season 7: Compete &amp; Conquer</t>
  </si>
  <si>
    <t>SnowRunner - Season 8: Grand Harvest</t>
  </si>
  <si>
    <t>Add-on Sale</t>
  </si>
  <si>
    <t>SnowRunner - Season 9: Renew &amp; Rebuild</t>
  </si>
  <si>
    <t>SnowRunner - Season 10: Fix &amp; Connect</t>
  </si>
  <si>
    <t>$52,00</t>
  </si>
  <si>
    <t>Game Pass Add-on Sale</t>
  </si>
  <si>
    <t>Warhammer 40,000: Space Marine 2 - DLC 17 - Charcarodons Cosmetic Pack</t>
  </si>
  <si>
    <t>Warhammer 40,000: Space Marine 2 - DLC 10 - Imperial Fists Champion Pack</t>
  </si>
  <si>
    <t>Warhammer 40,000: Space Marine 2 - DLC 16 - Raven Guard Champion Pack</t>
  </si>
  <si>
    <t>Warhammer 40,000: Space Marine 2 - DLC 15 - Salamanders Cosmetic Pack</t>
  </si>
  <si>
    <t>$7,80</t>
  </si>
  <si>
    <t>$17,50</t>
  </si>
  <si>
    <t>$25,00</t>
  </si>
  <si>
    <t>Warhammer 40,000: Space Marine 2 - DLC 14 - Blood Angels Champion Pack</t>
  </si>
  <si>
    <t>SnowRunner - Year 4 Pass</t>
  </si>
  <si>
    <t>$35,99</t>
  </si>
  <si>
    <t>$53,59</t>
  </si>
  <si>
    <t>The Game Awards Sale</t>
  </si>
  <si>
    <t>$66,99</t>
  </si>
  <si>
    <t>SnowRunner - 5-Year Anniversary Edition</t>
  </si>
  <si>
    <t>$84,49</t>
  </si>
  <si>
    <t>$80,59</t>
  </si>
  <si>
    <t>$14,00</t>
  </si>
  <si>
    <t>Holiday Sale - Part 1</t>
  </si>
  <si>
    <t>Holiday Sale - Part 2</t>
  </si>
  <si>
    <t>Expeditions: A MudRunner game - Season 1: Cave Odyssey</t>
  </si>
  <si>
    <t>Expeditions: A MudRunner Game - Season 2: White Dawn</t>
  </si>
  <si>
    <t>Expeditions: A MudRunner Game - Season 3: Icy Shores</t>
  </si>
  <si>
    <t>Expeditions: A MudRunner Game - Supreme Edition</t>
  </si>
  <si>
    <t>Expeditions: A MudRunner Game</t>
  </si>
  <si>
    <t>$32,00</t>
  </si>
  <si>
    <t>SnowRunner - Jack of all Treads Tire Pack</t>
  </si>
  <si>
    <t>$2,99</t>
  </si>
  <si>
    <t>$2,39</t>
  </si>
  <si>
    <t>SnowRunner - Freightliner &amp; Western Star Dual Pack</t>
  </si>
  <si>
    <t>$4,79</t>
  </si>
  <si>
    <t>SnowRunner - The Mastodon</t>
  </si>
  <si>
    <t>SnowRunner - Kenworth Dual Pack</t>
  </si>
  <si>
    <t>SnowRunner - Jeep Dual Pack</t>
  </si>
  <si>
    <t>SnowRunner - Clasico Pack</t>
  </si>
  <si>
    <t>Custom (Skulls)</t>
  </si>
  <si>
    <t>SnowRunner - Mack Dual Pack</t>
  </si>
  <si>
    <t>SnowRunner - Kenworth W990</t>
  </si>
  <si>
    <t>SnowRunner - Western Star Wolf Pack</t>
  </si>
  <si>
    <t>SnowRunner - Navistar 5000 MV Tractor</t>
  </si>
  <si>
    <t>$1,99</t>
  </si>
  <si>
    <t>$1,59</t>
  </si>
  <si>
    <t>SnowRunner - High Roller Pack</t>
  </si>
  <si>
    <t>SnowRunner - Rezvani Tank</t>
  </si>
  <si>
    <t>SnowRunner - Rezvani Hercules</t>
  </si>
  <si>
    <t>SnowRunner - Crocodile Pack</t>
  </si>
  <si>
    <t>SnowRunner - GMC Brigadier DLC</t>
  </si>
  <si>
    <t>SnowRunner – Western Star 49X</t>
  </si>
  <si>
    <t>SnowRunner – The Atom</t>
  </si>
  <si>
    <t>SnowRunner - Land Rover Dual Pack</t>
  </si>
  <si>
    <t>SnowRunner - TATRA Dual Pack</t>
  </si>
  <si>
    <t>Simulator Sale</t>
  </si>
  <si>
    <t>SnowRunner - Save the Day Vinyl Wrap Pack</t>
  </si>
  <si>
    <t>SnowRunner – Salt of the Earth Vinyl Wrap Pack</t>
  </si>
  <si>
    <t>Expeditions: A MudRunner Game - Year 1 Edition</t>
  </si>
  <si>
    <t>SnowRunner - Burning Bright Vinyl Wrap Pack</t>
  </si>
  <si>
    <t>Expeditions: A MudRunner Game - Year 1 Edition (Windows)</t>
  </si>
  <si>
    <t>$24,00</t>
  </si>
  <si>
    <t>Expeditions: A MudRunner Game - Year 1 Pass</t>
  </si>
  <si>
    <t>Mid-Year Deals</t>
  </si>
  <si>
    <t>$19,49</t>
  </si>
  <si>
    <t>Expeditions: A MudRunner Game - Year 1 Pass (Windows)</t>
  </si>
  <si>
    <t>Expeditions: A MudRunner Game - Cotco Canyon</t>
  </si>
  <si>
    <t>$2,24</t>
  </si>
  <si>
    <t>Expeditions: A MudRunner Game - Cotco Canyon (Windows)</t>
  </si>
  <si>
    <t>Expeditions: A MudRunner Game - Ford Dual Pack</t>
  </si>
  <si>
    <t>$4,49</t>
  </si>
  <si>
    <t>Expeditions: A MudRunner Game - Ford Dual Pack (Windows)</t>
  </si>
  <si>
    <t>Expeditions: A MudRunner Game - Pioneer Pack</t>
  </si>
  <si>
    <t>$8,99</t>
  </si>
  <si>
    <t>Expeditions: A MudRunner Game - Pioneer Pack (Windows)</t>
  </si>
  <si>
    <t>Expeditions: A MudRunner Game - The Great Don 71 Paint-job</t>
  </si>
  <si>
    <t>Expeditions: A MudRunner Game - The Great Don 71 Paint-job (Windows)</t>
  </si>
  <si>
    <t>Expeditions: A MudRunner Game - Season 4: Amber Dusk</t>
  </si>
  <si>
    <t>$9,59</t>
  </si>
  <si>
    <t>Expeditions: A MudRunner Game - Season 4: Amber Dusk (Windows)</t>
  </si>
  <si>
    <t>Seasonal Savings Sale</t>
  </si>
  <si>
    <t>SnowRunner - Season 15: Oil &amp; Dirt</t>
  </si>
  <si>
    <t>SnowRunner – Season 16: High Voltage</t>
  </si>
  <si>
    <t>Insurgency: Sandstorm - Year 1+2 Bundle</t>
  </si>
  <si>
    <t>$22,50</t>
  </si>
  <si>
    <t>Insurgency: Sandstorm - Year 1 Pass</t>
  </si>
  <si>
    <t>$12,50</t>
  </si>
  <si>
    <t>Insurgency: Sandstorm - Year 2 Pass</t>
  </si>
  <si>
    <t>Insurgency: Sandstorm - Year 3 Pass</t>
  </si>
  <si>
    <t>$24,49</t>
  </si>
  <si>
    <t>Insurgency Sandstorm Deluxe Edition</t>
  </si>
  <si>
    <t>Insurgency: Sandstorm - 4-Year Anniversary Edition</t>
  </si>
  <si>
    <t>$9,00</t>
  </si>
  <si>
    <t>$18,00</t>
  </si>
  <si>
    <t>Insurgency: Sandstorm - 4-Year Anniversary</t>
  </si>
  <si>
    <t>Level Up Your Skills Sale</t>
  </si>
  <si>
    <t>Weekend Deal extended</t>
  </si>
  <si>
    <t>$10,00</t>
  </si>
  <si>
    <t>$7,50</t>
  </si>
  <si>
    <t>Warhammer 40,000: Space Marine 2 Gold Edition</t>
  </si>
  <si>
    <t>Tactical Gaming/Lock &amp; Loadead Sale</t>
  </si>
  <si>
    <t>Insurgency: Sandstorm - Year 1+2+3+4 Bundle</t>
  </si>
  <si>
    <t>Dec 2024</t>
  </si>
  <si>
    <t>$45,00</t>
  </si>
  <si>
    <t xml:space="preserve">Custom deal early March </t>
  </si>
  <si>
    <t>$17,99</t>
  </si>
  <si>
    <t>$20,99</t>
  </si>
  <si>
    <t>Insurgency: Sandstorm - Year 4 Pass</t>
  </si>
  <si>
    <t>Insurgency: Sandstorm - 1-Year Anniversary Edition</t>
  </si>
  <si>
    <t>SnowRunner - Season 17: Repair &amp; Rescue</t>
  </si>
  <si>
    <t>SnowRunner - Season 17: Repair and Rescue (Windows)</t>
  </si>
  <si>
    <t>Feb. 2025</t>
  </si>
  <si>
    <t>Custom Deal pre Skulls</t>
  </si>
  <si>
    <t>SnowRunner - GMC Brigadier</t>
  </si>
  <si>
    <t xml:space="preserve">Black Friday </t>
  </si>
  <si>
    <t>SnowRunner - Navistar 5000-MV Tractor</t>
  </si>
  <si>
    <t>Winter Sales</t>
  </si>
  <si>
    <t>SnowRunner - Salt of the Earth Vinyl Wrap Pack</t>
  </si>
  <si>
    <t>Keep On Gaming Sale</t>
  </si>
  <si>
    <t>Publisher Spotlight</t>
  </si>
  <si>
    <t>SnowRunner - The Atom</t>
  </si>
  <si>
    <t>$37,49</t>
  </si>
  <si>
    <t>April 2025</t>
  </si>
  <si>
    <t>Game Pass Games to Gift Sale</t>
  </si>
  <si>
    <t>SnowRunner - Western Star 49X</t>
  </si>
  <si>
    <t>Summer Sale - Part 1</t>
  </si>
  <si>
    <t>Skulls</t>
  </si>
  <si>
    <t>Ready, Set, Play!</t>
  </si>
  <si>
    <t>Autumn Adventures</t>
  </si>
  <si>
    <t>Player's Choice</t>
  </si>
  <si>
    <t>Planet of the Discounts</t>
  </si>
  <si>
    <t>Black Friday</t>
  </si>
  <si>
    <t>End of Year Deals</t>
  </si>
  <si>
    <t>Holiday-Jan Sale - PS+ EA</t>
  </si>
  <si>
    <t>SnowRunner – Year 5 Pass</t>
  </si>
  <si>
    <t>SnowRunner – Year 5 Pass (Windows)</t>
  </si>
  <si>
    <t>Open World Sale</t>
  </si>
  <si>
    <t>June 2025</t>
  </si>
  <si>
    <t xml:space="preserve">Custom July promo </t>
  </si>
  <si>
    <t xml:space="preserve">Custom promo January </t>
  </si>
  <si>
    <t>Jan. 2024</t>
  </si>
  <si>
    <t>Custom promo  late Feb</t>
  </si>
  <si>
    <t>SnowRunner - Dragon Wagons Dual Pack</t>
  </si>
  <si>
    <t>SnowRunner - Mercedes-Benz Trucks Dual Pack 1</t>
  </si>
  <si>
    <t>SnowRunner - Dragon Wagons Dual Pack (Windows)</t>
  </si>
  <si>
    <t>SnowRunner - Mercedes-Benz Trucks Dual Pack 1 (Windows)</t>
  </si>
  <si>
    <t>WE Offer May</t>
  </si>
  <si>
    <t>Insurgency: Sandstorm - 1-Year Anniversary</t>
  </si>
  <si>
    <t>Summer Sale PT 1</t>
  </si>
  <si>
    <t>Summer promo</t>
  </si>
  <si>
    <t>Summer Sale PT 2</t>
  </si>
  <si>
    <t xml:space="preserve">Custom July </t>
  </si>
  <si>
    <t>SnowRunner - Jack of All Treads Tire Pack</t>
  </si>
  <si>
    <t>SnowRunner - Loaded Dice Vinyl Wrap</t>
  </si>
  <si>
    <t>SnowRunner - Save The Day Vinyl Wrap Pack</t>
  </si>
  <si>
    <t>SnowRunner - Scorched Vinyl Wrap</t>
  </si>
  <si>
    <t>Last Chance Sale</t>
  </si>
  <si>
    <t>$82,49</t>
  </si>
  <si>
    <t>SnowRunner - Tatra Dual Pack</t>
  </si>
  <si>
    <t>$109,99</t>
  </si>
  <si>
    <t>In Case You Missed It</t>
  </si>
  <si>
    <t>SnowRunner - True Colors Vinyl Wrap</t>
  </si>
  <si>
    <t>$48,99</t>
  </si>
  <si>
    <t>Game Pass Spring Sale Preview</t>
  </si>
  <si>
    <t>$64,99</t>
  </si>
  <si>
    <t>$45,49</t>
  </si>
  <si>
    <t>SnowRunner - Year 1 to 5 Pass</t>
  </si>
  <si>
    <t>x</t>
  </si>
  <si>
    <t>Skulls Sale</t>
  </si>
  <si>
    <t>Achievement Hunter Sale</t>
  </si>
  <si>
    <t>$41,99</t>
  </si>
  <si>
    <t>Ultimate Game Sale (UGS)</t>
  </si>
  <si>
    <t>$65,99</t>
  </si>
  <si>
    <t>$62,99</t>
  </si>
  <si>
    <t>$50,00</t>
  </si>
  <si>
    <t>$76,99</t>
  </si>
  <si>
    <t>$104,99</t>
  </si>
  <si>
    <t>$78,74</t>
  </si>
  <si>
    <t>$18,74</t>
  </si>
  <si>
    <t>$21,99</t>
  </si>
  <si>
    <t>$91,49</t>
  </si>
  <si>
    <t>$54,89</t>
  </si>
  <si>
    <t>Critic's Choice</t>
  </si>
  <si>
    <t>WE Offer</t>
  </si>
  <si>
    <t>Consoles</t>
  </si>
  <si>
    <t>$47,99</t>
  </si>
  <si>
    <t>Week-End Offer</t>
  </si>
  <si>
    <t>Base</t>
  </si>
  <si>
    <t>Days of Play - Early Start</t>
  </si>
  <si>
    <t>Gold</t>
  </si>
  <si>
    <t>Ultra</t>
  </si>
  <si>
    <t>Summer P1 + Early Start</t>
  </si>
  <si>
    <t>Custom Deal January</t>
  </si>
  <si>
    <t>Summer P2</t>
  </si>
  <si>
    <t>PC</t>
  </si>
  <si>
    <t>SnowRunner - Pathfinders Vinyl Wrap Pack</t>
  </si>
  <si>
    <t>SnowRunner - Season 16: High Voltage</t>
  </si>
  <si>
    <t>Halloween Sale</t>
  </si>
  <si>
    <t xml:space="preserve">Custom Deal early March </t>
  </si>
  <si>
    <t>Warhammer 40,000: Space Marine 2 - Year 1 + Year 2</t>
  </si>
  <si>
    <t>Holiday Sale - PS+ Early</t>
  </si>
  <si>
    <t>février</t>
  </si>
  <si>
    <t>Bundles Sale</t>
  </si>
  <si>
    <t>Simulator B1G1</t>
  </si>
  <si>
    <t>Game Pass Best Rated Sale</t>
  </si>
  <si>
    <t>SnowRunner - Year 5 Pass</t>
  </si>
  <si>
    <t>Custom Games from Quebec</t>
  </si>
  <si>
    <t>Insurgency Sandstorm Year Pass 1 + 2+3</t>
  </si>
  <si>
    <t>$51,99</t>
  </si>
  <si>
    <t>12 /04</t>
  </si>
  <si>
    <t xml:space="preserve">Custom Deal </t>
  </si>
  <si>
    <t>Midweek madness extended</t>
  </si>
  <si>
    <t>Partner</t>
  </si>
  <si>
    <t>The Perfect Match Sale</t>
  </si>
  <si>
    <t>SnowRunner - Years 1 to 5 Pass</t>
  </si>
  <si>
    <t xml:space="preserve">Steam </t>
  </si>
  <si>
    <t>Custom deal + Games from Quebec</t>
  </si>
  <si>
    <t>$38,99</t>
  </si>
  <si>
    <t>$27,00</t>
  </si>
  <si>
    <t>$55,95</t>
  </si>
  <si>
    <t>$29,24</t>
  </si>
  <si>
    <t>Spring</t>
  </si>
  <si>
    <t xml:space="preserve">To be updated post last promo </t>
  </si>
  <si>
    <t>WE Offer Feb</t>
  </si>
  <si>
    <t>WE Offer Mar</t>
  </si>
  <si>
    <t>Spring Sale (Part 1)</t>
  </si>
  <si>
    <t>New Year Deals</t>
  </si>
  <si>
    <t>Spring Sale (Part 2)</t>
  </si>
  <si>
    <t>Multiverse of Games - 1 week</t>
  </si>
  <si>
    <t>Mega March</t>
  </si>
  <si>
    <t xml:space="preserve">Featured + Custom Deal </t>
  </si>
  <si>
    <t>Big Games Big Deals</t>
  </si>
  <si>
    <t>Holiday Sale - PS+ EA</t>
  </si>
  <si>
    <t>$9,90</t>
  </si>
  <si>
    <t>$43,99</t>
  </si>
  <si>
    <t>Countdown Sale Add-on Sale</t>
  </si>
  <si>
    <t>B1G1 DLC Sale</t>
  </si>
  <si>
    <t>Game Pass Deluxe Sale</t>
  </si>
  <si>
    <t>Insurgency: Sandstorm - Resurgence Set Bundle</t>
  </si>
  <si>
    <t>Insurgency: Sandstorm - Exodus Set Bundle</t>
  </si>
  <si>
    <t>Insurgency: Sandstorm - Accolade Set Bundle</t>
  </si>
  <si>
    <t>Insurgency: Sandstorm - Onslaught Set Bundle</t>
  </si>
  <si>
    <t>Insurgency: Sandstorm - Praetorian Set Bundle</t>
  </si>
  <si>
    <t>Insurgency: Sandstorm - Overrun Set Bundle</t>
  </si>
  <si>
    <t>Insurgency: Sandstorm - Night Ops Set Bundle</t>
  </si>
  <si>
    <t>Insurgency: Sandstorm - Breakaway Set Bundle</t>
  </si>
  <si>
    <t>Insurgency: Sandstorm - Cold Blood Set Bundle</t>
  </si>
  <si>
    <t>Insurgency: Sandstorm - Crisis Set Bundle</t>
  </si>
  <si>
    <t>Ultimate Game  Sneak Preview Sale</t>
  </si>
  <si>
    <t>Ultimate Game Sale</t>
  </si>
  <si>
    <t>$31,49</t>
  </si>
  <si>
    <t>Snowrunner all seasons except 9 10 11</t>
  </si>
  <si>
    <t>Insurgency: Sandstorm - Year 1 + 2 Bundle</t>
  </si>
  <si>
    <t>Season 9</t>
  </si>
  <si>
    <t>Season 10</t>
  </si>
  <si>
    <t>Insurgency: Sandstorm - Year Passes (1&amp;2)</t>
  </si>
  <si>
    <t>Season 11</t>
  </si>
  <si>
    <t>Custom March</t>
  </si>
  <si>
    <t>To be updated post last promo</t>
  </si>
  <si>
    <t>Cancelled</t>
  </si>
  <si>
    <t>Essential Picks</t>
  </si>
  <si>
    <t>May Savings / Golden Week</t>
  </si>
  <si>
    <t>Summer Games Fest</t>
  </si>
  <si>
    <t>Insurgency: Sandstorm - Year 1+2+3 Bundle</t>
  </si>
  <si>
    <t>Mid Year Deals</t>
  </si>
  <si>
    <t>Summer Sale - Part 2</t>
  </si>
  <si>
    <t>Multiverse of Games</t>
  </si>
  <si>
    <t>PS+ WE Offer</t>
  </si>
  <si>
    <t>August Savings</t>
  </si>
  <si>
    <t>PS+ Exclusive Discounts</t>
  </si>
  <si>
    <t>Autumn Savings</t>
  </si>
  <si>
    <t>Midweek extended</t>
  </si>
  <si>
    <t>Featured + custom deal April</t>
  </si>
  <si>
    <t>Singles Day</t>
  </si>
  <si>
    <t>SIEJA only</t>
  </si>
  <si>
    <t>Snowrunner all seasons except 11 &amp; 12</t>
  </si>
  <si>
    <t>Discounts locked at 50% for BF</t>
  </si>
  <si>
    <t>PlayStation 30th Anniversary</t>
  </si>
  <si>
    <t>Summer P1</t>
  </si>
  <si>
    <t>Custom promo</t>
  </si>
  <si>
    <t>To update post previous promo results</t>
  </si>
  <si>
    <t>Insurgency: Sandstorm - Year 1 + Year 2 + Year 3 Bundle</t>
  </si>
  <si>
    <t>Insurgency: Sandstorm - Year 1 + Year 2 Bundle</t>
  </si>
  <si>
    <t>Custom promo July</t>
  </si>
  <si>
    <t>SnowRunner - Saison 9 : Renew &amp; Rebuild</t>
  </si>
  <si>
    <t>July Savings</t>
  </si>
  <si>
    <t>SnowRunner - Burning Bright Vinyl Wrap</t>
  </si>
  <si>
    <t>SnowRunner - GMC Brigadier 8000</t>
  </si>
  <si>
    <t>Games 50% off or More</t>
  </si>
  <si>
    <t>SnowRunner - Land Rover</t>
  </si>
  <si>
    <t>SnowRunner - Save The Day Vinyl Wrap</t>
  </si>
  <si>
    <t>SnowRunner - Season 10: Fix and Connect</t>
  </si>
  <si>
    <t>Custom</t>
  </si>
  <si>
    <t>End of Summer Sale</t>
  </si>
  <si>
    <t>tbc resulats promo 1</t>
  </si>
  <si>
    <t>MS</t>
  </si>
  <si>
    <t>School Out Sale</t>
  </si>
  <si>
    <t>SIE</t>
  </si>
  <si>
    <t>PS+ Exclusive Discount</t>
  </si>
  <si>
    <t>Summer Sale P1</t>
  </si>
  <si>
    <t>Summer Sale P2</t>
  </si>
  <si>
    <t>SnowRunner - Western Star Wolf Pack (47X)</t>
  </si>
  <si>
    <t>PS+ Early</t>
  </si>
  <si>
    <t>Holiday Sale P1</t>
  </si>
  <si>
    <t>SnowRunner - Season 11 : Lights &amp; Cameras</t>
  </si>
  <si>
    <t>Holiday Sale P2</t>
  </si>
  <si>
    <t>SnowRunner - Season 12 : Public Energy</t>
  </si>
  <si>
    <t>Shooter Sale</t>
  </si>
  <si>
    <t>$38,49</t>
  </si>
  <si>
    <t>Deals with Gold</t>
  </si>
  <si>
    <t>Publisher Sale</t>
  </si>
  <si>
    <t>SnowRunner - Premium Edition</t>
  </si>
  <si>
    <t>Insurgency: Sandstorm Gold Edition</t>
  </si>
  <si>
    <t>SnowRunner - Saison 6 : Haul &amp; Hustle</t>
  </si>
  <si>
    <t>Critically Acclaimed Sale</t>
  </si>
  <si>
    <t xml:space="preserve">Snowrunner S1 S2 S3 S5 </t>
  </si>
  <si>
    <t>Snowrunner S4</t>
  </si>
  <si>
    <t>SnowRunner S6 S7</t>
  </si>
  <si>
    <t>Snowrunner All DLCs (except wolfpack)</t>
  </si>
  <si>
    <t xml:space="preserve"> </t>
  </si>
  <si>
    <t>Tokyo Game Show Sale</t>
  </si>
  <si>
    <t>Publisher sales</t>
  </si>
  <si>
    <t>$26.24</t>
  </si>
  <si>
    <t>Silent + daily deal on 17 to 19th + extended</t>
  </si>
  <si>
    <t>Games to Gift Sale</t>
  </si>
  <si>
    <t>November Savings</t>
  </si>
  <si>
    <t>Snowrunner S1 S2 S3 S5 S6</t>
  </si>
  <si>
    <t>Midweek Madness</t>
  </si>
  <si>
    <t>SnowRunner S7</t>
  </si>
  <si>
    <t>SnowRunner S8</t>
  </si>
  <si>
    <t>$46,89</t>
  </si>
  <si>
    <t>Promo custom Year 3 launch</t>
  </si>
  <si>
    <t>SnowRunner - Year 1 anniversary</t>
  </si>
  <si>
    <t>$54,99</t>
  </si>
  <si>
    <t>4 DLCs pack</t>
  </si>
  <si>
    <t>SnowRunner - Year 2 anniversary</t>
  </si>
  <si>
    <t>SnowRunner - Year 1 Anniversary Edition</t>
  </si>
  <si>
    <t>Games from Quebec</t>
  </si>
  <si>
    <t xml:space="preserve">Custom deal </t>
  </si>
  <si>
    <t>Snowrunner all seasons</t>
  </si>
  <si>
    <t>40 %</t>
  </si>
  <si>
    <t>SnowRunner - Seasons 1 to 9</t>
  </si>
  <si>
    <t>41.99</t>
  </si>
  <si>
    <t>SnowRunner - Seasons 10</t>
  </si>
  <si>
    <t>27.99</t>
  </si>
  <si>
    <t>SnowRunner - Seasons 11</t>
  </si>
  <si>
    <t>SnowRunner - Year 2 Anniversary Edition</t>
  </si>
  <si>
    <t>Snowrunner all seasons except 9</t>
  </si>
  <si>
    <t>$39.89</t>
  </si>
  <si>
    <t>Snowrunner all DLCs</t>
  </si>
  <si>
    <t>SnowRunner - Year 2 Anniversary Upgrade</t>
  </si>
  <si>
    <t>SnowRunner - Year 3 Anniversary Upgrade</t>
  </si>
  <si>
    <t>Midweek madness</t>
  </si>
  <si>
    <t>$41,24</t>
  </si>
  <si>
    <t>SnowRunner - Year 3 Anniversary Edition</t>
  </si>
  <si>
    <t>Summer Promo</t>
  </si>
  <si>
    <t>Sony</t>
  </si>
  <si>
    <t>Level Up!</t>
  </si>
  <si>
    <t>SnowRunner - S1 S2 S3 S5</t>
  </si>
  <si>
    <t>SnowRunner - Season 4</t>
  </si>
  <si>
    <t>SnowRunner - Season 6</t>
  </si>
  <si>
    <t>$26,34</t>
  </si>
  <si>
    <t>SnowRunner - Season 7</t>
  </si>
  <si>
    <t>Launch 1,14</t>
  </si>
  <si>
    <t>PS+ Double Discount</t>
  </si>
  <si>
    <t>SnowRunner - 2 Year Anniversary Upgrade</t>
  </si>
  <si>
    <t>SnowRunner - 3 Year Anniversary Upgrade</t>
  </si>
  <si>
    <t>SnowRunner S1,2,3,4,5,6,7</t>
  </si>
  <si>
    <t>Custom Promo</t>
  </si>
  <si>
    <t>$13,49</t>
  </si>
  <si>
    <t>SnowRunner DLCs</t>
  </si>
  <si>
    <t>Snowrunner - Save the Day Vinyl Wrap</t>
  </si>
  <si>
    <t>$26,99</t>
  </si>
  <si>
    <t>May Savings</t>
  </si>
  <si>
    <t>Summer Sale - Full</t>
  </si>
  <si>
    <t>SnowRunner - Y1 &amp; Y2 Passes</t>
  </si>
  <si>
    <t>30%+10% PS+</t>
  </si>
  <si>
    <t>15%+5% PS+</t>
  </si>
  <si>
    <t>SnowRunner - Y1+Y2 Passes</t>
  </si>
  <si>
    <t>SnowRunner - Y1 + Y2 + Y3 Passes</t>
  </si>
  <si>
    <t>20%+5% PS+</t>
  </si>
  <si>
    <t>SnowRunner S1,2,3,4,5,6,7,8</t>
  </si>
  <si>
    <t>SnowRunner S9</t>
  </si>
  <si>
    <t>20%+10% PS+</t>
  </si>
  <si>
    <t>Was</t>
  </si>
  <si>
    <t>Big Game Deals</t>
  </si>
  <si>
    <t>Extended Play</t>
  </si>
  <si>
    <t>Halloween custom</t>
  </si>
  <si>
    <t>SnowRunner - Seasons 1 to 10</t>
  </si>
  <si>
    <t>SnowRunner S1,2,3,4,5,6,7,8,9</t>
  </si>
  <si>
    <t>S9 TBC</t>
  </si>
  <si>
    <t>25 / 33 %</t>
  </si>
  <si>
    <t>SnowRunner S10</t>
  </si>
  <si>
    <t>New</t>
  </si>
  <si>
    <t>SnowRunner - Seasons 12</t>
  </si>
  <si>
    <t>Ok</t>
  </si>
  <si>
    <t>SPRING SALE - PART 1</t>
  </si>
  <si>
    <t>60% refusé</t>
  </si>
  <si>
    <t>SPRING SALE - PART 2</t>
  </si>
  <si>
    <t>EXTENDED PLAY</t>
  </si>
  <si>
    <t>Summer Game Fest</t>
  </si>
  <si>
    <t>EGS</t>
  </si>
  <si>
    <t>DAYS OF PLAY</t>
  </si>
  <si>
    <t>$24,79</t>
  </si>
  <si>
    <t>February Savings</t>
  </si>
  <si>
    <t xml:space="preserve">SnowRunner </t>
  </si>
  <si>
    <t>PS+ DOUBLE DISCOUNT</t>
  </si>
  <si>
    <t>Insurgency: Sadnstorm Gold Edition</t>
  </si>
  <si>
    <t>MID YEAR DEALS</t>
  </si>
  <si>
    <t>Insurgency: Sandstorm Deluxe Edition</t>
  </si>
  <si>
    <t xml:space="preserve">SnowRunner - 1-Year Anniversary </t>
  </si>
  <si>
    <t xml:space="preserve">SnowRunner - 2-Year Anniversary </t>
  </si>
  <si>
    <t xml:space="preserve">SnowRunner - 3-Year Anniversary </t>
  </si>
  <si>
    <t>SnowRunner All Seasons</t>
  </si>
  <si>
    <t>SUMMER SALE - PART 1</t>
  </si>
  <si>
    <t xml:space="preserve">SnowRunner Year 1 Pass </t>
  </si>
  <si>
    <t>SUMMER SALE - PART 2</t>
  </si>
  <si>
    <t>SnowRunner All DLCs</t>
  </si>
  <si>
    <t xml:space="preserve">End of Winter Sale 
(Name TBC) </t>
  </si>
  <si>
    <t xml:space="preserve">Not submitted yet </t>
  </si>
  <si>
    <t>BLOCKBUSTER DEALS</t>
  </si>
  <si>
    <t>Focus Store</t>
  </si>
  <si>
    <t>Winter Sale</t>
  </si>
  <si>
    <t>Previously 40%</t>
  </si>
  <si>
    <t>Insurgency: Sandstorm - Year 1+2 Pass</t>
  </si>
  <si>
    <t>Previously 50%</t>
  </si>
  <si>
    <t>May Savings/Golden Week</t>
  </si>
  <si>
    <t>SIEA only</t>
  </si>
  <si>
    <t>SIEE only</t>
  </si>
  <si>
    <t>Insurgency: Sandstorm - Y1 &amp; Y2 Passes</t>
  </si>
  <si>
    <t>SPRING SALE</t>
  </si>
  <si>
    <t>4 DLCs pack SEASON 1 ONLY</t>
  </si>
  <si>
    <t>FREE WEEKEND SALE</t>
  </si>
  <si>
    <t>RELEASE 1.12</t>
  </si>
  <si>
    <t>MEGASALE</t>
  </si>
  <si>
    <t>SUMMER SALE</t>
  </si>
  <si>
    <t>SnowRunner - Seasons 13</t>
  </si>
  <si>
    <t xml:space="preserve">Publisher Sale </t>
  </si>
  <si>
    <t xml:space="preserve">Black Friday Sale </t>
  </si>
  <si>
    <t>Game Awards - Flash Sale</t>
  </si>
  <si>
    <t>Not submitted yet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</si>
</sst>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[$$]#,##0.00"/>
    <numFmt numFmtId="165" formatCode="dd/mm"/>
    <numFmt numFmtId="166" formatCode="d/m"/>
    <numFmt numFmtId="167" formatCode="mmm yyyy"/>
    <numFmt numFmtId="168" formatCode="mmmm yyyy"/>
    <numFmt numFmtId="169" formatCode="dd-mmm"/>
    <numFmt numFmtId="170" formatCode="d-mmm"/>
    <numFmt numFmtId="171" formatCode="dd-mmmm"/>
    <numFmt numFmtId="172" formatCode="d-mmmm"/>
    <numFmt numFmtId="173" formatCode="dd&quot;/&quot;mm"/>
    <numFmt numFmtId="174" formatCode="#,##0.00\ [$€-1]"/>
  </numFmts>
  <fonts count="21">
    <font>
      <sz val="10.0"/>
      <color rgb="FF000000"/>
      <name val="Arial"/>
      <scheme val="minor"/>
    </font>
    <font>
      <sz val="10.0"/>
      <color theme="1"/>
      <name val="Roboto"/>
    </font>
    <font>
      <b/>
      <sz val="19.0"/>
      <color theme="1"/>
      <name val="Calibri"/>
    </font>
    <font>
      <sz val="10.0"/>
      <color rgb="FF000000"/>
      <name val="Roboto"/>
    </font>
    <font>
      <b/>
      <sz val="11.0"/>
      <color theme="1"/>
      <name val="Calibri"/>
    </font>
    <font>
      <color theme="1"/>
      <name val="Arial"/>
    </font>
    <font>
      <sz val="11.0"/>
      <color theme="1"/>
      <name val="Calibri"/>
    </font>
    <font>
      <sz val="18.0"/>
      <color theme="1"/>
      <name val="Calibri"/>
    </font>
    <font>
      <strike/>
      <sz val="11.0"/>
      <color theme="1"/>
      <name val="Calibri"/>
    </font>
    <font>
      <strike/>
      <sz val="10.0"/>
      <color theme="1"/>
      <name val="Roboto"/>
    </font>
    <font>
      <strike/>
      <sz val="10.0"/>
      <color rgb="FF000000"/>
      <name val="Roboto"/>
    </font>
    <font>
      <strike/>
      <color theme="1"/>
      <name val="Arial"/>
    </font>
    <font/>
    <font>
      <sz val="11.0"/>
      <color rgb="FFFF0000"/>
      <name val="Calibri"/>
    </font>
    <font>
      <sz val="10.0"/>
      <color rgb="FFFF0000"/>
      <name val="Roboto"/>
    </font>
    <font>
      <b/>
      <sz val="19.0"/>
      <color theme="1"/>
      <name val="Roboto"/>
    </font>
    <font>
      <color theme="1"/>
      <name val="Roboto"/>
    </font>
    <font>
      <b/>
      <sz val="11.0"/>
      <color theme="1"/>
      <name val="Roboto"/>
    </font>
    <font>
      <sz val="18.0"/>
      <color theme="1"/>
      <name val="Roboto"/>
    </font>
    <font>
      <sz val="11.0"/>
      <color rgb="FF000000"/>
      <name val="Calibri"/>
    </font>
    <font>
      <b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theme="7"/>
        <bgColor theme="7"/>
      </patternFill>
    </fill>
    <fill>
      <patternFill patternType="solid">
        <fgColor theme="4"/>
        <bgColor theme="4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2" fontId="2" numFmtId="0" xfId="0" applyAlignment="1" applyFill="1" applyFont="1">
      <alignment horizontal="center" shrinkToFit="0" vertical="center" wrapText="0"/>
    </xf>
    <xf borderId="1" fillId="0" fontId="3" numFmtId="164" xfId="0" applyAlignment="1" applyBorder="1" applyFont="1" applyNumberFormat="1">
      <alignment horizontal="center" shrinkToFit="0" vertical="bottom" wrapText="0"/>
    </xf>
    <xf borderId="0" fillId="2" fontId="4" numFmtId="0" xfId="0" applyAlignment="1" applyFill="1" applyFont="1">
      <alignment horizontal="center" shrinkToFit="0" vertical="center" wrapText="0"/>
    </xf>
    <xf borderId="0" fillId="0" fontId="5" numFmtId="0" xfId="0" applyAlignment="1" applyFont="1">
      <alignment horizontal="center"/>
    </xf>
    <xf borderId="1" fillId="3" fontId="6" numFmtId="0" xfId="0" applyAlignment="1" applyBorder="1" applyFill="1" applyFont="1">
      <alignment horizontal="center"/>
    </xf>
    <xf borderId="0" fillId="2" fontId="4" numFmtId="0" xfId="0" applyAlignment="1" applyFill="1" applyFont="1">
      <alignment horizontal="center" vertical="center"/>
    </xf>
    <xf borderId="1" fillId="4" fontId="6" numFmtId="164" xfId="0" applyAlignment="1" applyBorder="1" applyFill="1" applyFont="1" applyNumberFormat="1">
      <alignment horizontal="center"/>
    </xf>
    <xf borderId="0" fillId="5" fontId="7" numFmtId="0" xfId="0" applyAlignment="1" applyFill="1" applyFont="1">
      <alignment horizontal="center"/>
    </xf>
    <xf borderId="1" fillId="0" fontId="1" numFmtId="164" xfId="0" applyAlignment="1" applyBorder="1" applyFont="1" applyNumberFormat="1">
      <alignment horizontal="center"/>
    </xf>
    <xf borderId="1" fillId="0" fontId="1" numFmtId="165" xfId="0" applyAlignment="1" applyBorder="1" applyFont="1" applyNumberFormat="1">
      <alignment horizontal="center"/>
    </xf>
    <xf borderId="1" fillId="0" fontId="1" numFmtId="166" xfId="0" applyAlignment="1" applyBorder="1" applyFont="1" applyNumberFormat="1">
      <alignment horizontal="center"/>
    </xf>
    <xf borderId="1" fillId="4" fontId="6" numFmtId="0" xfId="0" applyAlignment="1" applyBorder="1" applyFill="1" applyFont="1">
      <alignment horizontal="center"/>
    </xf>
    <xf borderId="1" fillId="4" fontId="1" numFmtId="164" xfId="0" applyAlignment="1" applyBorder="1" applyFill="1" applyFont="1" applyNumberFormat="1">
      <alignment horizontal="center"/>
    </xf>
    <xf borderId="1" fillId="3" fontId="1" numFmtId="164" xfId="0" applyAlignment="1" applyBorder="1" applyFill="1" applyFont="1" applyNumberFormat="1">
      <alignment horizontal="center"/>
    </xf>
    <xf borderId="1" fillId="3" fontId="1" numFmtId="9" xfId="0" applyAlignment="1" applyBorder="1" applyFill="1" applyFont="1" applyNumberFormat="1">
      <alignment horizontal="center"/>
    </xf>
    <xf borderId="1" fillId="3" fontId="6" numFmtId="0" xfId="0" applyAlignment="1" applyBorder="1" applyFill="1" applyFont="1">
      <alignment horizontal="center" shrinkToFit="0" vertical="bottom" wrapText="0"/>
    </xf>
    <xf borderId="1" fillId="5" fontId="6" numFmtId="0" xfId="0" applyAlignment="1" applyBorder="1" applyFill="1" applyFont="1">
      <alignment horizontal="center"/>
    </xf>
    <xf borderId="1" fillId="3" fontId="6" numFmtId="9" xfId="0" applyAlignment="1" applyBorder="1" applyFill="1" applyFont="1" applyNumberFormat="1">
      <alignment horizontal="center"/>
    </xf>
    <xf borderId="1" fillId="3" fontId="8" numFmtId="0" xfId="0" applyAlignment="1" applyBorder="1" applyFill="1" applyFont="1">
      <alignment horizontal="center" shrinkToFit="0" vertical="bottom" wrapText="0"/>
    </xf>
    <xf borderId="1" fillId="4" fontId="8" numFmtId="164" xfId="0" applyAlignment="1" applyBorder="1" applyFill="1" applyFont="1" applyNumberFormat="1">
      <alignment horizontal="center"/>
    </xf>
    <xf borderId="1" fillId="3" fontId="8" numFmtId="9" xfId="0" applyAlignment="1" applyBorder="1" applyFill="1" applyFont="1" applyNumberFormat="1">
      <alignment horizontal="center"/>
    </xf>
    <xf borderId="1" fillId="5" fontId="1" numFmtId="9" xfId="0" applyAlignment="1" applyBorder="1" applyFill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6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3" fontId="6" numFmtId="0" xfId="0" applyAlignment="1" applyFill="1" applyFont="1">
      <alignment horizontal="center"/>
    </xf>
    <xf borderId="0" fillId="4" fontId="1" numFmtId="164" xfId="0" applyAlignment="1" applyFill="1" applyFont="1" applyNumberFormat="1">
      <alignment horizontal="center"/>
    </xf>
    <xf borderId="0" fillId="3" fontId="1" numFmtId="164" xfId="0" applyAlignment="1" applyFill="1" applyFont="1" applyNumberFormat="1">
      <alignment horizontal="center"/>
    </xf>
    <xf borderId="0" fillId="3" fontId="1" numFmtId="9" xfId="0" applyAlignment="1" applyFill="1" applyFont="1" applyNumberFormat="1">
      <alignment horizontal="center"/>
    </xf>
    <xf borderId="1" fillId="0" fontId="1" numFmtId="9" xfId="0" applyAlignment="1" applyBorder="1" applyFont="1" applyNumberFormat="1">
      <alignment horizontal="center"/>
    </xf>
    <xf borderId="1" fillId="5" fontId="6" numFmtId="9" xfId="0" applyAlignment="1" applyBorder="1" applyFill="1" applyFont="1" applyNumberFormat="1">
      <alignment horizontal="center"/>
    </xf>
    <xf borderId="1" fillId="4" fontId="1" numFmtId="0" xfId="0" applyAlignment="1" applyBorder="1" applyFill="1" applyFont="1">
      <alignment horizontal="center"/>
    </xf>
    <xf borderId="1" fillId="5" fontId="6" numFmtId="0" xfId="0" applyAlignment="1" applyBorder="1" applyFill="1" applyFont="1">
      <alignment horizontal="center" shrinkToFit="0" vertical="bottom" wrapText="0"/>
    </xf>
    <xf borderId="1" fillId="4" fontId="9" numFmtId="0" xfId="0" applyAlignment="1" applyBorder="1" applyFill="1" applyFont="1">
      <alignment horizontal="center"/>
    </xf>
    <xf borderId="1" fillId="4" fontId="9" numFmtId="164" xfId="0" applyAlignment="1" applyBorder="1" applyFill="1" applyFont="1" applyNumberFormat="1">
      <alignment horizontal="center"/>
    </xf>
    <xf borderId="1" fillId="3" fontId="9" numFmtId="164" xfId="0" applyAlignment="1" applyBorder="1" applyFill="1" applyFont="1" applyNumberFormat="1">
      <alignment horizontal="center"/>
    </xf>
    <xf borderId="1" fillId="3" fontId="9" numFmtId="9" xfId="0" applyAlignment="1" applyBorder="1" applyFill="1" applyFont="1" applyNumberFormat="1">
      <alignment horizontal="center"/>
    </xf>
    <xf borderId="0" fillId="6" fontId="7" numFmtId="0" xfId="0" applyAlignment="1" applyFill="1" applyFont="1">
      <alignment horizontal="center"/>
    </xf>
    <xf borderId="1" fillId="3" fontId="9" numFmtId="0" xfId="0" applyAlignment="1" applyBorder="1" applyFill="1" applyFont="1">
      <alignment horizontal="center"/>
    </xf>
    <xf borderId="1" fillId="3" fontId="1" numFmtId="0" xfId="0" applyAlignment="1" applyBorder="1" applyFill="1" applyFont="1">
      <alignment horizontal="center"/>
    </xf>
    <xf borderId="0" fillId="7" fontId="7" numFmtId="0" xfId="0" applyAlignment="1" applyFill="1" applyFont="1">
      <alignment horizontal="center"/>
    </xf>
    <xf borderId="1" fillId="0" fontId="6" numFmtId="166" xfId="0" applyAlignment="1" applyBorder="1" applyFont="1" applyNumberFormat="1">
      <alignment horizontal="center"/>
    </xf>
    <xf borderId="1" fillId="0" fontId="6" numFmtId="0" xfId="0" applyAlignment="1" applyBorder="1" applyFont="1">
      <alignment horizontal="center"/>
    </xf>
    <xf borderId="1" fillId="4" fontId="6" numFmtId="166" xfId="0" applyAlignment="1" applyBorder="1" applyFill="1" applyFont="1" applyNumberFormat="1">
      <alignment horizontal="center"/>
    </xf>
    <xf borderId="1" fillId="4" fontId="6" numFmtId="9" xfId="0" applyAlignment="1" applyBorder="1" applyFill="1" applyFont="1" applyNumberFormat="1">
      <alignment horizontal="center"/>
    </xf>
    <xf borderId="1" fillId="3" fontId="6" numFmtId="166" xfId="0" applyAlignment="1" applyBorder="1" applyFill="1" applyFont="1" applyNumberFormat="1">
      <alignment horizontal="center" vertical="bottom"/>
    </xf>
    <xf borderId="1" fillId="3" fontId="6" numFmtId="0" xfId="0" applyAlignment="1" applyBorder="1" applyFill="1" applyFont="1">
      <alignment horizontal="center" vertical="bottom"/>
    </xf>
    <xf borderId="1" fillId="5" fontId="1" numFmtId="0" xfId="0" applyAlignment="1" applyBorder="1" applyFill="1" applyFont="1">
      <alignment horizontal="center"/>
    </xf>
    <xf borderId="1" fillId="3" fontId="6" numFmtId="164" xfId="0" applyAlignment="1" applyBorder="1" applyFill="1" applyFont="1" applyNumberFormat="1">
      <alignment horizontal="center" vertical="bottom"/>
    </xf>
    <xf borderId="1" fillId="3" fontId="6" numFmtId="9" xfId="0" applyAlignment="1" applyBorder="1" applyFill="1" applyFont="1" applyNumberFormat="1">
      <alignment horizontal="center" vertical="bottom"/>
    </xf>
    <xf borderId="0" fillId="3" fontId="5" numFmtId="0" xfId="0" applyFill="1" applyFont="1"/>
    <xf borderId="0" fillId="0" fontId="5" numFmtId="0" xfId="0" applyFont="1"/>
    <xf borderId="0" fillId="3" fontId="1" numFmtId="0" xfId="0" applyAlignment="1" applyFill="1" applyFont="1">
      <alignment horizontal="center"/>
    </xf>
    <xf borderId="1" fillId="0" fontId="5" numFmtId="0" xfId="0" applyAlignment="1" applyBorder="1" applyFont="1">
      <alignment horizontal="center"/>
    </xf>
    <xf borderId="1" fillId="0" fontId="3" numFmtId="0" xfId="0" applyAlignment="1" applyBorder="1" applyFont="1">
      <alignment horizontal="center" shrinkToFit="0" vertical="bottom" wrapText="0"/>
    </xf>
    <xf borderId="1" fillId="3" fontId="3" numFmtId="9" xfId="0" applyAlignment="1" applyBorder="1" applyFill="1" applyFont="1" applyNumberFormat="1">
      <alignment horizontal="center" shrinkToFit="0" vertical="bottom" wrapText="0"/>
    </xf>
    <xf borderId="1" fillId="3" fontId="3" numFmtId="0" xfId="0" applyAlignment="1" applyBorder="1" applyFill="1" applyFont="1">
      <alignment horizontal="center" shrinkToFit="0" vertical="bottom" wrapText="0"/>
    </xf>
    <xf borderId="1" fillId="0" fontId="10" numFmtId="0" xfId="0" applyAlignment="1" applyBorder="1" applyFont="1">
      <alignment horizontal="center" shrinkToFit="0" vertical="bottom" wrapText="0"/>
    </xf>
    <xf borderId="1" fillId="5" fontId="3" numFmtId="9" xfId="0" applyAlignment="1" applyBorder="1" applyFill="1" applyFont="1" applyNumberFormat="1">
      <alignment horizontal="center" shrinkToFit="0" vertical="bottom" wrapText="0"/>
    </xf>
    <xf borderId="0" fillId="4" fontId="6" numFmtId="164" xfId="0" applyAlignment="1" applyFill="1" applyFont="1" applyNumberFormat="1">
      <alignment horizontal="center"/>
    </xf>
    <xf borderId="0" fillId="3" fontId="6" numFmtId="9" xfId="0" applyAlignment="1" applyFill="1" applyFont="1" applyNumberFormat="1">
      <alignment horizontal="center"/>
    </xf>
    <xf borderId="1" fillId="4" fontId="6" numFmtId="166" xfId="0" applyAlignment="1" applyBorder="1" applyFill="1" applyFont="1" applyNumberFormat="1">
      <alignment horizontal="center"/>
    </xf>
    <xf borderId="1" fillId="4" fontId="6" numFmtId="0" xfId="0" applyAlignment="1" applyBorder="1" applyFill="1" applyFont="1">
      <alignment horizontal="center"/>
    </xf>
    <xf borderId="1" fillId="4" fontId="6" numFmtId="164" xfId="0" applyAlignment="1" applyBorder="1" applyFill="1" applyFont="1" applyNumberFormat="1">
      <alignment horizontal="center"/>
    </xf>
    <xf borderId="1" fillId="4" fontId="6" numFmtId="9" xfId="0" applyAlignment="1" applyBorder="1" applyFill="1" applyFont="1" applyNumberFormat="1">
      <alignment horizontal="center"/>
    </xf>
    <xf borderId="1" fillId="5" fontId="3" numFmtId="0" xfId="0" applyAlignment="1" applyBorder="1" applyFill="1" applyFont="1">
      <alignment horizontal="center" shrinkToFit="0" vertical="bottom" wrapText="0"/>
    </xf>
    <xf borderId="1" fillId="5" fontId="6" numFmtId="9" xfId="0" applyAlignment="1" applyBorder="1" applyFill="1" applyFont="1" applyNumberFormat="1">
      <alignment horizontal="center"/>
    </xf>
    <xf borderId="1" fillId="3" fontId="6" numFmtId="0" xfId="0" applyAlignment="1" applyBorder="1" applyFill="1" applyFont="1">
      <alignment horizontal="center" vertical="bottom"/>
    </xf>
    <xf borderId="1" fillId="3" fontId="6" numFmtId="164" xfId="0" applyAlignment="1" applyBorder="1" applyFill="1" applyFont="1" applyNumberFormat="1">
      <alignment horizontal="center" vertical="bottom"/>
    </xf>
    <xf borderId="1" fillId="3" fontId="6" numFmtId="9" xfId="0" applyAlignment="1" applyBorder="1" applyFill="1" applyFont="1" applyNumberFormat="1">
      <alignment horizontal="center" vertical="bottom"/>
    </xf>
    <xf borderId="1" fillId="0" fontId="6" numFmtId="9" xfId="0" applyAlignment="1" applyBorder="1" applyFont="1" applyNumberFormat="1">
      <alignment horizontal="center"/>
    </xf>
    <xf borderId="1" fillId="4" fontId="1" numFmtId="9" xfId="0" applyAlignment="1" applyBorder="1" applyFill="1" applyFont="1" applyNumberFormat="1">
      <alignment horizontal="center"/>
    </xf>
    <xf borderId="1" fillId="3" fontId="6" numFmtId="166" xfId="0" applyAlignment="1" applyBorder="1" applyFill="1" applyFont="1" applyNumberFormat="1">
      <alignment horizontal="center" vertical="bottom"/>
    </xf>
    <xf borderId="0" fillId="0" fontId="5" numFmtId="167" xfId="0" applyAlignment="1" applyFont="1" applyNumberFormat="1">
      <alignment horizontal="center"/>
    </xf>
    <xf borderId="0" fillId="0" fontId="5" numFmtId="0" xfId="0" applyAlignment="1" applyFont="1">
      <alignment horizontal="center" vertical="center"/>
    </xf>
    <xf borderId="1" fillId="0" fontId="9" numFmtId="165" xfId="0" applyAlignment="1" applyBorder="1" applyFont="1" applyNumberFormat="1">
      <alignment horizontal="center"/>
    </xf>
    <xf borderId="1" fillId="0" fontId="9" numFmtId="166" xfId="0" applyAlignment="1" applyBorder="1" applyFont="1" applyNumberFormat="1">
      <alignment horizontal="center"/>
    </xf>
    <xf borderId="1" fillId="0" fontId="9" numFmtId="0" xfId="0" applyAlignment="1" applyBorder="1" applyFont="1">
      <alignment horizontal="center"/>
    </xf>
    <xf borderId="0" fillId="0" fontId="5" numFmtId="168" xfId="0" applyAlignment="1" applyFont="1" applyNumberFormat="1">
      <alignment horizontal="center"/>
    </xf>
    <xf borderId="0" fillId="0" fontId="5" numFmtId="164" xfId="0" applyFont="1" applyNumberFormat="1"/>
    <xf borderId="0" fillId="0" fontId="5" numFmtId="164" xfId="0" applyAlignment="1" applyFont="1" applyNumberFormat="1">
      <alignment horizontal="center"/>
    </xf>
    <xf borderId="0" fillId="0" fontId="11" numFmtId="0" xfId="0" applyFont="1"/>
    <xf borderId="0" fillId="0" fontId="5" numFmtId="168" xfId="0" applyFont="1" applyNumberFormat="1"/>
    <xf borderId="0" fillId="0" fontId="5" numFmtId="167" xfId="0" applyFont="1" applyNumberFormat="1"/>
    <xf borderId="1" fillId="4" fontId="1" numFmtId="166" xfId="0" applyAlignment="1" applyBorder="1" applyFill="1" applyFont="1" applyNumberFormat="1">
      <alignment horizontal="center"/>
    </xf>
    <xf borderId="1" fillId="4" fontId="1" numFmtId="0" xfId="0" applyAlignment="1" applyBorder="1" applyFill="1" applyFont="1">
      <alignment horizontal="center"/>
    </xf>
    <xf borderId="1" fillId="4" fontId="1" numFmtId="164" xfId="0" applyAlignment="1" applyBorder="1" applyFill="1" applyFont="1" applyNumberFormat="1">
      <alignment horizontal="center"/>
    </xf>
    <xf borderId="1" fillId="4" fontId="1" numFmtId="9" xfId="0" applyAlignment="1" applyBorder="1" applyFill="1" applyFont="1" applyNumberFormat="1">
      <alignment horizontal="center"/>
    </xf>
    <xf borderId="1" fillId="8" fontId="6" numFmtId="164" xfId="0" applyAlignment="1" applyBorder="1" applyFill="1" applyFont="1" applyNumberFormat="1">
      <alignment horizontal="center"/>
    </xf>
    <xf borderId="1" fillId="9" fontId="3" numFmtId="9" xfId="0" applyAlignment="1" applyBorder="1" applyFill="1" applyFont="1" applyNumberFormat="1">
      <alignment horizontal="center" shrinkToFit="0" vertical="bottom" wrapText="0"/>
    </xf>
    <xf borderId="0" fillId="4" fontId="4" numFmtId="0" xfId="0" applyAlignment="1" applyFill="1" applyFont="1">
      <alignment horizontal="center" vertical="center"/>
    </xf>
    <xf borderId="0" fillId="0" fontId="6" numFmtId="0" xfId="0" applyFont="1"/>
    <xf borderId="0" fillId="0" fontId="1" numFmtId="0" xfId="0" applyFont="1"/>
    <xf borderId="1" fillId="0" fontId="3" numFmtId="9" xfId="0" applyAlignment="1" applyBorder="1" applyFont="1" applyNumberFormat="1">
      <alignment horizontal="center" shrinkToFit="0" vertical="bottom" wrapText="0"/>
    </xf>
    <xf borderId="2" fillId="0" fontId="1" numFmtId="0" xfId="0" applyAlignment="1" applyBorder="1" applyFont="1">
      <alignment horizontal="center" shrinkToFit="0" vertical="center" wrapText="1"/>
    </xf>
    <xf borderId="3" fillId="0" fontId="12" numFmtId="0" xfId="0" applyBorder="1" applyFont="1"/>
    <xf borderId="4" fillId="0" fontId="12" numFmtId="0" xfId="0" applyBorder="1" applyFont="1"/>
    <xf borderId="1" fillId="0" fontId="13" numFmtId="166" xfId="0" applyAlignment="1" applyBorder="1" applyFont="1" applyNumberFormat="1">
      <alignment horizontal="center"/>
    </xf>
    <xf borderId="1" fillId="0" fontId="14" numFmtId="166" xfId="0" applyAlignment="1" applyBorder="1" applyFont="1" applyNumberFormat="1">
      <alignment horizontal="center"/>
    </xf>
    <xf borderId="0" fillId="0" fontId="6" numFmtId="0" xfId="0" applyAlignment="1" applyFont="1">
      <alignment horizontal="center"/>
    </xf>
    <xf borderId="1" fillId="10" fontId="1" numFmtId="0" xfId="0" applyAlignment="1" applyBorder="1" applyFill="1" applyFont="1">
      <alignment horizontal="center"/>
    </xf>
    <xf borderId="1" fillId="0" fontId="1" numFmtId="169" xfId="0" applyAlignment="1" applyBorder="1" applyFont="1" applyNumberFormat="1">
      <alignment horizontal="center"/>
    </xf>
    <xf borderId="1" fillId="0" fontId="1" numFmtId="170" xfId="0" applyAlignment="1" applyBorder="1" applyFont="1" applyNumberFormat="1">
      <alignment horizontal="center"/>
    </xf>
    <xf borderId="1" fillId="0" fontId="1" numFmtId="171" xfId="0" applyAlignment="1" applyBorder="1" applyFont="1" applyNumberFormat="1">
      <alignment horizontal="center"/>
    </xf>
    <xf borderId="1" fillId="0" fontId="1" numFmtId="172" xfId="0" applyAlignment="1" applyBorder="1" applyFont="1" applyNumberFormat="1">
      <alignment horizontal="center"/>
    </xf>
    <xf borderId="0" fillId="2" fontId="15" numFmtId="0" xfId="0" applyAlignment="1" applyFill="1" applyFont="1">
      <alignment horizontal="center" shrinkToFit="0" vertical="center" wrapText="0"/>
    </xf>
    <xf borderId="0" fillId="0" fontId="16" numFmtId="0" xfId="0" applyFont="1"/>
    <xf borderId="0" fillId="2" fontId="17" numFmtId="0" xfId="0" applyAlignment="1" applyFill="1" applyFont="1">
      <alignment horizontal="center" shrinkToFit="0" vertical="center" wrapText="0"/>
    </xf>
    <xf borderId="0" fillId="2" fontId="17" numFmtId="0" xfId="0" applyAlignment="1" applyFill="1" applyFont="1">
      <alignment horizontal="center" vertical="center"/>
    </xf>
    <xf borderId="0" fillId="5" fontId="18" numFmtId="0" xfId="0" applyAlignment="1" applyFill="1" applyFont="1">
      <alignment horizontal="center"/>
    </xf>
    <xf borderId="1" fillId="0" fontId="1" numFmtId="173" xfId="0" applyAlignment="1" applyBorder="1" applyFont="1" applyNumberFormat="1">
      <alignment horizontal="center" vertical="bottom"/>
    </xf>
    <xf borderId="1" fillId="0" fontId="1" numFmtId="0" xfId="0" applyAlignment="1" applyBorder="1" applyFont="1">
      <alignment horizontal="center" vertical="bottom"/>
    </xf>
    <xf borderId="1" fillId="0" fontId="1" numFmtId="164" xfId="0" applyAlignment="1" applyBorder="1" applyFont="1" applyNumberFormat="1">
      <alignment horizontal="center" vertical="bottom"/>
    </xf>
    <xf borderId="1" fillId="0" fontId="1" numFmtId="9" xfId="0" applyAlignment="1" applyBorder="1" applyFont="1" applyNumberFormat="1">
      <alignment horizontal="center" vertical="bottom"/>
    </xf>
    <xf borderId="1" fillId="4" fontId="3" numFmtId="164" xfId="0" applyAlignment="1" applyBorder="1" applyFill="1" applyFont="1" applyNumberFormat="1">
      <alignment horizontal="center" shrinkToFit="0" vertical="bottom" wrapText="0"/>
    </xf>
    <xf borderId="1" fillId="11" fontId="1" numFmtId="0" xfId="0" applyAlignment="1" applyBorder="1" applyFill="1" applyFont="1">
      <alignment horizontal="center" vertical="bottom"/>
    </xf>
    <xf borderId="1" fillId="11" fontId="9" numFmtId="0" xfId="0" applyAlignment="1" applyBorder="1" applyFill="1" applyFont="1">
      <alignment horizontal="center" vertical="bottom"/>
    </xf>
    <xf borderId="1" fillId="0" fontId="10" numFmtId="164" xfId="0" applyAlignment="1" applyBorder="1" applyFont="1" applyNumberFormat="1">
      <alignment horizontal="center" shrinkToFit="0" vertical="bottom" wrapText="0"/>
    </xf>
    <xf borderId="1" fillId="0" fontId="9" numFmtId="164" xfId="0" applyAlignment="1" applyBorder="1" applyFont="1" applyNumberFormat="1">
      <alignment horizontal="center"/>
    </xf>
    <xf borderId="1" fillId="0" fontId="9" numFmtId="9" xfId="0" applyAlignment="1" applyBorder="1" applyFont="1" applyNumberFormat="1">
      <alignment horizontal="center"/>
    </xf>
    <xf borderId="1" fillId="5" fontId="1" numFmtId="164" xfId="0" applyAlignment="1" applyBorder="1" applyFill="1" applyFont="1" applyNumberFormat="1">
      <alignment horizontal="center"/>
    </xf>
    <xf borderId="0" fillId="0" fontId="6" numFmtId="9" xfId="0" applyFont="1" applyNumberFormat="1"/>
    <xf borderId="0" fillId="3" fontId="1" numFmtId="0" xfId="0" applyFill="1" applyFont="1"/>
    <xf borderId="0" fillId="6" fontId="18" numFmtId="0" xfId="0" applyAlignment="1" applyFill="1" applyFont="1">
      <alignment horizontal="center"/>
    </xf>
    <xf borderId="1" fillId="0" fontId="1" numFmtId="9" xfId="0" applyAlignment="1" applyBorder="1" applyFont="1" applyNumberFormat="1">
      <alignment horizontal="center" shrinkToFit="0" vertical="bottom" wrapText="0"/>
    </xf>
    <xf borderId="1" fillId="0" fontId="6" numFmtId="165" xfId="0" applyAlignment="1" applyBorder="1" applyFont="1" applyNumberFormat="1">
      <alignment horizontal="center"/>
    </xf>
    <xf borderId="0" fillId="10" fontId="6" numFmtId="0" xfId="0" applyAlignment="1" applyFill="1" applyFont="1">
      <alignment horizontal="center"/>
    </xf>
    <xf borderId="0" fillId="10" fontId="6" numFmtId="169" xfId="0" applyAlignment="1" applyFill="1" applyFont="1" applyNumberFormat="1">
      <alignment horizontal="center"/>
    </xf>
    <xf borderId="0" fillId="10" fontId="6" numFmtId="170" xfId="0" applyAlignment="1" applyFill="1" applyFont="1" applyNumberFormat="1">
      <alignment horizontal="center"/>
    </xf>
    <xf borderId="0" fillId="10" fontId="6" numFmtId="9" xfId="0" applyAlignment="1" applyFill="1" applyFont="1" applyNumberFormat="1">
      <alignment horizontal="center"/>
    </xf>
    <xf borderId="0" fillId="5" fontId="6" numFmtId="9" xfId="0" applyAlignment="1" applyFill="1" applyFont="1" applyNumberFormat="1">
      <alignment horizontal="center"/>
    </xf>
    <xf borderId="0" fillId="0" fontId="6" numFmtId="166" xfId="0" applyAlignment="1" applyFont="1" applyNumberFormat="1">
      <alignment horizontal="center"/>
    </xf>
    <xf borderId="0" fillId="4" fontId="6" numFmtId="0" xfId="0" applyAlignment="1" applyFill="1" applyFont="1">
      <alignment horizontal="center"/>
    </xf>
    <xf borderId="0" fillId="4" fontId="6" numFmtId="9" xfId="0" applyAlignment="1" applyFill="1" applyFont="1" applyNumberFormat="1">
      <alignment horizontal="center"/>
    </xf>
    <xf borderId="0" fillId="4" fontId="5" numFmtId="0" xfId="0" applyFill="1" applyFont="1"/>
    <xf borderId="0" fillId="4" fontId="5" numFmtId="164" xfId="0" applyFill="1" applyFont="1" applyNumberFormat="1"/>
    <xf borderId="1" fillId="12" fontId="6" numFmtId="164" xfId="0" applyAlignment="1" applyBorder="1" applyFill="1" applyFont="1" applyNumberFormat="1">
      <alignment horizontal="center"/>
    </xf>
    <xf borderId="1" fillId="12" fontId="6" numFmtId="9" xfId="0" applyAlignment="1" applyBorder="1" applyFill="1" applyFont="1" applyNumberFormat="1">
      <alignment horizontal="center"/>
    </xf>
    <xf borderId="1" fillId="12" fontId="6" numFmtId="0" xfId="0" applyAlignment="1" applyBorder="1" applyFill="1" applyFont="1">
      <alignment horizontal="center"/>
    </xf>
    <xf borderId="1" fillId="0" fontId="19" numFmtId="0" xfId="0" applyAlignment="1" applyBorder="1" applyFont="1">
      <alignment horizontal="center" shrinkToFit="0" vertical="bottom" wrapText="0"/>
    </xf>
    <xf borderId="1" fillId="0" fontId="19" numFmtId="9" xfId="0" applyAlignment="1" applyBorder="1" applyFont="1" applyNumberFormat="1">
      <alignment horizontal="center" shrinkToFit="0" vertical="bottom" wrapText="0"/>
    </xf>
    <xf borderId="1" fillId="5" fontId="6" numFmtId="164" xfId="0" applyAlignment="1" applyBorder="1" applyFill="1" applyFont="1" applyNumberFormat="1">
      <alignment horizontal="center"/>
    </xf>
    <xf borderId="0" fillId="7" fontId="18" numFmtId="0" xfId="0" applyAlignment="1" applyFill="1" applyFont="1">
      <alignment horizontal="center"/>
    </xf>
    <xf borderId="1" fillId="11" fontId="1" numFmtId="0" xfId="0" applyAlignment="1" applyBorder="1" applyFill="1" applyFont="1">
      <alignment horizontal="center"/>
    </xf>
    <xf borderId="0" fillId="5" fontId="6" numFmtId="0" xfId="0" applyAlignment="1" applyFill="1" applyFont="1">
      <alignment horizontal="center"/>
    </xf>
    <xf borderId="0" fillId="5" fontId="6" numFmtId="0" xfId="0" applyFill="1" applyFont="1"/>
    <xf borderId="0" fillId="0" fontId="5" numFmtId="9" xfId="0" applyFont="1" applyNumberFormat="1"/>
    <xf borderId="1" fillId="0" fontId="14" numFmtId="164" xfId="0" applyAlignment="1" applyBorder="1" applyFont="1" applyNumberFormat="1">
      <alignment horizontal="center"/>
    </xf>
    <xf borderId="1" fillId="13" fontId="19" numFmtId="0" xfId="0" applyAlignment="1" applyBorder="1" applyFill="1" applyFont="1">
      <alignment horizontal="center" shrinkToFit="0" vertical="bottom" wrapText="0"/>
    </xf>
    <xf borderId="1" fillId="13" fontId="19" numFmtId="9" xfId="0" applyAlignment="1" applyBorder="1" applyFill="1" applyFont="1" applyNumberFormat="1">
      <alignment horizontal="center" shrinkToFit="0" vertical="bottom" wrapText="0"/>
    </xf>
    <xf borderId="1" fillId="4" fontId="19" numFmtId="0" xfId="0" applyAlignment="1" applyBorder="1" applyFill="1" applyFont="1">
      <alignment horizontal="center" shrinkToFit="0" vertical="bottom" wrapText="0"/>
    </xf>
    <xf borderId="1" fillId="4" fontId="19" numFmtId="9" xfId="0" applyAlignment="1" applyBorder="1" applyFill="1" applyFont="1" applyNumberFormat="1">
      <alignment horizontal="center" shrinkToFit="0" vertical="bottom" wrapText="0"/>
    </xf>
    <xf borderId="1" fillId="14" fontId="6" numFmtId="0" xfId="0" applyAlignment="1" applyBorder="1" applyFill="1" applyFont="1">
      <alignment horizontal="center"/>
    </xf>
    <xf borderId="1" fillId="14" fontId="6" numFmtId="166" xfId="0" applyAlignment="1" applyBorder="1" applyFill="1" applyFont="1" applyNumberFormat="1">
      <alignment horizontal="center"/>
    </xf>
    <xf borderId="1" fillId="14" fontId="6" numFmtId="164" xfId="0" applyAlignment="1" applyBorder="1" applyFill="1" applyFont="1" applyNumberFormat="1">
      <alignment horizontal="center"/>
    </xf>
    <xf borderId="1" fillId="14" fontId="6" numFmtId="9" xfId="0" applyAlignment="1" applyBorder="1" applyFill="1" applyFont="1" applyNumberFormat="1">
      <alignment horizontal="center"/>
    </xf>
    <xf borderId="1" fillId="3" fontId="19" numFmtId="0" xfId="0" applyAlignment="1" applyBorder="1" applyFill="1" applyFont="1">
      <alignment horizontal="center" shrinkToFit="0" vertical="bottom" wrapText="0"/>
    </xf>
    <xf borderId="1" fillId="5" fontId="19" numFmtId="0" xfId="0" applyAlignment="1" applyBorder="1" applyFill="1" applyFont="1">
      <alignment horizontal="center" shrinkToFit="0" vertical="bottom" wrapText="0"/>
    </xf>
    <xf borderId="1" fillId="5" fontId="19" numFmtId="9" xfId="0" applyAlignment="1" applyBorder="1" applyFill="1" applyFont="1" applyNumberFormat="1">
      <alignment horizontal="center" shrinkToFit="0" vertical="bottom" wrapText="0"/>
    </xf>
    <xf borderId="1" fillId="14" fontId="13" numFmtId="9" xfId="0" applyAlignment="1" applyBorder="1" applyFill="1" applyFont="1" applyNumberFormat="1">
      <alignment horizontal="center"/>
    </xf>
    <xf borderId="0" fillId="0" fontId="5" numFmtId="9" xfId="0" applyAlignment="1" applyFont="1" applyNumberFormat="1">
      <alignment horizontal="center"/>
    </xf>
    <xf borderId="1" fillId="3" fontId="19" numFmtId="9" xfId="0" applyAlignment="1" applyBorder="1" applyFill="1" applyFont="1" applyNumberFormat="1">
      <alignment horizontal="center" shrinkToFit="0" vertical="bottom" wrapText="0"/>
    </xf>
    <xf borderId="1" fillId="14" fontId="19" numFmtId="164" xfId="0" applyAlignment="1" applyBorder="1" applyFill="1" applyFont="1" applyNumberFormat="1">
      <alignment horizontal="center" shrinkToFit="0" vertical="bottom" wrapText="0"/>
    </xf>
    <xf borderId="1" fillId="12" fontId="6" numFmtId="166" xfId="0" applyAlignment="1" applyBorder="1" applyFill="1" applyFont="1" applyNumberFormat="1">
      <alignment horizontal="center"/>
    </xf>
    <xf borderId="1" fillId="12" fontId="19" numFmtId="0" xfId="0" applyAlignment="1" applyBorder="1" applyFill="1" applyFont="1">
      <alignment horizontal="center" shrinkToFit="0" vertical="bottom" wrapText="0"/>
    </xf>
    <xf borderId="1" fillId="12" fontId="19" numFmtId="164" xfId="0" applyAlignment="1" applyBorder="1" applyFill="1" applyFont="1" applyNumberFormat="1">
      <alignment horizontal="center" shrinkToFit="0" vertical="bottom" wrapText="0"/>
    </xf>
    <xf borderId="1" fillId="12" fontId="19" numFmtId="9" xfId="0" applyAlignment="1" applyBorder="1" applyFill="1" applyFont="1" applyNumberFormat="1">
      <alignment horizontal="center" shrinkToFit="0" vertical="bottom" wrapText="0"/>
    </xf>
    <xf borderId="1" fillId="12" fontId="6" numFmtId="166" xfId="0" applyAlignment="1" applyBorder="1" applyFill="1" applyFont="1" applyNumberFormat="1">
      <alignment horizontal="center" vertical="center"/>
    </xf>
    <xf borderId="1" fillId="12" fontId="6" numFmtId="0" xfId="0" applyAlignment="1" applyBorder="1" applyFill="1" applyFont="1">
      <alignment horizontal="center" vertical="center"/>
    </xf>
    <xf borderId="0" fillId="0" fontId="20" numFmtId="0" xfId="0" applyFont="1"/>
    <xf borderId="0" fillId="3" fontId="4" numFmtId="0" xfId="0" applyAlignment="1" applyFill="1" applyFont="1">
      <alignment horizontal="center" shrinkToFit="0" vertical="center" wrapText="0"/>
    </xf>
    <xf borderId="0" fillId="3" fontId="4" numFmtId="0" xfId="0" applyAlignment="1" applyFill="1" applyFont="1">
      <alignment horizontal="center" vertical="center"/>
    </xf>
    <xf borderId="1" fillId="15" fontId="6" numFmtId="0" xfId="0" applyAlignment="1" applyBorder="1" applyFill="1" applyFont="1">
      <alignment horizontal="center"/>
    </xf>
    <xf borderId="1" fillId="15" fontId="6" numFmtId="166" xfId="0" applyAlignment="1" applyBorder="1" applyFill="1" applyFont="1" applyNumberFormat="1">
      <alignment horizontal="center"/>
    </xf>
    <xf borderId="1" fillId="15" fontId="6" numFmtId="164" xfId="0" applyAlignment="1" applyBorder="1" applyFill="1" applyFont="1" applyNumberFormat="1">
      <alignment horizontal="center"/>
    </xf>
    <xf borderId="1" fillId="15" fontId="6" numFmtId="9" xfId="0" applyAlignment="1" applyBorder="1" applyFill="1" applyFont="1" applyNumberFormat="1">
      <alignment horizontal="center"/>
    </xf>
    <xf borderId="0" fillId="0" fontId="6" numFmtId="9" xfId="0" applyAlignment="1" applyFont="1" applyNumberFormat="1">
      <alignment horizontal="center"/>
    </xf>
    <xf borderId="0" fillId="0" fontId="4" numFmtId="0" xfId="0" applyFont="1"/>
    <xf borderId="1" fillId="8" fontId="1" numFmtId="9" xfId="0" applyAlignment="1" applyBorder="1" applyFill="1" applyFont="1" applyNumberFormat="1">
      <alignment horizontal="center"/>
    </xf>
    <xf borderId="1" fillId="0" fontId="16" numFmtId="0" xfId="0" applyAlignment="1" applyBorder="1" applyFont="1">
      <alignment horizontal="center" vertical="bottom"/>
    </xf>
    <xf borderId="1" fillId="0" fontId="16" numFmtId="164" xfId="0" applyAlignment="1" applyBorder="1" applyFont="1" applyNumberFormat="1">
      <alignment horizontal="center" vertical="bottom"/>
    </xf>
    <xf borderId="1" fillId="0" fontId="16" numFmtId="9" xfId="0" applyAlignment="1" applyBorder="1" applyFont="1" applyNumberFormat="1">
      <alignment horizontal="center" vertical="bottom"/>
    </xf>
    <xf borderId="1" fillId="12" fontId="19" numFmtId="174" xfId="0" applyAlignment="1" applyBorder="1" applyFill="1" applyFont="1" applyNumberFormat="1">
      <alignment horizontal="center" shrinkToFit="0" vertical="bottom" wrapText="0"/>
    </xf>
    <xf borderId="1" fillId="12" fontId="19" numFmtId="0" xfId="0" applyAlignment="1" applyBorder="1" applyFill="1" applyFont="1">
      <alignment horizontal="center" shrinkToFit="0" vertical="center" wrapText="0"/>
    </xf>
    <xf borderId="1" fillId="12" fontId="19" numFmtId="174" xfId="0" applyAlignment="1" applyBorder="1" applyFill="1" applyFont="1" applyNumberFormat="1">
      <alignment horizontal="center" shrinkToFit="0" vertical="center" wrapText="0"/>
    </xf>
    <xf borderId="0" fillId="0" fontId="5" numFmtId="0" xfId="0" applyAlignment="1" applyFont="1">
      <alignment vertical="bottom"/>
    </xf>
    <xf borderId="1" fillId="12" fontId="19" numFmtId="9" xfId="0" applyAlignment="1" applyBorder="1" applyFill="1" applyFont="1" applyNumberFormat="1">
      <alignment horizontal="center" shrinkToFit="0" vertical="center" wrapText="0"/>
    </xf>
    <xf borderId="1" fillId="5" fontId="16" numFmtId="9" xfId="0" applyAlignment="1" applyBorder="1" applyFill="1" applyFont="1" applyNumberFormat="1">
      <alignment horizontal="center" vertical="bottom"/>
    </xf>
    <xf borderId="1" fillId="6" fontId="1" numFmtId="0" xfId="0" applyAlignment="1" applyBorder="1" applyFill="1" applyFont="1">
      <alignment horizontal="center"/>
    </xf>
    <xf borderId="1" fillId="8" fontId="1" numFmtId="0" xfId="0" applyAlignment="1" applyBorder="1" applyFill="1" applyFont="1">
      <alignment horizontal="center"/>
    </xf>
    <xf borderId="0" fillId="3" fontId="6" numFmtId="0" xfId="0" applyFill="1" applyFont="1"/>
    <xf borderId="1" fillId="15" fontId="19" numFmtId="0" xfId="0" applyAlignment="1" applyBorder="1" applyFill="1" applyFont="1">
      <alignment horizontal="center" shrinkToFit="0" vertical="bottom" wrapText="0"/>
    </xf>
    <xf borderId="1" fillId="15" fontId="19" numFmtId="9" xfId="0" applyAlignment="1" applyBorder="1" applyFill="1" applyFont="1" applyNumberFormat="1">
      <alignment horizontal="center" shrinkToFit="0" vertical="bottom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7">
    <tableStyle count="2" pivot="0" name="SM2 2026-style">
      <tableStyleElement dxfId="1" type="firstRowStripe"/>
      <tableStyleElement dxfId="2" type="secondRowStripe"/>
    </tableStyle>
    <tableStyle count="2" pivot="0" name="SM2 2026-style 2">
      <tableStyleElement dxfId="1" type="firstRowStripe"/>
      <tableStyleElement dxfId="2" type="secondRowStripe"/>
    </tableStyle>
    <tableStyle count="2" pivot="0" name="SM2 2026-style 3">
      <tableStyleElement dxfId="1" type="firstRowStripe"/>
      <tableStyleElement dxfId="2" type="secondRowStripe"/>
    </tableStyle>
    <tableStyle count="2" pivot="0" name="Snow 2026-style">
      <tableStyleElement dxfId="1" type="firstRowStripe"/>
      <tableStyleElement dxfId="2" type="secondRowStripe"/>
    </tableStyle>
    <tableStyle count="2" pivot="0" name="Snow 2026-style 2">
      <tableStyleElement dxfId="1" type="firstRowStripe"/>
      <tableStyleElement dxfId="2" type="secondRowStripe"/>
    </tableStyle>
    <tableStyle count="2" pivot="0" name="Expe 2026-style">
      <tableStyleElement dxfId="1" type="firstRowStripe"/>
      <tableStyleElement dxfId="2" type="secondRowStripe"/>
    </tableStyle>
    <tableStyle count="2" pivot="0" name="Expe 2026-style 2">
      <tableStyleElement dxfId="1" type="firstRowStripe"/>
      <tableStyleElement dxfId="2" type="secondRowStripe"/>
    </tableStyle>
    <tableStyle count="2" pivot="0" name="ISS 2026-style">
      <tableStyleElement dxfId="1" type="firstRowStripe"/>
      <tableStyleElement dxfId="2" type="secondRowStripe"/>
    </tableStyle>
    <tableStyle count="2" pivot="0" name="ISS 2026-style 2">
      <tableStyleElement dxfId="1" type="firstRowStripe"/>
      <tableStyleElement dxfId="2" type="secondRowStripe"/>
    </tableStyle>
    <tableStyle count="2" pivot="0" name="SM2 2025-style">
      <tableStyleElement dxfId="2" type="firstRowStripe"/>
      <tableStyleElement dxfId="1" type="secondRowStripe"/>
    </tableStyle>
    <tableStyle count="2" pivot="0" name="SM2 2025-style 2">
      <tableStyleElement dxfId="2" type="firstRowStripe"/>
      <tableStyleElement dxfId="1" type="secondRowStripe"/>
    </tableStyle>
    <tableStyle count="2" pivot="0" name="Snow 2025-style">
      <tableStyleElement dxfId="1" type="firstRowStripe"/>
      <tableStyleElement dxfId="2" type="secondRowStripe"/>
    </tableStyle>
    <tableStyle count="2" pivot="0" name="Snow 2025-style 2">
      <tableStyleElement dxfId="1" type="firstRowStripe"/>
      <tableStyleElement dxfId="2" type="secondRowStripe"/>
    </tableStyle>
    <tableStyle count="2" pivot="0" name="Expe 2025-style">
      <tableStyleElement dxfId="2" type="firstRowStripe"/>
      <tableStyleElement dxfId="1" type="secondRowStripe"/>
    </tableStyle>
    <tableStyle count="2" pivot="0" name="Expe 2025-style 2">
      <tableStyleElement dxfId="2" type="firstRowStripe"/>
      <tableStyleElement dxfId="1" type="secondRowStripe"/>
    </tableStyle>
    <tableStyle count="2" pivot="0" name="ISS 2025-style">
      <tableStyleElement dxfId="1" type="firstRowStripe"/>
      <tableStyleElement dxfId="2" type="secondRowStripe"/>
    </tableStyle>
    <tableStyle count="2" pivot="0" name="ISS 2025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48:E371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SM2 2026-style" showColumnStripes="0" showFirstColumn="1" showLastColumn="1" showRowStripes="1"/>
</table>
</file>

<file path=xl/tables/table2.xml><?xml version="1.0" encoding="utf-8"?>
<table xmlns="http://schemas.openxmlformats.org/spreadsheetml/2006/main" headerRowCount="0" ref="G348:G400" displayName="Table_2" name="Table_2" id="2">
  <tableColumns count="1">
    <tableColumn name="Column1" id="1"/>
  </tableColumns>
  <tableStyleInfo name="SM2 2026-style 2" showColumnStripes="0" showFirstColumn="1" showLastColumn="1" showRowStripes="1"/>
</table>
</file>

<file path=xl/tables/table3.xml><?xml version="1.0" encoding="utf-8"?>
<table xmlns="http://schemas.openxmlformats.org/spreadsheetml/2006/main" headerRowCount="0" ref="D372:E400" displayName="Table_3" name="Table_3" id="3">
  <tableColumns count="2">
    <tableColumn name="Column1" id="1"/>
    <tableColumn name="Column2" id="2"/>
  </tableColumns>
  <tableStyleInfo name="SM2 2026-style 3" showColumnStripes="0" showFirstColumn="1" showLastColumn="1" showRowStripes="1"/>
</table>
</file>

<file path=xl/tables/table4.xml><?xml version="1.0" encoding="utf-8"?>
<table xmlns="http://schemas.openxmlformats.org/spreadsheetml/2006/main" headerRowCount="0" ref="A791:F1142" displayName="Table_4" name="Table_4" id="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now 2026-style" showColumnStripes="0" showFirstColumn="1" showLastColumn="1" showRowStripes="1"/>
</table>
</file>

<file path=xl/tables/table5.xml><?xml version="1.0" encoding="utf-8"?>
<table xmlns="http://schemas.openxmlformats.org/spreadsheetml/2006/main" headerRowCount="0" ref="G791:G1142" displayName="Table_5" name="Table_5" id="5">
  <tableColumns count="1">
    <tableColumn name="Column1" id="1"/>
  </tableColumns>
  <tableStyleInfo name="Snow 2026-style 2" showColumnStripes="0" showFirstColumn="1" showLastColumn="1" showRowStripes="1"/>
</table>
</file>

<file path=xl/tables/table6.xml><?xml version="1.0" encoding="utf-8"?>
<table xmlns="http://schemas.openxmlformats.org/spreadsheetml/2006/main" headerRowCount="0" ref="A254:E274" displayName="Table_6" name="Table_6" id="6">
  <tableColumns count="5">
    <tableColumn name="Column1" id="1"/>
    <tableColumn name="Column2" id="2"/>
    <tableColumn name="Column3" id="3"/>
    <tableColumn name="Column4" id="4"/>
    <tableColumn name="Column5" id="5"/>
  </tableColumns>
  <tableStyleInfo name="Expe 2026-style" showColumnStripes="0" showFirstColumn="1" showLastColumn="1" showRowStripes="1"/>
</table>
</file>

<file path=xl/tables/table7.xml><?xml version="1.0" encoding="utf-8"?>
<table xmlns="http://schemas.openxmlformats.org/spreadsheetml/2006/main" headerRowCount="0" ref="G254:G274" displayName="Table_7" name="Table_7" id="7">
  <tableColumns count="1">
    <tableColumn name="Column1" id="1"/>
  </tableColumns>
  <tableStyleInfo name="Expe 2026-style 2" showColumnStripes="0" showFirstColumn="1" showLastColumn="1" showRowStripes="1"/>
</table>
</file>

<file path=xl/tables/table8.xml><?xml version="1.0" encoding="utf-8"?>
<table xmlns="http://schemas.openxmlformats.org/spreadsheetml/2006/main" headerRowCount="0" ref="A189:E246" displayName="Table_8" name="Table_8" id="8">
  <tableColumns count="5">
    <tableColumn name="Column1" id="1"/>
    <tableColumn name="Column2" id="2"/>
    <tableColumn name="Column3" id="3"/>
    <tableColumn name="Column4" id="4"/>
    <tableColumn name="Column5" id="5"/>
  </tableColumns>
  <tableStyleInfo name="ISS 2026-style" showColumnStripes="0" showFirstColumn="1" showLastColumn="1" showRowStripes="1"/>
</table>
</file>

<file path=xl/tables/table9.xml><?xml version="1.0" encoding="utf-8"?>
<table xmlns="http://schemas.openxmlformats.org/spreadsheetml/2006/main" headerRowCount="0" ref="G189:G246" displayName="Table_9" name="Table_9" id="9">
  <tableColumns count="1">
    <tableColumn name="Column1" id="1"/>
  </tableColumns>
  <tableStyleInfo name="ISS 2026-style 2" showColumnStripes="0" showFirstColumn="1" showLastColumn="1" showRowStripes="1"/>
</table>
</file>

<file path=xl/tables/table10.xml><?xml version="1.0" encoding="utf-8"?>
<table xmlns="http://schemas.openxmlformats.org/spreadsheetml/2006/main" headerRowCount="0" ref="A226:E260" displayName="Table_10" name="Table_10" id="10">
  <tableColumns count="5">
    <tableColumn name="Column1" id="1"/>
    <tableColumn name="Column2" id="2"/>
    <tableColumn name="Column3" id="3"/>
    <tableColumn name="Column4" id="4"/>
    <tableColumn name="Column5" id="5"/>
  </tableColumns>
  <tableStyleInfo name="SM2 2025-style" showColumnStripes="0" showFirstColumn="1" showLastColumn="1" showRowStripes="1"/>
</table>
</file>

<file path=xl/tables/table11.xml><?xml version="1.0" encoding="utf-8"?>
<table xmlns="http://schemas.openxmlformats.org/spreadsheetml/2006/main" headerRowCount="0" ref="G226:G260" displayName="Table_11" name="Table_11" id="11">
  <tableColumns count="1">
    <tableColumn name="Column1" id="1"/>
  </tableColumns>
  <tableStyleInfo name="SM2 2025-style 2" showColumnStripes="0" showFirstColumn="1" showLastColumn="1" showRowStripes="1"/>
</table>
</file>

<file path=xl/tables/table12.xml><?xml version="1.0" encoding="utf-8"?>
<table xmlns="http://schemas.openxmlformats.org/spreadsheetml/2006/main" headerRowCount="0" ref="A615:F941" displayName="Table_12" name="Table_12" id="1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now 2025-style" showColumnStripes="0" showFirstColumn="1" showLastColumn="1" showRowStripes="1"/>
</table>
</file>

<file path=xl/tables/table13.xml><?xml version="1.0" encoding="utf-8"?>
<table xmlns="http://schemas.openxmlformats.org/spreadsheetml/2006/main" headerRowCount="0" ref="G615:G941" displayName="Table_13" name="Table_13" id="13">
  <tableColumns count="1">
    <tableColumn name="Column1" id="1"/>
  </tableColumns>
  <tableStyleInfo name="Snow 2025-style 2" showColumnStripes="0" showFirstColumn="1" showLastColumn="1" showRowStripes="1"/>
</table>
</file>

<file path=xl/tables/table14.xml><?xml version="1.0" encoding="utf-8"?>
<table xmlns="http://schemas.openxmlformats.org/spreadsheetml/2006/main" headerRowCount="0" ref="A182:E207" displayName="Table_14" name="Table_14" id="14">
  <tableColumns count="5">
    <tableColumn name="Column1" id="1"/>
    <tableColumn name="Column2" id="2"/>
    <tableColumn name="Column3" id="3"/>
    <tableColumn name="Column4" id="4"/>
    <tableColumn name="Column5" id="5"/>
  </tableColumns>
  <tableStyleInfo name="Expe 2025-style" showColumnStripes="0" showFirstColumn="1" showLastColumn="1" showRowStripes="1"/>
</table>
</file>

<file path=xl/tables/table15.xml><?xml version="1.0" encoding="utf-8"?>
<table xmlns="http://schemas.openxmlformats.org/spreadsheetml/2006/main" headerRowCount="0" ref="G182:G207" displayName="Table_15" name="Table_15" id="15">
  <tableColumns count="1">
    <tableColumn name="Column1" id="1"/>
  </tableColumns>
  <tableStyleInfo name="Expe 2025-style 2" showColumnStripes="0" showFirstColumn="1" showLastColumn="1" showRowStripes="1"/>
</table>
</file>

<file path=xl/tables/table16.xml><?xml version="1.0" encoding="utf-8"?>
<table xmlns="http://schemas.openxmlformats.org/spreadsheetml/2006/main" headerRowCount="0" ref="A250:E317" displayName="Table_16" name="Table_16" id="16">
  <tableColumns count="5">
    <tableColumn name="Column1" id="1"/>
    <tableColumn name="Column2" id="2"/>
    <tableColumn name="Column3" id="3"/>
    <tableColumn name="Column4" id="4"/>
    <tableColumn name="Column5" id="5"/>
  </tableColumns>
  <tableStyleInfo name="ISS 2025-style" showColumnStripes="0" showFirstColumn="1" showLastColumn="1" showRowStripes="1"/>
</table>
</file>

<file path=xl/tables/table17.xml><?xml version="1.0" encoding="utf-8"?>
<table xmlns="http://schemas.openxmlformats.org/spreadsheetml/2006/main" headerRowCount="0" ref="G250:G317" displayName="Table_17" name="Table_17" id="17">
  <tableColumns count="1">
    <tableColumn name="Column1" id="1"/>
  </tableColumns>
  <tableStyleInfo name="ISS 2025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6.xml"/><Relationship Id="rId5" Type="http://schemas.openxmlformats.org/officeDocument/2006/relationships/table" Target="../tables/table7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4" Type="http://schemas.openxmlformats.org/officeDocument/2006/relationships/table" Target="../tables/table8.xml"/><Relationship Id="rId5" Type="http://schemas.openxmlformats.org/officeDocument/2006/relationships/table" Target="../tables/table9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4" Type="http://schemas.openxmlformats.org/officeDocument/2006/relationships/table" Target="../tables/table10.xml"/><Relationship Id="rId5" Type="http://schemas.openxmlformats.org/officeDocument/2006/relationships/table" Target="../tables/table11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4" Type="http://schemas.openxmlformats.org/officeDocument/2006/relationships/table" Target="../tables/table12.xml"/><Relationship Id="rId5" Type="http://schemas.openxmlformats.org/officeDocument/2006/relationships/table" Target="../tables/table13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4" Type="http://schemas.openxmlformats.org/officeDocument/2006/relationships/table" Target="../tables/table14.xml"/><Relationship Id="rId5" Type="http://schemas.openxmlformats.org/officeDocument/2006/relationships/table" Target="../tables/table15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4" Type="http://schemas.openxmlformats.org/officeDocument/2006/relationships/table" Target="../tables/table16.xml"/><Relationship Id="rId5" Type="http://schemas.openxmlformats.org/officeDocument/2006/relationships/table" Target="../tables/table17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9.13"/>
    <col customWidth="1" min="2" max="6" width="12.63"/>
  </cols>
  <sheetData>
    <row r="1" ht="15.75" customHeight="1">
      <c r="A1" s="1" t="s">
        <v>0</v>
      </c>
      <c r="B1" s="3">
        <v>39.99</v>
      </c>
    </row>
    <row r="2" ht="15.75" customHeight="1">
      <c r="A2" s="1" t="s">
        <v>1</v>
      </c>
      <c r="B2" s="3">
        <v>69.99</v>
      </c>
    </row>
    <row r="3" ht="15.75" customHeight="1">
      <c r="A3" s="1" t="s">
        <v>3</v>
      </c>
      <c r="B3" s="3" t="s">
        <v>4</v>
      </c>
    </row>
    <row r="4" ht="15.75" customHeight="1">
      <c r="A4" s="6" t="s">
        <v>5</v>
      </c>
      <c r="B4" s="8">
        <v>49.99</v>
      </c>
    </row>
    <row r="5" ht="15.75" customHeight="1">
      <c r="A5" s="6" t="s">
        <v>12</v>
      </c>
      <c r="B5" s="8">
        <v>79.99</v>
      </c>
    </row>
    <row r="6" ht="15.75" customHeight="1">
      <c r="A6" s="6" t="s">
        <v>13</v>
      </c>
      <c r="B6" s="8">
        <v>44.99</v>
      </c>
    </row>
    <row r="7" ht="15.75" customHeight="1">
      <c r="A7" s="6" t="s">
        <v>15</v>
      </c>
      <c r="B7" s="8">
        <v>59.99</v>
      </c>
    </row>
    <row r="8" ht="15.75" customHeight="1">
      <c r="A8" s="6" t="s">
        <v>16</v>
      </c>
      <c r="B8" s="8">
        <v>34.99</v>
      </c>
    </row>
    <row r="9" ht="15.75" customHeight="1">
      <c r="A9" s="1" t="s">
        <v>17</v>
      </c>
      <c r="B9" s="10">
        <v>39.99</v>
      </c>
    </row>
    <row r="10" ht="15.75" customHeight="1">
      <c r="A10" s="1" t="s">
        <v>18</v>
      </c>
      <c r="B10" s="10">
        <v>24.99</v>
      </c>
    </row>
    <row r="11" ht="15.75" customHeight="1">
      <c r="A11" s="1" t="s">
        <v>19</v>
      </c>
      <c r="B11" s="10">
        <v>69.99</v>
      </c>
    </row>
    <row r="12" ht="15.75" customHeight="1">
      <c r="A12" s="1" t="s">
        <v>20</v>
      </c>
      <c r="B12" s="10">
        <v>109.99</v>
      </c>
    </row>
    <row r="13" ht="15.75" customHeight="1">
      <c r="A13" s="1" t="s">
        <v>21</v>
      </c>
      <c r="B13" s="10">
        <v>39.99</v>
      </c>
    </row>
    <row r="14" ht="15.75" customHeight="1">
      <c r="A14" s="1" t="s">
        <v>22</v>
      </c>
      <c r="B14" s="10">
        <v>59.99</v>
      </c>
    </row>
    <row r="15" ht="15.75" customHeight="1">
      <c r="A15" s="1" t="s">
        <v>23</v>
      </c>
      <c r="B15" s="10">
        <v>79.99</v>
      </c>
    </row>
    <row r="16" ht="15.75" customHeight="1">
      <c r="A16" s="1" t="s">
        <v>24</v>
      </c>
      <c r="B16" s="10">
        <v>29.99</v>
      </c>
    </row>
    <row r="17" ht="15.75" customHeight="1">
      <c r="A17" s="1" t="s">
        <v>25</v>
      </c>
      <c r="B17" s="10">
        <v>79.99</v>
      </c>
    </row>
    <row r="18" ht="15.75" customHeight="1">
      <c r="A18" s="1" t="s">
        <v>26</v>
      </c>
      <c r="B18" s="10" t="s">
        <v>4</v>
      </c>
    </row>
    <row r="19" ht="15.75" customHeight="1">
      <c r="A19" s="1" t="s">
        <v>28</v>
      </c>
      <c r="B19" s="10" t="s">
        <v>4</v>
      </c>
    </row>
    <row r="20" ht="15.75" customHeight="1">
      <c r="A20" s="1" t="s">
        <v>29</v>
      </c>
      <c r="B20" s="10">
        <v>6.99</v>
      </c>
    </row>
    <row r="21" ht="15.75" customHeight="1">
      <c r="A21" s="1" t="s">
        <v>30</v>
      </c>
      <c r="B21" s="10">
        <v>6.99</v>
      </c>
    </row>
    <row r="22" ht="15.75" customHeight="1">
      <c r="A22" s="1" t="s">
        <v>32</v>
      </c>
      <c r="B22" s="10">
        <v>24.99</v>
      </c>
    </row>
    <row r="23" ht="15.75" customHeight="1">
      <c r="A23" s="1" t="s">
        <v>34</v>
      </c>
      <c r="B23" s="10">
        <v>24.99</v>
      </c>
    </row>
    <row r="24" ht="15.75" customHeight="1">
      <c r="A24" s="13" t="s">
        <v>35</v>
      </c>
      <c r="B24" s="8">
        <v>49.99</v>
      </c>
    </row>
    <row r="25" ht="15.75" customHeight="1">
      <c r="A25" s="13" t="s">
        <v>36</v>
      </c>
      <c r="B25" s="8">
        <v>79.99</v>
      </c>
    </row>
    <row r="26" ht="15.75" customHeight="1">
      <c r="A26" s="13" t="s">
        <v>37</v>
      </c>
      <c r="B26" s="8">
        <v>69.99</v>
      </c>
    </row>
    <row r="27" ht="15.75" customHeight="1">
      <c r="A27" s="13" t="s">
        <v>38</v>
      </c>
      <c r="B27" s="8">
        <v>69.99</v>
      </c>
    </row>
    <row r="28" ht="15.75" customHeight="1">
      <c r="A28" s="13" t="s">
        <v>39</v>
      </c>
      <c r="B28" s="8">
        <v>109.99</v>
      </c>
    </row>
    <row r="29" ht="15.75" customHeight="1">
      <c r="A29" s="13" t="s">
        <v>40</v>
      </c>
      <c r="B29" s="8">
        <v>99.99</v>
      </c>
    </row>
    <row r="30" ht="15.75" customHeight="1">
      <c r="A30" s="13" t="s">
        <v>41</v>
      </c>
      <c r="B30" s="8">
        <v>99.99</v>
      </c>
    </row>
    <row r="31" ht="15.75" customHeight="1">
      <c r="A31" s="13" t="s">
        <v>42</v>
      </c>
      <c r="B31" s="8" t="s">
        <v>4</v>
      </c>
    </row>
    <row r="32" ht="15.75" customHeight="1">
      <c r="A32" s="13" t="s">
        <v>43</v>
      </c>
      <c r="B32" s="8">
        <v>39.99</v>
      </c>
    </row>
    <row r="33" ht="15.75" customHeight="1">
      <c r="A33" s="13" t="s">
        <v>44</v>
      </c>
      <c r="B33" s="8">
        <v>69.99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75"/>
    <col customWidth="1" min="2" max="2" width="7.88"/>
    <col customWidth="1" min="3" max="3" width="31.5"/>
    <col customWidth="1" min="4" max="4" width="57.13"/>
    <col customWidth="1" min="5" max="5" width="15.75"/>
    <col customWidth="1" min="6" max="6" width="15.0"/>
    <col customWidth="1" min="7" max="7" width="9.38"/>
  </cols>
  <sheetData>
    <row r="1" ht="15.75" customHeight="1">
      <c r="A1" s="2">
        <v>2026.0</v>
      </c>
    </row>
    <row r="2" ht="15.75" customHeight="1">
      <c r="A2" s="4" t="s">
        <v>2</v>
      </c>
      <c r="B2" s="4" t="s">
        <v>6</v>
      </c>
      <c r="C2" s="4" t="s">
        <v>7</v>
      </c>
      <c r="D2" s="4" t="s">
        <v>8</v>
      </c>
      <c r="E2" s="7" t="s">
        <v>9</v>
      </c>
      <c r="F2" s="7" t="s">
        <v>10</v>
      </c>
      <c r="G2" s="7" t="s">
        <v>11</v>
      </c>
    </row>
    <row r="3" ht="15.75" customHeight="1">
      <c r="A3" s="9" t="s">
        <v>45</v>
      </c>
    </row>
    <row r="4" ht="15.75" customHeight="1">
      <c r="A4" s="11">
        <v>46030.0</v>
      </c>
      <c r="B4" s="12">
        <v>46044.0</v>
      </c>
      <c r="C4" s="1" t="s">
        <v>27</v>
      </c>
      <c r="D4" s="17" t="s">
        <v>44</v>
      </c>
      <c r="E4" s="8">
        <v>59.99</v>
      </c>
      <c r="F4" s="8">
        <f t="shared" ref="F4:F20" si="1">E4*(1-G4)</f>
        <v>23.996</v>
      </c>
      <c r="G4" s="19">
        <v>0.6</v>
      </c>
    </row>
    <row r="5" ht="15.75" customHeight="1">
      <c r="A5" s="11">
        <v>46030.0</v>
      </c>
      <c r="B5" s="12">
        <v>46044.0</v>
      </c>
      <c r="C5" s="1" t="s">
        <v>27</v>
      </c>
      <c r="D5" s="17" t="s">
        <v>52</v>
      </c>
      <c r="E5" s="8">
        <v>89.99</v>
      </c>
      <c r="F5" s="8">
        <f t="shared" si="1"/>
        <v>35.996</v>
      </c>
      <c r="G5" s="19">
        <v>0.6</v>
      </c>
    </row>
    <row r="6" ht="15.75" customHeight="1">
      <c r="A6" s="11">
        <v>46030.0</v>
      </c>
      <c r="B6" s="12">
        <v>46044.0</v>
      </c>
      <c r="C6" s="1" t="s">
        <v>27</v>
      </c>
      <c r="D6" s="20" t="s">
        <v>53</v>
      </c>
      <c r="E6" s="21">
        <v>99.99</v>
      </c>
      <c r="F6" s="21">
        <f t="shared" si="1"/>
        <v>49.995</v>
      </c>
      <c r="G6" s="22">
        <v>0.5</v>
      </c>
    </row>
    <row r="7" ht="15.75" customHeight="1">
      <c r="A7" s="11">
        <v>46030.0</v>
      </c>
      <c r="B7" s="12">
        <v>46044.0</v>
      </c>
      <c r="C7" s="1" t="s">
        <v>27</v>
      </c>
      <c r="D7" s="17" t="s">
        <v>55</v>
      </c>
      <c r="E7" s="8">
        <v>119.99</v>
      </c>
      <c r="F7" s="8">
        <f t="shared" si="1"/>
        <v>79.1934</v>
      </c>
      <c r="G7" s="19">
        <v>0.34</v>
      </c>
    </row>
    <row r="8" ht="15.75" customHeight="1">
      <c r="A8" s="11">
        <v>46030.0</v>
      </c>
      <c r="B8" s="12">
        <v>46044.0</v>
      </c>
      <c r="C8" s="1" t="s">
        <v>27</v>
      </c>
      <c r="D8" s="17" t="s">
        <v>43</v>
      </c>
      <c r="E8" s="8">
        <v>39.99</v>
      </c>
      <c r="F8" s="8">
        <f t="shared" si="1"/>
        <v>29.9925</v>
      </c>
      <c r="G8" s="19">
        <v>0.25</v>
      </c>
    </row>
    <row r="9" ht="15.75" customHeight="1">
      <c r="A9" s="11">
        <v>46030.0</v>
      </c>
      <c r="B9" s="12">
        <v>46044.0</v>
      </c>
      <c r="C9" s="1" t="s">
        <v>27</v>
      </c>
      <c r="D9" s="17" t="s">
        <v>57</v>
      </c>
      <c r="E9" s="8">
        <v>4.99</v>
      </c>
      <c r="F9" s="8">
        <f t="shared" si="1"/>
        <v>3.992</v>
      </c>
      <c r="G9" s="19">
        <v>0.2</v>
      </c>
    </row>
    <row r="10" ht="15.75" customHeight="1">
      <c r="A10" s="11">
        <v>46030.0</v>
      </c>
      <c r="B10" s="12">
        <v>46044.0</v>
      </c>
      <c r="C10" s="1" t="s">
        <v>27</v>
      </c>
      <c r="D10" s="17" t="s">
        <v>58</v>
      </c>
      <c r="E10" s="8">
        <v>6.99</v>
      </c>
      <c r="F10" s="8">
        <f t="shared" si="1"/>
        <v>5.592</v>
      </c>
      <c r="G10" s="19">
        <v>0.2</v>
      </c>
    </row>
    <row r="11" ht="15.75" customHeight="1">
      <c r="A11" s="11">
        <v>46030.0</v>
      </c>
      <c r="B11" s="12">
        <v>46044.0</v>
      </c>
      <c r="C11" s="1" t="s">
        <v>27</v>
      </c>
      <c r="D11" s="17" t="s">
        <v>59</v>
      </c>
      <c r="E11" s="8">
        <v>7.99</v>
      </c>
      <c r="F11" s="8">
        <f t="shared" si="1"/>
        <v>6.392</v>
      </c>
      <c r="G11" s="19">
        <v>0.2</v>
      </c>
    </row>
    <row r="12" ht="15.75" customHeight="1">
      <c r="A12" s="11">
        <v>46030.0</v>
      </c>
      <c r="B12" s="12">
        <v>46044.0</v>
      </c>
      <c r="C12" s="1" t="s">
        <v>27</v>
      </c>
      <c r="D12" s="17" t="s">
        <v>60</v>
      </c>
      <c r="E12" s="8">
        <v>9.99</v>
      </c>
      <c r="F12" s="8">
        <f t="shared" si="1"/>
        <v>7.992</v>
      </c>
      <c r="G12" s="19">
        <v>0.2</v>
      </c>
    </row>
    <row r="13" ht="15.75" customHeight="1">
      <c r="A13" s="11">
        <v>46030.0</v>
      </c>
      <c r="B13" s="12">
        <v>46044.0</v>
      </c>
      <c r="C13" s="1" t="s">
        <v>27</v>
      </c>
      <c r="D13" s="17" t="s">
        <v>61</v>
      </c>
      <c r="E13" s="8">
        <v>7.99</v>
      </c>
      <c r="F13" s="8">
        <f t="shared" si="1"/>
        <v>6.392</v>
      </c>
      <c r="G13" s="19">
        <v>0.2</v>
      </c>
    </row>
    <row r="14" ht="15.75" customHeight="1">
      <c r="A14" s="11">
        <v>46030.0</v>
      </c>
      <c r="B14" s="12">
        <v>46044.0</v>
      </c>
      <c r="C14" s="1" t="s">
        <v>27</v>
      </c>
      <c r="D14" s="17" t="s">
        <v>63</v>
      </c>
      <c r="E14" s="8">
        <v>4.99</v>
      </c>
      <c r="F14" s="8">
        <f t="shared" si="1"/>
        <v>3.992</v>
      </c>
      <c r="G14" s="19">
        <v>0.2</v>
      </c>
    </row>
    <row r="15" ht="15.75" customHeight="1">
      <c r="A15" s="11">
        <v>46030.0</v>
      </c>
      <c r="B15" s="12">
        <v>46044.0</v>
      </c>
      <c r="C15" s="1" t="s">
        <v>27</v>
      </c>
      <c r="D15" s="17" t="s">
        <v>65</v>
      </c>
      <c r="E15" s="8">
        <v>9.99</v>
      </c>
      <c r="F15" s="8">
        <f t="shared" si="1"/>
        <v>7.992</v>
      </c>
      <c r="G15" s="19">
        <v>0.2</v>
      </c>
    </row>
    <row r="16" ht="15.75" customHeight="1">
      <c r="A16" s="11">
        <v>46030.0</v>
      </c>
      <c r="B16" s="12">
        <v>46044.0</v>
      </c>
      <c r="C16" s="1" t="s">
        <v>27</v>
      </c>
      <c r="D16" s="17" t="s">
        <v>66</v>
      </c>
      <c r="E16" s="8">
        <v>7.99</v>
      </c>
      <c r="F16" s="8">
        <f t="shared" si="1"/>
        <v>6.392</v>
      </c>
      <c r="G16" s="19">
        <v>0.2</v>
      </c>
    </row>
    <row r="17" ht="15.75" customHeight="1">
      <c r="A17" s="11">
        <v>46030.0</v>
      </c>
      <c r="B17" s="12">
        <v>46044.0</v>
      </c>
      <c r="C17" s="1" t="s">
        <v>27</v>
      </c>
      <c r="D17" s="17" t="s">
        <v>67</v>
      </c>
      <c r="E17" s="8">
        <v>9.99</v>
      </c>
      <c r="F17" s="8">
        <f t="shared" si="1"/>
        <v>7.992</v>
      </c>
      <c r="G17" s="19">
        <v>0.2</v>
      </c>
    </row>
    <row r="18" ht="15.75" customHeight="1">
      <c r="A18" s="11">
        <v>46030.0</v>
      </c>
      <c r="B18" s="12">
        <v>46044.0</v>
      </c>
      <c r="C18" s="1" t="s">
        <v>27</v>
      </c>
      <c r="D18" s="17" t="s">
        <v>69</v>
      </c>
      <c r="E18" s="8">
        <v>4.99</v>
      </c>
      <c r="F18" s="8">
        <f t="shared" si="1"/>
        <v>3.992</v>
      </c>
      <c r="G18" s="19">
        <v>0.2</v>
      </c>
    </row>
    <row r="19" ht="15.75" customHeight="1">
      <c r="A19" s="11">
        <v>46030.0</v>
      </c>
      <c r="B19" s="12">
        <v>46044.0</v>
      </c>
      <c r="C19" s="1" t="s">
        <v>27</v>
      </c>
      <c r="D19" s="17" t="s">
        <v>70</v>
      </c>
      <c r="E19" s="8">
        <v>4.99</v>
      </c>
      <c r="F19" s="8">
        <f t="shared" si="1"/>
        <v>4.99</v>
      </c>
      <c r="G19" s="19">
        <v>0.0</v>
      </c>
    </row>
    <row r="20" ht="15.75" customHeight="1">
      <c r="A20" s="11">
        <v>46030.0</v>
      </c>
      <c r="B20" s="12">
        <v>46044.0</v>
      </c>
      <c r="C20" s="1" t="s">
        <v>27</v>
      </c>
      <c r="D20" s="17" t="s">
        <v>71</v>
      </c>
      <c r="E20" s="8">
        <v>7.99</v>
      </c>
      <c r="F20" s="8">
        <f t="shared" si="1"/>
        <v>7.99</v>
      </c>
      <c r="G20" s="19">
        <v>0.0</v>
      </c>
    </row>
    <row r="21" ht="15.75" customHeight="1"/>
    <row r="22" ht="15.75" customHeight="1">
      <c r="A22" s="11">
        <v>46074.0</v>
      </c>
      <c r="B22" s="12">
        <v>46088.0</v>
      </c>
      <c r="C22" s="1" t="s">
        <v>27</v>
      </c>
      <c r="D22" s="17" t="s">
        <v>44</v>
      </c>
      <c r="E22" s="8">
        <v>59.99</v>
      </c>
      <c r="F22" s="8">
        <f t="shared" ref="F22:F39" si="2">E22*(1-G22)</f>
        <v>19.7967</v>
      </c>
      <c r="G22" s="32">
        <v>0.67</v>
      </c>
      <c r="H22" s="5"/>
    </row>
    <row r="23" ht="15.75" customHeight="1">
      <c r="A23" s="11">
        <v>46074.0</v>
      </c>
      <c r="B23" s="12">
        <v>46088.0</v>
      </c>
      <c r="C23" s="1" t="s">
        <v>27</v>
      </c>
      <c r="D23" s="17" t="s">
        <v>52</v>
      </c>
      <c r="E23" s="8">
        <v>89.99</v>
      </c>
      <c r="F23" s="8">
        <f t="shared" si="2"/>
        <v>29.6967</v>
      </c>
      <c r="G23" s="32">
        <v>0.67</v>
      </c>
      <c r="H23" s="5"/>
    </row>
    <row r="24" ht="15.75" customHeight="1">
      <c r="A24" s="11">
        <v>46074.0</v>
      </c>
      <c r="B24" s="12">
        <v>46088.0</v>
      </c>
      <c r="C24" s="1" t="s">
        <v>27</v>
      </c>
      <c r="D24" s="20" t="s">
        <v>53</v>
      </c>
      <c r="E24" s="21">
        <v>99.99</v>
      </c>
      <c r="F24" s="21">
        <f t="shared" si="2"/>
        <v>49.995</v>
      </c>
      <c r="G24" s="22">
        <v>0.5</v>
      </c>
      <c r="H24" s="5"/>
    </row>
    <row r="25" ht="15.75" customHeight="1">
      <c r="A25" s="11">
        <v>46074.0</v>
      </c>
      <c r="B25" s="12">
        <v>46088.0</v>
      </c>
      <c r="C25" s="1" t="s">
        <v>27</v>
      </c>
      <c r="D25" s="17" t="s">
        <v>55</v>
      </c>
      <c r="E25" s="8">
        <v>119.99</v>
      </c>
      <c r="F25" s="8">
        <f t="shared" si="2"/>
        <v>59.995</v>
      </c>
      <c r="G25" s="32">
        <v>0.5</v>
      </c>
      <c r="H25" s="5"/>
    </row>
    <row r="26" ht="15.75" customHeight="1">
      <c r="A26" s="11">
        <v>46074.0</v>
      </c>
      <c r="B26" s="12">
        <v>46088.0</v>
      </c>
      <c r="C26" s="1" t="s">
        <v>27</v>
      </c>
      <c r="D26" s="17" t="s">
        <v>43</v>
      </c>
      <c r="E26" s="8">
        <v>39.99</v>
      </c>
      <c r="F26" s="8">
        <f t="shared" si="2"/>
        <v>29.9925</v>
      </c>
      <c r="G26" s="19">
        <v>0.25</v>
      </c>
    </row>
    <row r="27" ht="15.75" customHeight="1">
      <c r="A27" s="11">
        <v>46074.0</v>
      </c>
      <c r="B27" s="12">
        <v>46088.0</v>
      </c>
      <c r="C27" s="1" t="s">
        <v>27</v>
      </c>
      <c r="D27" s="34" t="s">
        <v>74</v>
      </c>
      <c r="E27" s="8">
        <v>39.99</v>
      </c>
      <c r="F27" s="8">
        <f t="shared" si="2"/>
        <v>31.992</v>
      </c>
      <c r="G27" s="32">
        <v>0.2</v>
      </c>
    </row>
    <row r="28" ht="15.75" customHeight="1">
      <c r="A28" s="11">
        <v>46074.0</v>
      </c>
      <c r="B28" s="12">
        <v>46088.0</v>
      </c>
      <c r="C28" s="1" t="s">
        <v>27</v>
      </c>
      <c r="D28" s="17" t="s">
        <v>57</v>
      </c>
      <c r="E28" s="8">
        <v>4.99</v>
      </c>
      <c r="F28" s="8">
        <f t="shared" si="2"/>
        <v>3.992</v>
      </c>
      <c r="G28" s="19">
        <v>0.2</v>
      </c>
    </row>
    <row r="29" ht="15.75" customHeight="1">
      <c r="A29" s="11">
        <v>46074.0</v>
      </c>
      <c r="B29" s="12">
        <v>46088.0</v>
      </c>
      <c r="C29" s="1" t="s">
        <v>27</v>
      </c>
      <c r="D29" s="17" t="s">
        <v>58</v>
      </c>
      <c r="E29" s="8">
        <v>6.99</v>
      </c>
      <c r="F29" s="8">
        <f t="shared" si="2"/>
        <v>5.592</v>
      </c>
      <c r="G29" s="19">
        <v>0.2</v>
      </c>
    </row>
    <row r="30" ht="15.75" customHeight="1">
      <c r="A30" s="11">
        <v>46074.0</v>
      </c>
      <c r="B30" s="12">
        <v>46088.0</v>
      </c>
      <c r="C30" s="1" t="s">
        <v>27</v>
      </c>
      <c r="D30" s="17" t="s">
        <v>59</v>
      </c>
      <c r="E30" s="8">
        <v>7.99</v>
      </c>
      <c r="F30" s="8">
        <f t="shared" si="2"/>
        <v>6.392</v>
      </c>
      <c r="G30" s="19">
        <v>0.2</v>
      </c>
    </row>
    <row r="31" ht="15.75" customHeight="1">
      <c r="A31" s="11">
        <v>46074.0</v>
      </c>
      <c r="B31" s="12">
        <v>46088.0</v>
      </c>
      <c r="C31" s="1" t="s">
        <v>27</v>
      </c>
      <c r="D31" s="17" t="s">
        <v>60</v>
      </c>
      <c r="E31" s="8">
        <v>9.99</v>
      </c>
      <c r="F31" s="8">
        <f t="shared" si="2"/>
        <v>7.992</v>
      </c>
      <c r="G31" s="19">
        <v>0.2</v>
      </c>
    </row>
    <row r="32" ht="15.75" customHeight="1">
      <c r="A32" s="11">
        <v>46074.0</v>
      </c>
      <c r="B32" s="12">
        <v>46088.0</v>
      </c>
      <c r="C32" s="1" t="s">
        <v>27</v>
      </c>
      <c r="D32" s="17" t="s">
        <v>61</v>
      </c>
      <c r="E32" s="8">
        <v>7.99</v>
      </c>
      <c r="F32" s="8">
        <f t="shared" si="2"/>
        <v>6.392</v>
      </c>
      <c r="G32" s="19">
        <v>0.2</v>
      </c>
    </row>
    <row r="33" ht="15.75" customHeight="1">
      <c r="A33" s="11">
        <v>46074.0</v>
      </c>
      <c r="B33" s="12">
        <v>46088.0</v>
      </c>
      <c r="C33" s="1" t="s">
        <v>27</v>
      </c>
      <c r="D33" s="17" t="s">
        <v>63</v>
      </c>
      <c r="E33" s="8">
        <v>4.99</v>
      </c>
      <c r="F33" s="8">
        <f t="shared" si="2"/>
        <v>3.992</v>
      </c>
      <c r="G33" s="19">
        <v>0.2</v>
      </c>
    </row>
    <row r="34" ht="15.75" customHeight="1">
      <c r="A34" s="11">
        <v>46074.0</v>
      </c>
      <c r="B34" s="12">
        <v>46088.0</v>
      </c>
      <c r="C34" s="1" t="s">
        <v>27</v>
      </c>
      <c r="D34" s="17" t="s">
        <v>65</v>
      </c>
      <c r="E34" s="8">
        <v>9.99</v>
      </c>
      <c r="F34" s="8">
        <f t="shared" si="2"/>
        <v>7.992</v>
      </c>
      <c r="G34" s="19">
        <v>0.2</v>
      </c>
    </row>
    <row r="35" ht="15.75" customHeight="1">
      <c r="A35" s="11">
        <v>46074.0</v>
      </c>
      <c r="B35" s="12">
        <v>46088.0</v>
      </c>
      <c r="C35" s="1" t="s">
        <v>27</v>
      </c>
      <c r="D35" s="17" t="s">
        <v>66</v>
      </c>
      <c r="E35" s="8">
        <v>7.99</v>
      </c>
      <c r="F35" s="8">
        <f t="shared" si="2"/>
        <v>6.392</v>
      </c>
      <c r="G35" s="19">
        <v>0.2</v>
      </c>
    </row>
    <row r="36" ht="15.75" customHeight="1">
      <c r="A36" s="11">
        <v>46074.0</v>
      </c>
      <c r="B36" s="12">
        <v>46088.0</v>
      </c>
      <c r="C36" s="1" t="s">
        <v>27</v>
      </c>
      <c r="D36" s="17" t="s">
        <v>67</v>
      </c>
      <c r="E36" s="8">
        <v>9.99</v>
      </c>
      <c r="F36" s="8">
        <f t="shared" si="2"/>
        <v>7.992</v>
      </c>
      <c r="G36" s="19">
        <v>0.2</v>
      </c>
    </row>
    <row r="37" ht="15.75" customHeight="1">
      <c r="A37" s="11">
        <v>46074.0</v>
      </c>
      <c r="B37" s="12">
        <v>46088.0</v>
      </c>
      <c r="C37" s="1" t="s">
        <v>27</v>
      </c>
      <c r="D37" s="17" t="s">
        <v>69</v>
      </c>
      <c r="E37" s="8">
        <v>4.99</v>
      </c>
      <c r="F37" s="8">
        <f t="shared" si="2"/>
        <v>3.992</v>
      </c>
      <c r="G37" s="19">
        <v>0.2</v>
      </c>
    </row>
    <row r="38" ht="15.75" customHeight="1">
      <c r="A38" s="11">
        <v>46074.0</v>
      </c>
      <c r="B38" s="12">
        <v>46088.0</v>
      </c>
      <c r="C38" s="1" t="s">
        <v>27</v>
      </c>
      <c r="D38" s="17" t="s">
        <v>70</v>
      </c>
      <c r="E38" s="8">
        <v>4.99</v>
      </c>
      <c r="F38" s="8">
        <f t="shared" si="2"/>
        <v>3.992</v>
      </c>
      <c r="G38" s="19">
        <v>0.2</v>
      </c>
    </row>
    <row r="39" ht="15.75" customHeight="1">
      <c r="A39" s="11">
        <v>46074.0</v>
      </c>
      <c r="B39" s="12">
        <v>46088.0</v>
      </c>
      <c r="C39" s="1" t="s">
        <v>27</v>
      </c>
      <c r="D39" s="17" t="s">
        <v>71</v>
      </c>
      <c r="E39" s="8">
        <v>7.99</v>
      </c>
      <c r="F39" s="8">
        <f t="shared" si="2"/>
        <v>6.392</v>
      </c>
      <c r="G39" s="19">
        <v>0.2</v>
      </c>
    </row>
    <row r="40" ht="15.75" customHeight="1"/>
    <row r="41" ht="15.75" customHeight="1">
      <c r="A41" s="11">
        <v>46100.0</v>
      </c>
      <c r="B41" s="12">
        <v>46107.0</v>
      </c>
      <c r="C41" s="1" t="s">
        <v>54</v>
      </c>
      <c r="D41" s="17" t="s">
        <v>44</v>
      </c>
      <c r="E41" s="8">
        <v>59.99</v>
      </c>
      <c r="F41" s="8">
        <f t="shared" ref="F41:F60" si="3">E41*(1-G41)</f>
        <v>19.7967</v>
      </c>
      <c r="G41" s="19">
        <v>0.67</v>
      </c>
      <c r="H41" s="5"/>
    </row>
    <row r="42" ht="15.75" customHeight="1">
      <c r="A42" s="11">
        <v>46100.0</v>
      </c>
      <c r="B42" s="12">
        <v>46107.0</v>
      </c>
      <c r="C42" s="1" t="s">
        <v>54</v>
      </c>
      <c r="D42" s="17" t="s">
        <v>52</v>
      </c>
      <c r="E42" s="8">
        <v>89.99</v>
      </c>
      <c r="F42" s="8">
        <f t="shared" si="3"/>
        <v>29.6967</v>
      </c>
      <c r="G42" s="19">
        <v>0.67</v>
      </c>
      <c r="H42" s="5"/>
    </row>
    <row r="43" ht="15.75" customHeight="1">
      <c r="A43" s="11">
        <v>46100.0</v>
      </c>
      <c r="B43" s="12">
        <v>46107.0</v>
      </c>
      <c r="C43" s="1" t="s">
        <v>54</v>
      </c>
      <c r="D43" s="20" t="s">
        <v>53</v>
      </c>
      <c r="E43" s="21">
        <v>99.99</v>
      </c>
      <c r="F43" s="21">
        <f t="shared" si="3"/>
        <v>49.995</v>
      </c>
      <c r="G43" s="22">
        <v>0.5</v>
      </c>
      <c r="H43" s="5"/>
    </row>
    <row r="44" ht="15.75" customHeight="1">
      <c r="A44" s="11">
        <v>46100.0</v>
      </c>
      <c r="B44" s="12">
        <v>46107.0</v>
      </c>
      <c r="C44" s="1" t="s">
        <v>54</v>
      </c>
      <c r="D44" s="17" t="s">
        <v>55</v>
      </c>
      <c r="E44" s="8">
        <v>119.99</v>
      </c>
      <c r="F44" s="8">
        <f t="shared" si="3"/>
        <v>59.995</v>
      </c>
      <c r="G44" s="19">
        <v>0.5</v>
      </c>
      <c r="H44" s="5"/>
    </row>
    <row r="45" ht="15.75" customHeight="1">
      <c r="A45" s="11">
        <v>46100.0</v>
      </c>
      <c r="B45" s="12">
        <v>46107.0</v>
      </c>
      <c r="C45" s="1" t="s">
        <v>54</v>
      </c>
      <c r="D45" s="17" t="s">
        <v>43</v>
      </c>
      <c r="E45" s="8">
        <v>39.99</v>
      </c>
      <c r="F45" s="8">
        <f t="shared" si="3"/>
        <v>29.9925</v>
      </c>
      <c r="G45" s="19">
        <v>0.25</v>
      </c>
    </row>
    <row r="46" ht="15.75" customHeight="1">
      <c r="A46" s="11">
        <v>46100.0</v>
      </c>
      <c r="B46" s="12">
        <v>46107.0</v>
      </c>
      <c r="C46" s="1" t="s">
        <v>27</v>
      </c>
      <c r="D46" s="17" t="s">
        <v>74</v>
      </c>
      <c r="E46" s="8">
        <v>39.99</v>
      </c>
      <c r="F46" s="8">
        <f t="shared" si="3"/>
        <v>31.992</v>
      </c>
      <c r="G46" s="19">
        <v>0.2</v>
      </c>
    </row>
    <row r="47" ht="15.75" customHeight="1">
      <c r="A47" s="11">
        <v>46100.0</v>
      </c>
      <c r="B47" s="12">
        <v>46107.0</v>
      </c>
      <c r="C47" s="1" t="s">
        <v>54</v>
      </c>
      <c r="D47" s="17" t="s">
        <v>57</v>
      </c>
      <c r="E47" s="8">
        <v>4.99</v>
      </c>
      <c r="F47" s="8">
        <f t="shared" si="3"/>
        <v>3.992</v>
      </c>
      <c r="G47" s="19">
        <v>0.2</v>
      </c>
    </row>
    <row r="48" ht="15.75" customHeight="1">
      <c r="A48" s="11">
        <v>46100.0</v>
      </c>
      <c r="B48" s="12">
        <v>46107.0</v>
      </c>
      <c r="C48" s="1" t="s">
        <v>54</v>
      </c>
      <c r="D48" s="17" t="s">
        <v>58</v>
      </c>
      <c r="E48" s="8">
        <v>6.99</v>
      </c>
      <c r="F48" s="8">
        <f t="shared" si="3"/>
        <v>5.592</v>
      </c>
      <c r="G48" s="19">
        <v>0.2</v>
      </c>
    </row>
    <row r="49" ht="15.75" customHeight="1">
      <c r="A49" s="11">
        <v>46100.0</v>
      </c>
      <c r="B49" s="12">
        <v>46107.0</v>
      </c>
      <c r="C49" s="1" t="s">
        <v>54</v>
      </c>
      <c r="D49" s="17" t="s">
        <v>59</v>
      </c>
      <c r="E49" s="8">
        <v>7.99</v>
      </c>
      <c r="F49" s="8">
        <f t="shared" si="3"/>
        <v>6.392</v>
      </c>
      <c r="G49" s="19">
        <v>0.2</v>
      </c>
    </row>
    <row r="50" ht="15.75" customHeight="1">
      <c r="A50" s="11">
        <v>46100.0</v>
      </c>
      <c r="B50" s="12">
        <v>46107.0</v>
      </c>
      <c r="C50" s="1" t="s">
        <v>54</v>
      </c>
      <c r="D50" s="17" t="s">
        <v>60</v>
      </c>
      <c r="E50" s="8">
        <v>9.99</v>
      </c>
      <c r="F50" s="8">
        <f t="shared" si="3"/>
        <v>7.992</v>
      </c>
      <c r="G50" s="19">
        <v>0.2</v>
      </c>
    </row>
    <row r="51" ht="15.75" customHeight="1">
      <c r="A51" s="11">
        <v>46100.0</v>
      </c>
      <c r="B51" s="12">
        <v>46107.0</v>
      </c>
      <c r="C51" s="1" t="s">
        <v>54</v>
      </c>
      <c r="D51" s="17" t="s">
        <v>61</v>
      </c>
      <c r="E51" s="8">
        <v>7.99</v>
      </c>
      <c r="F51" s="8">
        <f t="shared" si="3"/>
        <v>6.392</v>
      </c>
      <c r="G51" s="19">
        <v>0.2</v>
      </c>
    </row>
    <row r="52" ht="15.75" customHeight="1">
      <c r="A52" s="11">
        <v>46100.0</v>
      </c>
      <c r="B52" s="12">
        <v>46107.0</v>
      </c>
      <c r="C52" s="1" t="s">
        <v>54</v>
      </c>
      <c r="D52" s="17" t="s">
        <v>63</v>
      </c>
      <c r="E52" s="8">
        <v>4.99</v>
      </c>
      <c r="F52" s="8">
        <f t="shared" si="3"/>
        <v>3.992</v>
      </c>
      <c r="G52" s="19">
        <v>0.2</v>
      </c>
    </row>
    <row r="53" ht="15.75" customHeight="1">
      <c r="A53" s="11">
        <v>46100.0</v>
      </c>
      <c r="B53" s="12">
        <v>46107.0</v>
      </c>
      <c r="C53" s="1" t="s">
        <v>54</v>
      </c>
      <c r="D53" s="17" t="s">
        <v>65</v>
      </c>
      <c r="E53" s="8">
        <v>9.99</v>
      </c>
      <c r="F53" s="8">
        <f t="shared" si="3"/>
        <v>7.992</v>
      </c>
      <c r="G53" s="19">
        <v>0.2</v>
      </c>
    </row>
    <row r="54" ht="15.75" customHeight="1">
      <c r="A54" s="11">
        <v>46100.0</v>
      </c>
      <c r="B54" s="12">
        <v>46107.0</v>
      </c>
      <c r="C54" s="1" t="s">
        <v>54</v>
      </c>
      <c r="D54" s="17" t="s">
        <v>66</v>
      </c>
      <c r="E54" s="8">
        <v>7.99</v>
      </c>
      <c r="F54" s="8">
        <f t="shared" si="3"/>
        <v>6.392</v>
      </c>
      <c r="G54" s="19">
        <v>0.2</v>
      </c>
    </row>
    <row r="55" ht="15.75" customHeight="1">
      <c r="A55" s="11">
        <v>46100.0</v>
      </c>
      <c r="B55" s="12">
        <v>46107.0</v>
      </c>
      <c r="C55" s="1" t="s">
        <v>54</v>
      </c>
      <c r="D55" s="17" t="s">
        <v>67</v>
      </c>
      <c r="E55" s="8">
        <v>9.99</v>
      </c>
      <c r="F55" s="8">
        <f t="shared" si="3"/>
        <v>7.992</v>
      </c>
      <c r="G55" s="19">
        <v>0.2</v>
      </c>
    </row>
    <row r="56" ht="15.75" customHeight="1">
      <c r="A56" s="11">
        <v>46100.0</v>
      </c>
      <c r="B56" s="12">
        <v>46107.0</v>
      </c>
      <c r="C56" s="1" t="s">
        <v>54</v>
      </c>
      <c r="D56" s="17" t="s">
        <v>69</v>
      </c>
      <c r="E56" s="8">
        <v>4.99</v>
      </c>
      <c r="F56" s="8">
        <f t="shared" si="3"/>
        <v>3.992</v>
      </c>
      <c r="G56" s="19">
        <v>0.2</v>
      </c>
    </row>
    <row r="57" ht="15.75" customHeight="1">
      <c r="A57" s="11">
        <v>46101.0</v>
      </c>
      <c r="B57" s="12">
        <v>46108.0</v>
      </c>
      <c r="C57" s="1" t="s">
        <v>54</v>
      </c>
      <c r="D57" s="17" t="s">
        <v>70</v>
      </c>
      <c r="E57" s="8">
        <v>4.99</v>
      </c>
      <c r="F57" s="8">
        <f t="shared" si="3"/>
        <v>3.992</v>
      </c>
      <c r="G57" s="32">
        <v>0.2</v>
      </c>
    </row>
    <row r="58" ht="15.75" customHeight="1">
      <c r="A58" s="11">
        <v>46102.0</v>
      </c>
      <c r="B58" s="12">
        <v>46109.0</v>
      </c>
      <c r="C58" s="1" t="s">
        <v>54</v>
      </c>
      <c r="D58" s="17" t="s">
        <v>71</v>
      </c>
      <c r="E58" s="8">
        <v>7.99</v>
      </c>
      <c r="F58" s="8">
        <f t="shared" si="3"/>
        <v>6.392</v>
      </c>
      <c r="G58" s="32">
        <v>0.2</v>
      </c>
    </row>
    <row r="59" ht="15.75" customHeight="1">
      <c r="A59" s="11">
        <v>46102.0</v>
      </c>
      <c r="B59" s="12">
        <v>46109.0</v>
      </c>
      <c r="C59" s="1" t="s">
        <v>54</v>
      </c>
      <c r="D59" s="17" t="s">
        <v>109</v>
      </c>
      <c r="E59" s="8">
        <v>4.99</v>
      </c>
      <c r="F59" s="8">
        <f t="shared" si="3"/>
        <v>4.99</v>
      </c>
      <c r="G59" s="19">
        <v>0.0</v>
      </c>
    </row>
    <row r="60" ht="15.75" customHeight="1">
      <c r="A60" s="11">
        <v>46102.0</v>
      </c>
      <c r="B60" s="12">
        <v>46109.0</v>
      </c>
      <c r="C60" s="1" t="s">
        <v>54</v>
      </c>
      <c r="D60" s="17" t="s">
        <v>110</v>
      </c>
      <c r="E60" s="8">
        <v>7.99</v>
      </c>
      <c r="F60" s="8">
        <f t="shared" si="3"/>
        <v>7.99</v>
      </c>
      <c r="G60" s="19">
        <v>0.0</v>
      </c>
    </row>
    <row r="61" ht="15.75" customHeight="1"/>
    <row r="62" ht="15.75" customHeight="1">
      <c r="A62" s="11">
        <v>46118.0</v>
      </c>
      <c r="B62" s="12">
        <v>46132.0</v>
      </c>
      <c r="C62" s="1" t="s">
        <v>27</v>
      </c>
      <c r="D62" s="17" t="s">
        <v>44</v>
      </c>
      <c r="E62" s="8">
        <v>59.99</v>
      </c>
      <c r="F62" s="8">
        <f t="shared" ref="F62:F81" si="4">E62*(1-G62)</f>
        <v>19.7967</v>
      </c>
      <c r="G62" s="19">
        <v>0.67</v>
      </c>
    </row>
    <row r="63" ht="15.75" customHeight="1">
      <c r="A63" s="11">
        <v>46118.0</v>
      </c>
      <c r="B63" s="12">
        <v>46132.0</v>
      </c>
      <c r="C63" s="1" t="s">
        <v>27</v>
      </c>
      <c r="D63" s="17" t="s">
        <v>52</v>
      </c>
      <c r="E63" s="8">
        <v>89.99</v>
      </c>
      <c r="F63" s="8">
        <f t="shared" si="4"/>
        <v>29.6967</v>
      </c>
      <c r="G63" s="19">
        <v>0.67</v>
      </c>
    </row>
    <row r="64" ht="15.75" customHeight="1">
      <c r="A64" s="11">
        <v>46118.0</v>
      </c>
      <c r="B64" s="12">
        <v>46132.0</v>
      </c>
      <c r="C64" s="1" t="s">
        <v>27</v>
      </c>
      <c r="D64" s="20" t="s">
        <v>53</v>
      </c>
      <c r="E64" s="21">
        <v>99.99</v>
      </c>
      <c r="F64" s="21">
        <f t="shared" si="4"/>
        <v>49.995</v>
      </c>
      <c r="G64" s="22">
        <v>0.5</v>
      </c>
    </row>
    <row r="65" ht="15.75" customHeight="1">
      <c r="A65" s="11">
        <v>46118.0</v>
      </c>
      <c r="B65" s="12">
        <v>46132.0</v>
      </c>
      <c r="C65" s="1" t="s">
        <v>27</v>
      </c>
      <c r="D65" s="17" t="s">
        <v>55</v>
      </c>
      <c r="E65" s="8">
        <v>119.99</v>
      </c>
      <c r="F65" s="8">
        <f t="shared" si="4"/>
        <v>59.995</v>
      </c>
      <c r="G65" s="19">
        <v>0.5</v>
      </c>
    </row>
    <row r="66" ht="15.75" customHeight="1">
      <c r="A66" s="11">
        <v>46118.0</v>
      </c>
      <c r="B66" s="12">
        <v>46132.0</v>
      </c>
      <c r="C66" s="1" t="s">
        <v>27</v>
      </c>
      <c r="D66" s="17" t="s">
        <v>43</v>
      </c>
      <c r="E66" s="8">
        <v>39.99</v>
      </c>
      <c r="F66" s="8">
        <f t="shared" si="4"/>
        <v>29.9925</v>
      </c>
      <c r="G66" s="19">
        <v>0.25</v>
      </c>
    </row>
    <row r="67" ht="15.75" customHeight="1">
      <c r="A67" s="11">
        <v>46118.0</v>
      </c>
      <c r="B67" s="12">
        <v>46132.0</v>
      </c>
      <c r="C67" s="1" t="s">
        <v>27</v>
      </c>
      <c r="D67" s="17" t="s">
        <v>74</v>
      </c>
      <c r="E67" s="8">
        <v>39.99</v>
      </c>
      <c r="F67" s="8">
        <f t="shared" si="4"/>
        <v>31.992</v>
      </c>
      <c r="G67" s="19">
        <v>0.2</v>
      </c>
    </row>
    <row r="68" ht="15.75" customHeight="1">
      <c r="A68" s="11">
        <v>46118.0</v>
      </c>
      <c r="B68" s="12">
        <v>46132.0</v>
      </c>
      <c r="C68" s="1" t="s">
        <v>27</v>
      </c>
      <c r="D68" s="17" t="s">
        <v>57</v>
      </c>
      <c r="E68" s="8">
        <v>4.99</v>
      </c>
      <c r="F68" s="8">
        <f t="shared" si="4"/>
        <v>3.992</v>
      </c>
      <c r="G68" s="19">
        <v>0.2</v>
      </c>
    </row>
    <row r="69" ht="15.75" customHeight="1">
      <c r="A69" s="11">
        <v>46118.0</v>
      </c>
      <c r="B69" s="12">
        <v>46132.0</v>
      </c>
      <c r="C69" s="1" t="s">
        <v>27</v>
      </c>
      <c r="D69" s="17" t="s">
        <v>58</v>
      </c>
      <c r="E69" s="8">
        <v>6.99</v>
      </c>
      <c r="F69" s="8">
        <f t="shared" si="4"/>
        <v>5.592</v>
      </c>
      <c r="G69" s="19">
        <v>0.2</v>
      </c>
    </row>
    <row r="70" ht="15.75" customHeight="1">
      <c r="A70" s="11">
        <v>46118.0</v>
      </c>
      <c r="B70" s="12">
        <v>46132.0</v>
      </c>
      <c r="C70" s="1" t="s">
        <v>27</v>
      </c>
      <c r="D70" s="17" t="s">
        <v>59</v>
      </c>
      <c r="E70" s="8">
        <v>7.99</v>
      </c>
      <c r="F70" s="8">
        <f t="shared" si="4"/>
        <v>6.392</v>
      </c>
      <c r="G70" s="19">
        <v>0.2</v>
      </c>
    </row>
    <row r="71" ht="15.75" customHeight="1">
      <c r="A71" s="11">
        <v>46118.0</v>
      </c>
      <c r="B71" s="12">
        <v>46132.0</v>
      </c>
      <c r="C71" s="1" t="s">
        <v>27</v>
      </c>
      <c r="D71" s="17" t="s">
        <v>60</v>
      </c>
      <c r="E71" s="8">
        <v>9.99</v>
      </c>
      <c r="F71" s="8">
        <f t="shared" si="4"/>
        <v>7.992</v>
      </c>
      <c r="G71" s="19">
        <v>0.2</v>
      </c>
    </row>
    <row r="72" ht="15.75" customHeight="1">
      <c r="A72" s="11">
        <v>46118.0</v>
      </c>
      <c r="B72" s="12">
        <v>46132.0</v>
      </c>
      <c r="C72" s="1" t="s">
        <v>27</v>
      </c>
      <c r="D72" s="17" t="s">
        <v>61</v>
      </c>
      <c r="E72" s="8">
        <v>7.99</v>
      </c>
      <c r="F72" s="8">
        <f t="shared" si="4"/>
        <v>6.392</v>
      </c>
      <c r="G72" s="19">
        <v>0.2</v>
      </c>
    </row>
    <row r="73" ht="15.75" customHeight="1">
      <c r="A73" s="11">
        <v>46118.0</v>
      </c>
      <c r="B73" s="12">
        <v>46132.0</v>
      </c>
      <c r="C73" s="1" t="s">
        <v>27</v>
      </c>
      <c r="D73" s="17" t="s">
        <v>63</v>
      </c>
      <c r="E73" s="8">
        <v>4.99</v>
      </c>
      <c r="F73" s="8">
        <f t="shared" si="4"/>
        <v>3.992</v>
      </c>
      <c r="G73" s="19">
        <v>0.2</v>
      </c>
    </row>
    <row r="74" ht="15.75" customHeight="1">
      <c r="A74" s="11">
        <v>46118.0</v>
      </c>
      <c r="B74" s="12">
        <v>46132.0</v>
      </c>
      <c r="C74" s="1" t="s">
        <v>27</v>
      </c>
      <c r="D74" s="17" t="s">
        <v>65</v>
      </c>
      <c r="E74" s="8">
        <v>9.99</v>
      </c>
      <c r="F74" s="8">
        <f t="shared" si="4"/>
        <v>7.992</v>
      </c>
      <c r="G74" s="19">
        <v>0.2</v>
      </c>
    </row>
    <row r="75" ht="15.75" customHeight="1">
      <c r="A75" s="11">
        <v>46118.0</v>
      </c>
      <c r="B75" s="12">
        <v>46132.0</v>
      </c>
      <c r="C75" s="1" t="s">
        <v>27</v>
      </c>
      <c r="D75" s="17" t="s">
        <v>66</v>
      </c>
      <c r="E75" s="8">
        <v>7.99</v>
      </c>
      <c r="F75" s="8">
        <f t="shared" si="4"/>
        <v>6.392</v>
      </c>
      <c r="G75" s="19">
        <v>0.2</v>
      </c>
    </row>
    <row r="76" ht="15.75" customHeight="1">
      <c r="A76" s="11">
        <v>46118.0</v>
      </c>
      <c r="B76" s="12">
        <v>46132.0</v>
      </c>
      <c r="C76" s="1" t="s">
        <v>27</v>
      </c>
      <c r="D76" s="17" t="s">
        <v>67</v>
      </c>
      <c r="E76" s="8">
        <v>9.99</v>
      </c>
      <c r="F76" s="8">
        <f t="shared" si="4"/>
        <v>7.992</v>
      </c>
      <c r="G76" s="19">
        <v>0.2</v>
      </c>
    </row>
    <row r="77" ht="15.75" customHeight="1">
      <c r="A77" s="11">
        <v>46118.0</v>
      </c>
      <c r="B77" s="12">
        <v>46132.0</v>
      </c>
      <c r="C77" s="1" t="s">
        <v>27</v>
      </c>
      <c r="D77" s="17" t="s">
        <v>69</v>
      </c>
      <c r="E77" s="8">
        <v>4.99</v>
      </c>
      <c r="F77" s="8">
        <f t="shared" si="4"/>
        <v>3.992</v>
      </c>
      <c r="G77" s="19">
        <v>0.2</v>
      </c>
    </row>
    <row r="78" ht="15.75" customHeight="1">
      <c r="A78" s="11">
        <v>46118.0</v>
      </c>
      <c r="B78" s="12">
        <v>46132.0</v>
      </c>
      <c r="C78" s="1" t="s">
        <v>27</v>
      </c>
      <c r="D78" s="17" t="s">
        <v>70</v>
      </c>
      <c r="E78" s="8">
        <v>4.99</v>
      </c>
      <c r="F78" s="8">
        <f t="shared" si="4"/>
        <v>3.992</v>
      </c>
      <c r="G78" s="19">
        <v>0.2</v>
      </c>
    </row>
    <row r="79" ht="15.75" customHeight="1">
      <c r="A79" s="11">
        <v>46118.0</v>
      </c>
      <c r="B79" s="12">
        <v>46132.0</v>
      </c>
      <c r="C79" s="1" t="s">
        <v>27</v>
      </c>
      <c r="D79" s="17" t="s">
        <v>71</v>
      </c>
      <c r="E79" s="8">
        <v>7.99</v>
      </c>
      <c r="F79" s="8">
        <f t="shared" si="4"/>
        <v>6.392</v>
      </c>
      <c r="G79" s="19">
        <v>0.2</v>
      </c>
    </row>
    <row r="80" ht="15.75" customHeight="1">
      <c r="A80" s="11">
        <v>46102.0</v>
      </c>
      <c r="B80" s="12">
        <v>46109.0</v>
      </c>
      <c r="C80" s="1" t="s">
        <v>27</v>
      </c>
      <c r="D80" s="17" t="s">
        <v>109</v>
      </c>
      <c r="E80" s="8">
        <v>4.99</v>
      </c>
      <c r="F80" s="8">
        <f t="shared" si="4"/>
        <v>4.99</v>
      </c>
      <c r="G80" s="19">
        <v>0.0</v>
      </c>
    </row>
    <row r="81" ht="15.75" customHeight="1">
      <c r="A81" s="11">
        <v>46102.0</v>
      </c>
      <c r="B81" s="12">
        <v>46109.0</v>
      </c>
      <c r="C81" s="1" t="s">
        <v>27</v>
      </c>
      <c r="D81" s="17" t="s">
        <v>110</v>
      </c>
      <c r="E81" s="8">
        <v>7.99</v>
      </c>
      <c r="F81" s="8">
        <f t="shared" si="4"/>
        <v>7.99</v>
      </c>
      <c r="G81" s="19">
        <v>0.0</v>
      </c>
    </row>
    <row r="82" ht="15.75" customHeight="1"/>
    <row r="83" ht="15.75" customHeight="1">
      <c r="A83" s="11">
        <v>46162.0</v>
      </c>
      <c r="B83" s="12">
        <v>46176.0</v>
      </c>
      <c r="C83" s="1" t="s">
        <v>136</v>
      </c>
      <c r="D83" s="17" t="s">
        <v>44</v>
      </c>
      <c r="E83" s="8">
        <v>59.99</v>
      </c>
      <c r="F83" s="8">
        <f t="shared" ref="F83:F102" si="5">E83*(1-G83)</f>
        <v>17.997</v>
      </c>
      <c r="G83" s="32">
        <v>0.7</v>
      </c>
    </row>
    <row r="84" ht="15.75" customHeight="1">
      <c r="A84" s="11">
        <v>46162.0</v>
      </c>
      <c r="B84" s="12">
        <v>46176.0</v>
      </c>
      <c r="C84" s="1" t="s">
        <v>136</v>
      </c>
      <c r="D84" s="17" t="s">
        <v>52</v>
      </c>
      <c r="E84" s="8">
        <v>89.99</v>
      </c>
      <c r="F84" s="8">
        <f t="shared" si="5"/>
        <v>26.997</v>
      </c>
      <c r="G84" s="32">
        <v>0.7</v>
      </c>
    </row>
    <row r="85" ht="15.75" customHeight="1">
      <c r="A85" s="11">
        <v>46162.0</v>
      </c>
      <c r="B85" s="12">
        <v>46176.0</v>
      </c>
      <c r="C85" s="1" t="s">
        <v>136</v>
      </c>
      <c r="D85" s="20" t="s">
        <v>53</v>
      </c>
      <c r="E85" s="21">
        <v>99.99</v>
      </c>
      <c r="F85" s="21">
        <f t="shared" si="5"/>
        <v>49.995</v>
      </c>
      <c r="G85" s="22">
        <v>0.5</v>
      </c>
    </row>
    <row r="86" ht="15.75" customHeight="1">
      <c r="A86" s="11">
        <v>46162.0</v>
      </c>
      <c r="B86" s="12">
        <v>46176.0</v>
      </c>
      <c r="C86" s="1" t="s">
        <v>136</v>
      </c>
      <c r="D86" s="17" t="s">
        <v>55</v>
      </c>
      <c r="E86" s="8">
        <v>119.99</v>
      </c>
      <c r="F86" s="8">
        <f t="shared" si="5"/>
        <v>53.9955</v>
      </c>
      <c r="G86" s="32">
        <v>0.55</v>
      </c>
    </row>
    <row r="87" ht="15.75" customHeight="1">
      <c r="A87" s="11">
        <v>46162.0</v>
      </c>
      <c r="B87" s="12">
        <v>46176.0</v>
      </c>
      <c r="C87" s="1" t="s">
        <v>136</v>
      </c>
      <c r="D87" s="17" t="s">
        <v>43</v>
      </c>
      <c r="E87" s="8">
        <v>39.99</v>
      </c>
      <c r="F87" s="8">
        <f t="shared" si="5"/>
        <v>27.993</v>
      </c>
      <c r="G87" s="32">
        <v>0.3</v>
      </c>
    </row>
    <row r="88" ht="15.75" customHeight="1">
      <c r="A88" s="11">
        <v>46162.0</v>
      </c>
      <c r="B88" s="12">
        <v>46176.0</v>
      </c>
      <c r="C88" s="1" t="s">
        <v>136</v>
      </c>
      <c r="D88" s="17" t="s">
        <v>74</v>
      </c>
      <c r="E88" s="8">
        <v>39.99</v>
      </c>
      <c r="F88" s="8">
        <f t="shared" si="5"/>
        <v>29.9925</v>
      </c>
      <c r="G88" s="32">
        <v>0.25</v>
      </c>
    </row>
    <row r="89" ht="15.75" customHeight="1">
      <c r="A89" s="11">
        <v>46162.0</v>
      </c>
      <c r="B89" s="12">
        <v>46176.0</v>
      </c>
      <c r="C89" s="1" t="s">
        <v>136</v>
      </c>
      <c r="D89" s="17" t="s">
        <v>57</v>
      </c>
      <c r="E89" s="8">
        <v>4.99</v>
      </c>
      <c r="F89" s="8">
        <f t="shared" si="5"/>
        <v>3.7425</v>
      </c>
      <c r="G89" s="32">
        <v>0.25</v>
      </c>
    </row>
    <row r="90" ht="15.75" customHeight="1">
      <c r="A90" s="11">
        <v>46162.0</v>
      </c>
      <c r="B90" s="12">
        <v>46176.0</v>
      </c>
      <c r="C90" s="1" t="s">
        <v>136</v>
      </c>
      <c r="D90" s="17" t="s">
        <v>58</v>
      </c>
      <c r="E90" s="8">
        <v>6.99</v>
      </c>
      <c r="F90" s="8">
        <f t="shared" si="5"/>
        <v>5.2425</v>
      </c>
      <c r="G90" s="32">
        <v>0.25</v>
      </c>
    </row>
    <row r="91" ht="15.75" customHeight="1">
      <c r="A91" s="11">
        <v>46162.0</v>
      </c>
      <c r="B91" s="12">
        <v>46176.0</v>
      </c>
      <c r="C91" s="1" t="s">
        <v>136</v>
      </c>
      <c r="D91" s="17" t="s">
        <v>59</v>
      </c>
      <c r="E91" s="8">
        <v>7.99</v>
      </c>
      <c r="F91" s="8">
        <f t="shared" si="5"/>
        <v>5.9925</v>
      </c>
      <c r="G91" s="32">
        <v>0.25</v>
      </c>
    </row>
    <row r="92" ht="15.75" customHeight="1">
      <c r="A92" s="11">
        <v>46162.0</v>
      </c>
      <c r="B92" s="12">
        <v>46176.0</v>
      </c>
      <c r="C92" s="1" t="s">
        <v>136</v>
      </c>
      <c r="D92" s="17" t="s">
        <v>60</v>
      </c>
      <c r="E92" s="8">
        <v>9.99</v>
      </c>
      <c r="F92" s="8">
        <f t="shared" si="5"/>
        <v>7.4925</v>
      </c>
      <c r="G92" s="32">
        <v>0.25</v>
      </c>
    </row>
    <row r="93" ht="15.75" customHeight="1">
      <c r="A93" s="11">
        <v>46162.0</v>
      </c>
      <c r="B93" s="12">
        <v>46176.0</v>
      </c>
      <c r="C93" s="1" t="s">
        <v>136</v>
      </c>
      <c r="D93" s="17" t="s">
        <v>61</v>
      </c>
      <c r="E93" s="8">
        <v>7.99</v>
      </c>
      <c r="F93" s="8">
        <f t="shared" si="5"/>
        <v>5.9925</v>
      </c>
      <c r="G93" s="32">
        <v>0.25</v>
      </c>
    </row>
    <row r="94" ht="15.75" customHeight="1">
      <c r="A94" s="11">
        <v>46162.0</v>
      </c>
      <c r="B94" s="12">
        <v>46176.0</v>
      </c>
      <c r="C94" s="1" t="s">
        <v>136</v>
      </c>
      <c r="D94" s="17" t="s">
        <v>63</v>
      </c>
      <c r="E94" s="8">
        <v>4.99</v>
      </c>
      <c r="F94" s="8">
        <f t="shared" si="5"/>
        <v>3.7425</v>
      </c>
      <c r="G94" s="32">
        <v>0.25</v>
      </c>
    </row>
    <row r="95" ht="15.75" customHeight="1">
      <c r="A95" s="11">
        <v>46162.0</v>
      </c>
      <c r="B95" s="12">
        <v>46176.0</v>
      </c>
      <c r="C95" s="1" t="s">
        <v>136</v>
      </c>
      <c r="D95" s="17" t="s">
        <v>65</v>
      </c>
      <c r="E95" s="8">
        <v>9.99</v>
      </c>
      <c r="F95" s="8">
        <f t="shared" si="5"/>
        <v>7.4925</v>
      </c>
      <c r="G95" s="32">
        <v>0.25</v>
      </c>
    </row>
    <row r="96" ht="15.75" customHeight="1">
      <c r="A96" s="11">
        <v>46162.0</v>
      </c>
      <c r="B96" s="12">
        <v>46176.0</v>
      </c>
      <c r="C96" s="1" t="s">
        <v>136</v>
      </c>
      <c r="D96" s="17" t="s">
        <v>66</v>
      </c>
      <c r="E96" s="8">
        <v>7.99</v>
      </c>
      <c r="F96" s="8">
        <f t="shared" si="5"/>
        <v>5.9925</v>
      </c>
      <c r="G96" s="32">
        <v>0.25</v>
      </c>
    </row>
    <row r="97" ht="15.75" customHeight="1">
      <c r="A97" s="11">
        <v>46162.0</v>
      </c>
      <c r="B97" s="12">
        <v>46176.0</v>
      </c>
      <c r="C97" s="1" t="s">
        <v>136</v>
      </c>
      <c r="D97" s="17" t="s">
        <v>67</v>
      </c>
      <c r="E97" s="8">
        <v>9.99</v>
      </c>
      <c r="F97" s="8">
        <f t="shared" si="5"/>
        <v>7.4925</v>
      </c>
      <c r="G97" s="32">
        <v>0.25</v>
      </c>
    </row>
    <row r="98" ht="15.75" customHeight="1">
      <c r="A98" s="11">
        <v>46162.0</v>
      </c>
      <c r="B98" s="12">
        <v>46176.0</v>
      </c>
      <c r="C98" s="1" t="s">
        <v>136</v>
      </c>
      <c r="D98" s="17" t="s">
        <v>69</v>
      </c>
      <c r="E98" s="8">
        <v>4.99</v>
      </c>
      <c r="F98" s="8">
        <f t="shared" si="5"/>
        <v>3.7425</v>
      </c>
      <c r="G98" s="32">
        <v>0.25</v>
      </c>
    </row>
    <row r="99" ht="15.75" customHeight="1">
      <c r="A99" s="11">
        <v>46162.0</v>
      </c>
      <c r="B99" s="12">
        <v>46176.0</v>
      </c>
      <c r="C99" s="1" t="s">
        <v>136</v>
      </c>
      <c r="D99" s="17" t="s">
        <v>70</v>
      </c>
      <c r="E99" s="8">
        <v>4.99</v>
      </c>
      <c r="F99" s="8">
        <f t="shared" si="5"/>
        <v>3.7425</v>
      </c>
      <c r="G99" s="32">
        <v>0.25</v>
      </c>
    </row>
    <row r="100" ht="15.75" customHeight="1">
      <c r="A100" s="11">
        <v>46162.0</v>
      </c>
      <c r="B100" s="12">
        <v>46176.0</v>
      </c>
      <c r="C100" s="1" t="s">
        <v>136</v>
      </c>
      <c r="D100" s="17" t="s">
        <v>71</v>
      </c>
      <c r="E100" s="8">
        <v>7.99</v>
      </c>
      <c r="F100" s="8">
        <f t="shared" si="5"/>
        <v>5.9925</v>
      </c>
      <c r="G100" s="32">
        <v>0.25</v>
      </c>
    </row>
    <row r="101" ht="15.75" customHeight="1">
      <c r="A101" s="11">
        <v>46162.0</v>
      </c>
      <c r="B101" s="12">
        <v>46176.0</v>
      </c>
      <c r="C101" s="1" t="s">
        <v>136</v>
      </c>
      <c r="D101" s="17" t="s">
        <v>109</v>
      </c>
      <c r="E101" s="8">
        <v>4.99</v>
      </c>
      <c r="F101" s="8">
        <f t="shared" si="5"/>
        <v>3.992</v>
      </c>
      <c r="G101" s="32">
        <v>0.2</v>
      </c>
    </row>
    <row r="102" ht="15.75" customHeight="1">
      <c r="A102" s="11">
        <v>46162.0</v>
      </c>
      <c r="B102" s="12">
        <v>46176.0</v>
      </c>
      <c r="C102" s="1" t="s">
        <v>136</v>
      </c>
      <c r="D102" s="17" t="s">
        <v>110</v>
      </c>
      <c r="E102" s="8">
        <v>7.99</v>
      </c>
      <c r="F102" s="8">
        <f t="shared" si="5"/>
        <v>6.392</v>
      </c>
      <c r="G102" s="32">
        <v>0.2</v>
      </c>
    </row>
    <row r="103" ht="15.75" customHeight="1"/>
    <row r="104" ht="15.75" customHeight="1">
      <c r="A104" s="11">
        <v>46198.0</v>
      </c>
      <c r="B104" s="12">
        <v>46212.0</v>
      </c>
      <c r="C104" s="1" t="s">
        <v>56</v>
      </c>
      <c r="D104" s="17" t="s">
        <v>44</v>
      </c>
      <c r="E104" s="8">
        <v>59.99</v>
      </c>
      <c r="F104" s="8">
        <f t="shared" ref="F104:F124" si="6">E104*(1-G104)</f>
        <v>17.997</v>
      </c>
      <c r="G104" s="19">
        <v>0.7</v>
      </c>
    </row>
    <row r="105" ht="15.75" customHeight="1">
      <c r="A105" s="11">
        <v>46198.0</v>
      </c>
      <c r="B105" s="12">
        <v>46212.0</v>
      </c>
      <c r="C105" s="1" t="s">
        <v>56</v>
      </c>
      <c r="D105" s="17" t="s">
        <v>52</v>
      </c>
      <c r="E105" s="8">
        <v>89.99</v>
      </c>
      <c r="F105" s="8">
        <f t="shared" si="6"/>
        <v>26.997</v>
      </c>
      <c r="G105" s="19">
        <v>0.7</v>
      </c>
    </row>
    <row r="106" ht="15.75" customHeight="1">
      <c r="A106" s="11">
        <v>46198.0</v>
      </c>
      <c r="B106" s="12">
        <v>46212.0</v>
      </c>
      <c r="C106" s="1" t="s">
        <v>56</v>
      </c>
      <c r="D106" s="20" t="s">
        <v>53</v>
      </c>
      <c r="E106" s="21">
        <v>99.99</v>
      </c>
      <c r="F106" s="21">
        <f t="shared" si="6"/>
        <v>49.995</v>
      </c>
      <c r="G106" s="22">
        <v>0.5</v>
      </c>
    </row>
    <row r="107" ht="15.75" customHeight="1">
      <c r="A107" s="11">
        <v>46198.0</v>
      </c>
      <c r="B107" s="12">
        <v>46212.0</v>
      </c>
      <c r="C107" s="1" t="s">
        <v>56</v>
      </c>
      <c r="D107" s="17" t="s">
        <v>55</v>
      </c>
      <c r="E107" s="8">
        <v>119.99</v>
      </c>
      <c r="F107" s="8">
        <f t="shared" si="6"/>
        <v>53.9955</v>
      </c>
      <c r="G107" s="19">
        <v>0.55</v>
      </c>
    </row>
    <row r="108" ht="15.75" customHeight="1">
      <c r="A108" s="11">
        <v>46198.0</v>
      </c>
      <c r="B108" s="12">
        <v>46212.0</v>
      </c>
      <c r="C108" s="1" t="s">
        <v>56</v>
      </c>
      <c r="D108" s="17" t="s">
        <v>43</v>
      </c>
      <c r="E108" s="8">
        <v>39.99</v>
      </c>
      <c r="F108" s="8">
        <f t="shared" si="6"/>
        <v>27.993</v>
      </c>
      <c r="G108" s="19">
        <v>0.3</v>
      </c>
    </row>
    <row r="109" ht="15.75" customHeight="1">
      <c r="A109" s="11">
        <v>46198.0</v>
      </c>
      <c r="B109" s="12">
        <v>46212.0</v>
      </c>
      <c r="C109" s="1" t="s">
        <v>56</v>
      </c>
      <c r="D109" s="17" t="s">
        <v>74</v>
      </c>
      <c r="E109" s="8">
        <v>39.99</v>
      </c>
      <c r="F109" s="8">
        <f t="shared" si="6"/>
        <v>29.9925</v>
      </c>
      <c r="G109" s="19">
        <v>0.25</v>
      </c>
    </row>
    <row r="110" ht="15.75" customHeight="1">
      <c r="A110" s="11">
        <v>46198.0</v>
      </c>
      <c r="B110" s="12">
        <v>46212.0</v>
      </c>
      <c r="C110" s="1" t="s">
        <v>56</v>
      </c>
      <c r="D110" s="17" t="s">
        <v>57</v>
      </c>
      <c r="E110" s="8">
        <v>4.99</v>
      </c>
      <c r="F110" s="8">
        <f t="shared" si="6"/>
        <v>3.7425</v>
      </c>
      <c r="G110" s="19">
        <v>0.25</v>
      </c>
    </row>
    <row r="111" ht="15.75" customHeight="1">
      <c r="A111" s="11">
        <v>46198.0</v>
      </c>
      <c r="B111" s="12">
        <v>46212.0</v>
      </c>
      <c r="C111" s="1" t="s">
        <v>56</v>
      </c>
      <c r="D111" s="17" t="s">
        <v>58</v>
      </c>
      <c r="E111" s="8">
        <v>6.99</v>
      </c>
      <c r="F111" s="8">
        <f t="shared" si="6"/>
        <v>5.2425</v>
      </c>
      <c r="G111" s="19">
        <v>0.25</v>
      </c>
    </row>
    <row r="112" ht="15.75" customHeight="1">
      <c r="A112" s="11">
        <v>46198.0</v>
      </c>
      <c r="B112" s="12">
        <v>46212.0</v>
      </c>
      <c r="C112" s="1" t="s">
        <v>56</v>
      </c>
      <c r="D112" s="17" t="s">
        <v>59</v>
      </c>
      <c r="E112" s="8">
        <v>7.99</v>
      </c>
      <c r="F112" s="8">
        <f t="shared" si="6"/>
        <v>5.9925</v>
      </c>
      <c r="G112" s="19">
        <v>0.25</v>
      </c>
    </row>
    <row r="113" ht="15.75" customHeight="1">
      <c r="A113" s="11">
        <v>46198.0</v>
      </c>
      <c r="B113" s="12">
        <v>46212.0</v>
      </c>
      <c r="C113" s="1" t="s">
        <v>56</v>
      </c>
      <c r="D113" s="17" t="s">
        <v>60</v>
      </c>
      <c r="E113" s="8">
        <v>9.99</v>
      </c>
      <c r="F113" s="8">
        <f t="shared" si="6"/>
        <v>7.4925</v>
      </c>
      <c r="G113" s="19">
        <v>0.25</v>
      </c>
    </row>
    <row r="114" ht="15.75" customHeight="1">
      <c r="A114" s="11">
        <v>46198.0</v>
      </c>
      <c r="B114" s="12">
        <v>46212.0</v>
      </c>
      <c r="C114" s="1" t="s">
        <v>56</v>
      </c>
      <c r="D114" s="17" t="s">
        <v>61</v>
      </c>
      <c r="E114" s="8">
        <v>7.99</v>
      </c>
      <c r="F114" s="8">
        <f t="shared" si="6"/>
        <v>5.9925</v>
      </c>
      <c r="G114" s="19">
        <v>0.25</v>
      </c>
    </row>
    <row r="115" ht="15.75" customHeight="1">
      <c r="A115" s="11">
        <v>46198.0</v>
      </c>
      <c r="B115" s="12">
        <v>46212.0</v>
      </c>
      <c r="C115" s="1" t="s">
        <v>56</v>
      </c>
      <c r="D115" s="17" t="s">
        <v>63</v>
      </c>
      <c r="E115" s="8">
        <v>4.99</v>
      </c>
      <c r="F115" s="8">
        <f t="shared" si="6"/>
        <v>3.7425</v>
      </c>
      <c r="G115" s="19">
        <v>0.25</v>
      </c>
    </row>
    <row r="116" ht="15.75" customHeight="1">
      <c r="A116" s="11">
        <v>46198.0</v>
      </c>
      <c r="B116" s="12">
        <v>46212.0</v>
      </c>
      <c r="C116" s="1" t="s">
        <v>56</v>
      </c>
      <c r="D116" s="17" t="s">
        <v>65</v>
      </c>
      <c r="E116" s="8">
        <v>9.99</v>
      </c>
      <c r="F116" s="8">
        <f t="shared" si="6"/>
        <v>7.4925</v>
      </c>
      <c r="G116" s="19">
        <v>0.25</v>
      </c>
    </row>
    <row r="117" ht="15.75" customHeight="1">
      <c r="A117" s="11">
        <v>46198.0</v>
      </c>
      <c r="B117" s="12">
        <v>46212.0</v>
      </c>
      <c r="C117" s="1" t="s">
        <v>56</v>
      </c>
      <c r="D117" s="17" t="s">
        <v>66</v>
      </c>
      <c r="E117" s="8">
        <v>7.99</v>
      </c>
      <c r="F117" s="8">
        <f t="shared" si="6"/>
        <v>5.9925</v>
      </c>
      <c r="G117" s="19">
        <v>0.25</v>
      </c>
    </row>
    <row r="118" ht="15.75" customHeight="1">
      <c r="A118" s="11">
        <v>46198.0</v>
      </c>
      <c r="B118" s="12">
        <v>46212.0</v>
      </c>
      <c r="C118" s="1" t="s">
        <v>56</v>
      </c>
      <c r="D118" s="17" t="s">
        <v>67</v>
      </c>
      <c r="E118" s="8">
        <v>9.99</v>
      </c>
      <c r="F118" s="8">
        <f t="shared" si="6"/>
        <v>7.4925</v>
      </c>
      <c r="G118" s="19">
        <v>0.25</v>
      </c>
    </row>
    <row r="119" ht="15.75" customHeight="1">
      <c r="A119" s="11">
        <v>46198.0</v>
      </c>
      <c r="B119" s="12">
        <v>46212.0</v>
      </c>
      <c r="C119" s="1" t="s">
        <v>56</v>
      </c>
      <c r="D119" s="17" t="s">
        <v>69</v>
      </c>
      <c r="E119" s="8">
        <v>4.99</v>
      </c>
      <c r="F119" s="8">
        <f t="shared" si="6"/>
        <v>3.7425</v>
      </c>
      <c r="G119" s="19">
        <v>0.25</v>
      </c>
    </row>
    <row r="120" ht="15.75" customHeight="1">
      <c r="A120" s="11">
        <v>46198.0</v>
      </c>
      <c r="B120" s="12">
        <v>46212.0</v>
      </c>
      <c r="C120" s="1" t="s">
        <v>56</v>
      </c>
      <c r="D120" s="17" t="s">
        <v>70</v>
      </c>
      <c r="E120" s="8">
        <v>4.99</v>
      </c>
      <c r="F120" s="8">
        <f t="shared" si="6"/>
        <v>3.7425</v>
      </c>
      <c r="G120" s="19">
        <v>0.25</v>
      </c>
    </row>
    <row r="121" ht="15.75" customHeight="1">
      <c r="A121" s="11">
        <v>46198.0</v>
      </c>
      <c r="B121" s="12">
        <v>46212.0</v>
      </c>
      <c r="C121" s="1" t="s">
        <v>56</v>
      </c>
      <c r="D121" s="17" t="s">
        <v>71</v>
      </c>
      <c r="E121" s="8">
        <v>7.99</v>
      </c>
      <c r="F121" s="8">
        <f t="shared" si="6"/>
        <v>5.9925</v>
      </c>
      <c r="G121" s="19">
        <v>0.25</v>
      </c>
    </row>
    <row r="122" ht="15.75" customHeight="1">
      <c r="A122" s="11">
        <v>46198.0</v>
      </c>
      <c r="B122" s="12">
        <v>46212.0</v>
      </c>
      <c r="C122" s="1" t="s">
        <v>56</v>
      </c>
      <c r="D122" s="17" t="s">
        <v>109</v>
      </c>
      <c r="E122" s="8">
        <v>4.99</v>
      </c>
      <c r="F122" s="8">
        <f t="shared" si="6"/>
        <v>3.992</v>
      </c>
      <c r="G122" s="32">
        <v>0.2</v>
      </c>
    </row>
    <row r="123" ht="15.75" customHeight="1">
      <c r="A123" s="11">
        <v>46198.0</v>
      </c>
      <c r="B123" s="12">
        <v>46212.0</v>
      </c>
      <c r="C123" s="1" t="s">
        <v>56</v>
      </c>
      <c r="D123" s="17" t="s">
        <v>110</v>
      </c>
      <c r="E123" s="8">
        <v>7.99</v>
      </c>
      <c r="F123" s="8">
        <f t="shared" si="6"/>
        <v>6.392</v>
      </c>
      <c r="G123" s="32">
        <v>0.2</v>
      </c>
    </row>
    <row r="124" ht="15.75" customHeight="1">
      <c r="A124" s="11">
        <v>46198.0</v>
      </c>
      <c r="B124" s="12">
        <v>46212.0</v>
      </c>
      <c r="C124" s="1" t="s">
        <v>56</v>
      </c>
      <c r="D124" s="17" t="s">
        <v>155</v>
      </c>
      <c r="E124" s="8">
        <v>9.99</v>
      </c>
      <c r="F124" s="8">
        <f t="shared" si="6"/>
        <v>9.99</v>
      </c>
      <c r="G124" s="19">
        <v>0.0</v>
      </c>
    </row>
    <row r="125" ht="15.75" customHeight="1"/>
    <row r="126" ht="15.75" customHeight="1">
      <c r="A126" s="11">
        <v>46219.0</v>
      </c>
      <c r="B126" s="12">
        <v>46233.0</v>
      </c>
      <c r="C126" s="1" t="s">
        <v>27</v>
      </c>
      <c r="D126" s="17" t="s">
        <v>44</v>
      </c>
      <c r="E126" s="8">
        <v>59.99</v>
      </c>
      <c r="F126" s="8">
        <f t="shared" ref="F126:F146" si="7">E126*(1-G126)</f>
        <v>17.997</v>
      </c>
      <c r="G126" s="19">
        <v>0.7</v>
      </c>
    </row>
    <row r="127" ht="15.75" customHeight="1">
      <c r="A127" s="11">
        <v>46219.0</v>
      </c>
      <c r="B127" s="12">
        <v>46233.0</v>
      </c>
      <c r="C127" s="1" t="s">
        <v>27</v>
      </c>
      <c r="D127" s="17" t="s">
        <v>52</v>
      </c>
      <c r="E127" s="8">
        <v>89.99</v>
      </c>
      <c r="F127" s="8">
        <f t="shared" si="7"/>
        <v>26.997</v>
      </c>
      <c r="G127" s="19">
        <v>0.7</v>
      </c>
    </row>
    <row r="128" ht="15.75" customHeight="1">
      <c r="A128" s="11">
        <v>46219.0</v>
      </c>
      <c r="B128" s="12">
        <v>46233.0</v>
      </c>
      <c r="C128" s="1" t="s">
        <v>27</v>
      </c>
      <c r="D128" s="20" t="s">
        <v>53</v>
      </c>
      <c r="E128" s="21">
        <v>99.99</v>
      </c>
      <c r="F128" s="21">
        <f t="shared" si="7"/>
        <v>49.995</v>
      </c>
      <c r="G128" s="22">
        <v>0.5</v>
      </c>
    </row>
    <row r="129" ht="15.75" customHeight="1">
      <c r="A129" s="11">
        <v>46219.0</v>
      </c>
      <c r="B129" s="12">
        <v>46233.0</v>
      </c>
      <c r="C129" s="1" t="s">
        <v>27</v>
      </c>
      <c r="D129" s="17" t="s">
        <v>55</v>
      </c>
      <c r="E129" s="8">
        <v>119.99</v>
      </c>
      <c r="F129" s="8">
        <f t="shared" si="7"/>
        <v>53.9955</v>
      </c>
      <c r="G129" s="19">
        <v>0.55</v>
      </c>
    </row>
    <row r="130" ht="15.75" customHeight="1">
      <c r="A130" s="11">
        <v>46219.0</v>
      </c>
      <c r="B130" s="12">
        <v>46233.0</v>
      </c>
      <c r="C130" s="1" t="s">
        <v>27</v>
      </c>
      <c r="D130" s="17" t="s">
        <v>43</v>
      </c>
      <c r="E130" s="8">
        <v>39.99</v>
      </c>
      <c r="F130" s="8">
        <f t="shared" si="7"/>
        <v>27.993</v>
      </c>
      <c r="G130" s="19">
        <v>0.3</v>
      </c>
    </row>
    <row r="131" ht="15.75" customHeight="1">
      <c r="A131" s="11">
        <v>46219.0</v>
      </c>
      <c r="B131" s="12">
        <v>46233.0</v>
      </c>
      <c r="C131" s="1" t="s">
        <v>27</v>
      </c>
      <c r="D131" s="17" t="s">
        <v>74</v>
      </c>
      <c r="E131" s="8">
        <v>39.99</v>
      </c>
      <c r="F131" s="8">
        <f t="shared" si="7"/>
        <v>29.9925</v>
      </c>
      <c r="G131" s="19">
        <v>0.25</v>
      </c>
    </row>
    <row r="132" ht="15.75" customHeight="1">
      <c r="A132" s="11">
        <v>46219.0</v>
      </c>
      <c r="B132" s="12">
        <v>46233.0</v>
      </c>
      <c r="C132" s="1" t="s">
        <v>27</v>
      </c>
      <c r="D132" s="17" t="s">
        <v>57</v>
      </c>
      <c r="E132" s="8">
        <v>4.99</v>
      </c>
      <c r="F132" s="8">
        <f t="shared" si="7"/>
        <v>3.7425</v>
      </c>
      <c r="G132" s="19">
        <v>0.25</v>
      </c>
    </row>
    <row r="133" ht="15.75" customHeight="1">
      <c r="A133" s="11">
        <v>46219.0</v>
      </c>
      <c r="B133" s="12">
        <v>46233.0</v>
      </c>
      <c r="C133" s="1" t="s">
        <v>27</v>
      </c>
      <c r="D133" s="17" t="s">
        <v>58</v>
      </c>
      <c r="E133" s="8">
        <v>6.99</v>
      </c>
      <c r="F133" s="8">
        <f t="shared" si="7"/>
        <v>5.2425</v>
      </c>
      <c r="G133" s="19">
        <v>0.25</v>
      </c>
    </row>
    <row r="134" ht="15.75" customHeight="1">
      <c r="A134" s="11">
        <v>46219.0</v>
      </c>
      <c r="B134" s="12">
        <v>46233.0</v>
      </c>
      <c r="C134" s="1" t="s">
        <v>27</v>
      </c>
      <c r="D134" s="17" t="s">
        <v>59</v>
      </c>
      <c r="E134" s="8">
        <v>7.99</v>
      </c>
      <c r="F134" s="8">
        <f t="shared" si="7"/>
        <v>5.9925</v>
      </c>
      <c r="G134" s="19">
        <v>0.25</v>
      </c>
    </row>
    <row r="135" ht="15.75" customHeight="1">
      <c r="A135" s="11">
        <v>46219.0</v>
      </c>
      <c r="B135" s="12">
        <v>46233.0</v>
      </c>
      <c r="C135" s="1" t="s">
        <v>27</v>
      </c>
      <c r="D135" s="17" t="s">
        <v>60</v>
      </c>
      <c r="E135" s="8">
        <v>9.99</v>
      </c>
      <c r="F135" s="8">
        <f t="shared" si="7"/>
        <v>7.4925</v>
      </c>
      <c r="G135" s="19">
        <v>0.25</v>
      </c>
    </row>
    <row r="136" ht="15.75" customHeight="1">
      <c r="A136" s="11">
        <v>46219.0</v>
      </c>
      <c r="B136" s="12">
        <v>46233.0</v>
      </c>
      <c r="C136" s="1" t="s">
        <v>27</v>
      </c>
      <c r="D136" s="17" t="s">
        <v>61</v>
      </c>
      <c r="E136" s="8">
        <v>7.99</v>
      </c>
      <c r="F136" s="8">
        <f t="shared" si="7"/>
        <v>5.9925</v>
      </c>
      <c r="G136" s="19">
        <v>0.25</v>
      </c>
    </row>
    <row r="137" ht="15.75" customHeight="1">
      <c r="A137" s="11">
        <v>46219.0</v>
      </c>
      <c r="B137" s="12">
        <v>46233.0</v>
      </c>
      <c r="C137" s="1" t="s">
        <v>27</v>
      </c>
      <c r="D137" s="17" t="s">
        <v>63</v>
      </c>
      <c r="E137" s="8">
        <v>4.99</v>
      </c>
      <c r="F137" s="8">
        <f t="shared" si="7"/>
        <v>3.7425</v>
      </c>
      <c r="G137" s="19">
        <v>0.25</v>
      </c>
    </row>
    <row r="138" ht="15.75" customHeight="1">
      <c r="A138" s="11">
        <v>46219.0</v>
      </c>
      <c r="B138" s="12">
        <v>46233.0</v>
      </c>
      <c r="C138" s="1" t="s">
        <v>27</v>
      </c>
      <c r="D138" s="17" t="s">
        <v>65</v>
      </c>
      <c r="E138" s="8">
        <v>9.99</v>
      </c>
      <c r="F138" s="8">
        <f t="shared" si="7"/>
        <v>7.4925</v>
      </c>
      <c r="G138" s="19">
        <v>0.25</v>
      </c>
    </row>
    <row r="139" ht="15.75" customHeight="1">
      <c r="A139" s="11">
        <v>46219.0</v>
      </c>
      <c r="B139" s="12">
        <v>46233.0</v>
      </c>
      <c r="C139" s="1" t="s">
        <v>27</v>
      </c>
      <c r="D139" s="17" t="s">
        <v>66</v>
      </c>
      <c r="E139" s="8">
        <v>7.99</v>
      </c>
      <c r="F139" s="8">
        <f t="shared" si="7"/>
        <v>5.9925</v>
      </c>
      <c r="G139" s="19">
        <v>0.25</v>
      </c>
    </row>
    <row r="140" ht="15.75" customHeight="1">
      <c r="A140" s="11">
        <v>46219.0</v>
      </c>
      <c r="B140" s="12">
        <v>46233.0</v>
      </c>
      <c r="C140" s="1" t="s">
        <v>27</v>
      </c>
      <c r="D140" s="17" t="s">
        <v>67</v>
      </c>
      <c r="E140" s="8">
        <v>9.99</v>
      </c>
      <c r="F140" s="8">
        <f t="shared" si="7"/>
        <v>7.4925</v>
      </c>
      <c r="G140" s="19">
        <v>0.25</v>
      </c>
    </row>
    <row r="141" ht="15.75" customHeight="1">
      <c r="A141" s="11">
        <v>46219.0</v>
      </c>
      <c r="B141" s="12">
        <v>46233.0</v>
      </c>
      <c r="C141" s="1" t="s">
        <v>27</v>
      </c>
      <c r="D141" s="17" t="s">
        <v>69</v>
      </c>
      <c r="E141" s="8">
        <v>4.99</v>
      </c>
      <c r="F141" s="8">
        <f t="shared" si="7"/>
        <v>3.7425</v>
      </c>
      <c r="G141" s="19">
        <v>0.25</v>
      </c>
    </row>
    <row r="142" ht="15.75" customHeight="1">
      <c r="A142" s="11">
        <v>46219.0</v>
      </c>
      <c r="B142" s="12">
        <v>46233.0</v>
      </c>
      <c r="C142" s="1" t="s">
        <v>27</v>
      </c>
      <c r="D142" s="17" t="s">
        <v>70</v>
      </c>
      <c r="E142" s="8">
        <v>4.99</v>
      </c>
      <c r="F142" s="8">
        <f t="shared" si="7"/>
        <v>3.7425</v>
      </c>
      <c r="G142" s="19">
        <v>0.25</v>
      </c>
    </row>
    <row r="143" ht="15.75" customHeight="1">
      <c r="A143" s="11">
        <v>46219.0</v>
      </c>
      <c r="B143" s="12">
        <v>46233.0</v>
      </c>
      <c r="C143" s="1" t="s">
        <v>27</v>
      </c>
      <c r="D143" s="17" t="s">
        <v>71</v>
      </c>
      <c r="E143" s="8">
        <v>7.99</v>
      </c>
      <c r="F143" s="8">
        <f t="shared" si="7"/>
        <v>5.9925</v>
      </c>
      <c r="G143" s="19">
        <v>0.25</v>
      </c>
    </row>
    <row r="144" ht="15.75" customHeight="1">
      <c r="A144" s="11">
        <v>46219.0</v>
      </c>
      <c r="B144" s="12">
        <v>46233.0</v>
      </c>
      <c r="C144" s="1" t="s">
        <v>27</v>
      </c>
      <c r="D144" s="17" t="s">
        <v>109</v>
      </c>
      <c r="E144" s="8">
        <v>4.99</v>
      </c>
      <c r="F144" s="8">
        <f t="shared" si="7"/>
        <v>3.7425</v>
      </c>
      <c r="G144" s="32">
        <v>0.25</v>
      </c>
      <c r="H144" s="53" t="s">
        <v>158</v>
      </c>
    </row>
    <row r="145" ht="15.75" customHeight="1">
      <c r="A145" s="11">
        <v>46219.0</v>
      </c>
      <c r="B145" s="12">
        <v>46233.0</v>
      </c>
      <c r="C145" s="1" t="s">
        <v>27</v>
      </c>
      <c r="D145" s="17" t="s">
        <v>110</v>
      </c>
      <c r="E145" s="8">
        <v>7.99</v>
      </c>
      <c r="F145" s="8">
        <f t="shared" si="7"/>
        <v>5.9925</v>
      </c>
      <c r="G145" s="32">
        <v>0.25</v>
      </c>
      <c r="H145" s="53" t="s">
        <v>158</v>
      </c>
    </row>
    <row r="146" ht="15.75" customHeight="1">
      <c r="A146" s="11">
        <v>46219.0</v>
      </c>
      <c r="B146" s="12">
        <v>46233.0</v>
      </c>
      <c r="C146" s="1" t="s">
        <v>27</v>
      </c>
      <c r="D146" s="17" t="s">
        <v>155</v>
      </c>
      <c r="E146" s="8">
        <v>9.99</v>
      </c>
      <c r="F146" s="8">
        <f t="shared" si="7"/>
        <v>7.992</v>
      </c>
      <c r="G146" s="32">
        <v>0.2</v>
      </c>
      <c r="H146" s="53" t="s">
        <v>159</v>
      </c>
    </row>
    <row r="147" ht="15.75" customHeight="1"/>
    <row r="148" ht="15.75" customHeight="1">
      <c r="A148" s="11">
        <v>46268.0</v>
      </c>
      <c r="B148" s="12">
        <v>46279.0</v>
      </c>
      <c r="C148" s="1" t="s">
        <v>72</v>
      </c>
      <c r="D148" s="17" t="s">
        <v>44</v>
      </c>
      <c r="E148" s="8">
        <v>59.99</v>
      </c>
      <c r="F148" s="8">
        <f t="shared" ref="F148:F170" si="8">E148*(1-G148)</f>
        <v>17.997</v>
      </c>
      <c r="G148" s="19">
        <v>0.7</v>
      </c>
    </row>
    <row r="149" ht="15.75" customHeight="1">
      <c r="A149" s="11">
        <v>46268.0</v>
      </c>
      <c r="B149" s="12">
        <v>46279.0</v>
      </c>
      <c r="C149" s="1" t="s">
        <v>72</v>
      </c>
      <c r="D149" s="17" t="s">
        <v>52</v>
      </c>
      <c r="E149" s="8">
        <v>89.99</v>
      </c>
      <c r="F149" s="8">
        <f t="shared" si="8"/>
        <v>26.997</v>
      </c>
      <c r="G149" s="19">
        <v>0.7</v>
      </c>
    </row>
    <row r="150" ht="15.75" customHeight="1">
      <c r="A150" s="11">
        <v>46268.0</v>
      </c>
      <c r="B150" s="12">
        <v>46279.0</v>
      </c>
      <c r="C150" s="1" t="s">
        <v>72</v>
      </c>
      <c r="D150" s="20" t="s">
        <v>53</v>
      </c>
      <c r="E150" s="21">
        <v>99.99</v>
      </c>
      <c r="F150" s="21">
        <f t="shared" si="8"/>
        <v>49.995</v>
      </c>
      <c r="G150" s="22">
        <v>0.5</v>
      </c>
    </row>
    <row r="151" ht="15.75" customHeight="1">
      <c r="A151" s="11">
        <v>46268.0</v>
      </c>
      <c r="B151" s="12">
        <v>46279.0</v>
      </c>
      <c r="C151" s="1" t="s">
        <v>72</v>
      </c>
      <c r="D151" s="17" t="s">
        <v>55</v>
      </c>
      <c r="E151" s="8">
        <v>119.99</v>
      </c>
      <c r="F151" s="8">
        <f t="shared" si="8"/>
        <v>53.9955</v>
      </c>
      <c r="G151" s="19">
        <v>0.55</v>
      </c>
    </row>
    <row r="152" ht="15.75" customHeight="1">
      <c r="A152" s="11">
        <v>46268.0</v>
      </c>
      <c r="B152" s="12">
        <v>46279.0</v>
      </c>
      <c r="C152" s="1" t="s">
        <v>72</v>
      </c>
      <c r="D152" s="17" t="s">
        <v>43</v>
      </c>
      <c r="E152" s="8">
        <v>39.99</v>
      </c>
      <c r="F152" s="8">
        <f t="shared" si="8"/>
        <v>27.993</v>
      </c>
      <c r="G152" s="19">
        <v>0.3</v>
      </c>
    </row>
    <row r="153" ht="15.75" customHeight="1">
      <c r="A153" s="11">
        <v>46268.0</v>
      </c>
      <c r="B153" s="12">
        <v>46279.0</v>
      </c>
      <c r="C153" s="1" t="s">
        <v>72</v>
      </c>
      <c r="D153" s="17" t="s">
        <v>74</v>
      </c>
      <c r="E153" s="8">
        <v>39.99</v>
      </c>
      <c r="F153" s="8">
        <f t="shared" si="8"/>
        <v>29.9925</v>
      </c>
      <c r="G153" s="19">
        <v>0.25</v>
      </c>
    </row>
    <row r="154" ht="15.75" customHeight="1">
      <c r="A154" s="11">
        <v>46268.0</v>
      </c>
      <c r="B154" s="12">
        <v>46279.0</v>
      </c>
      <c r="C154" s="1" t="s">
        <v>72</v>
      </c>
      <c r="D154" s="17" t="s">
        <v>57</v>
      </c>
      <c r="E154" s="8">
        <v>4.99</v>
      </c>
      <c r="F154" s="8">
        <f t="shared" si="8"/>
        <v>3.7425</v>
      </c>
      <c r="G154" s="19">
        <v>0.25</v>
      </c>
    </row>
    <row r="155" ht="15.75" customHeight="1">
      <c r="A155" s="11">
        <v>46268.0</v>
      </c>
      <c r="B155" s="12">
        <v>46279.0</v>
      </c>
      <c r="C155" s="1" t="s">
        <v>72</v>
      </c>
      <c r="D155" s="17" t="s">
        <v>58</v>
      </c>
      <c r="E155" s="8">
        <v>6.99</v>
      </c>
      <c r="F155" s="8">
        <f t="shared" si="8"/>
        <v>5.2425</v>
      </c>
      <c r="G155" s="19">
        <v>0.25</v>
      </c>
    </row>
    <row r="156" ht="15.75" customHeight="1">
      <c r="A156" s="11">
        <v>46268.0</v>
      </c>
      <c r="B156" s="12">
        <v>46279.0</v>
      </c>
      <c r="C156" s="1" t="s">
        <v>72</v>
      </c>
      <c r="D156" s="17" t="s">
        <v>59</v>
      </c>
      <c r="E156" s="8">
        <v>7.99</v>
      </c>
      <c r="F156" s="8">
        <f t="shared" si="8"/>
        <v>5.9925</v>
      </c>
      <c r="G156" s="19">
        <v>0.25</v>
      </c>
    </row>
    <row r="157" ht="15.75" customHeight="1">
      <c r="A157" s="11">
        <v>46268.0</v>
      </c>
      <c r="B157" s="12">
        <v>46279.0</v>
      </c>
      <c r="C157" s="1" t="s">
        <v>72</v>
      </c>
      <c r="D157" s="17" t="s">
        <v>60</v>
      </c>
      <c r="E157" s="8">
        <v>9.99</v>
      </c>
      <c r="F157" s="8">
        <f t="shared" si="8"/>
        <v>7.4925</v>
      </c>
      <c r="G157" s="19">
        <v>0.25</v>
      </c>
    </row>
    <row r="158" ht="15.75" customHeight="1">
      <c r="A158" s="11">
        <v>46268.0</v>
      </c>
      <c r="B158" s="12">
        <v>46279.0</v>
      </c>
      <c r="C158" s="1" t="s">
        <v>72</v>
      </c>
      <c r="D158" s="17" t="s">
        <v>61</v>
      </c>
      <c r="E158" s="8">
        <v>7.99</v>
      </c>
      <c r="F158" s="8">
        <f t="shared" si="8"/>
        <v>5.9925</v>
      </c>
      <c r="G158" s="19">
        <v>0.25</v>
      </c>
    </row>
    <row r="159" ht="15.75" customHeight="1">
      <c r="A159" s="11">
        <v>46268.0</v>
      </c>
      <c r="B159" s="12">
        <v>46279.0</v>
      </c>
      <c r="C159" s="1" t="s">
        <v>72</v>
      </c>
      <c r="D159" s="17" t="s">
        <v>63</v>
      </c>
      <c r="E159" s="8">
        <v>4.99</v>
      </c>
      <c r="F159" s="8">
        <f t="shared" si="8"/>
        <v>3.7425</v>
      </c>
      <c r="G159" s="19">
        <v>0.25</v>
      </c>
    </row>
    <row r="160" ht="15.75" customHeight="1">
      <c r="A160" s="11">
        <v>46268.0</v>
      </c>
      <c r="B160" s="12">
        <v>46279.0</v>
      </c>
      <c r="C160" s="1" t="s">
        <v>72</v>
      </c>
      <c r="D160" s="17" t="s">
        <v>65</v>
      </c>
      <c r="E160" s="8">
        <v>9.99</v>
      </c>
      <c r="F160" s="8">
        <f t="shared" si="8"/>
        <v>7.4925</v>
      </c>
      <c r="G160" s="19">
        <v>0.25</v>
      </c>
    </row>
    <row r="161" ht="15.75" customHeight="1">
      <c r="A161" s="11">
        <v>46268.0</v>
      </c>
      <c r="B161" s="12">
        <v>46279.0</v>
      </c>
      <c r="C161" s="1" t="s">
        <v>72</v>
      </c>
      <c r="D161" s="17" t="s">
        <v>66</v>
      </c>
      <c r="E161" s="8">
        <v>7.99</v>
      </c>
      <c r="F161" s="8">
        <f t="shared" si="8"/>
        <v>5.9925</v>
      </c>
      <c r="G161" s="19">
        <v>0.25</v>
      </c>
    </row>
    <row r="162" ht="15.75" customHeight="1">
      <c r="A162" s="11">
        <v>46268.0</v>
      </c>
      <c r="B162" s="12">
        <v>46279.0</v>
      </c>
      <c r="C162" s="1" t="s">
        <v>72</v>
      </c>
      <c r="D162" s="17" t="s">
        <v>67</v>
      </c>
      <c r="E162" s="8">
        <v>9.99</v>
      </c>
      <c r="F162" s="8">
        <f t="shared" si="8"/>
        <v>7.4925</v>
      </c>
      <c r="G162" s="19">
        <v>0.25</v>
      </c>
    </row>
    <row r="163" ht="15.75" customHeight="1">
      <c r="A163" s="11">
        <v>46268.0</v>
      </c>
      <c r="B163" s="12">
        <v>46279.0</v>
      </c>
      <c r="C163" s="1" t="s">
        <v>72</v>
      </c>
      <c r="D163" s="17" t="s">
        <v>69</v>
      </c>
      <c r="E163" s="8">
        <v>4.99</v>
      </c>
      <c r="F163" s="8">
        <f t="shared" si="8"/>
        <v>3.7425</v>
      </c>
      <c r="G163" s="19">
        <v>0.25</v>
      </c>
    </row>
    <row r="164" ht="15.75" customHeight="1">
      <c r="A164" s="11">
        <v>46268.0</v>
      </c>
      <c r="B164" s="12">
        <v>46279.0</v>
      </c>
      <c r="C164" s="1" t="s">
        <v>72</v>
      </c>
      <c r="D164" s="17" t="s">
        <v>70</v>
      </c>
      <c r="E164" s="8">
        <v>4.99</v>
      </c>
      <c r="F164" s="8">
        <f t="shared" si="8"/>
        <v>3.7425</v>
      </c>
      <c r="G164" s="19">
        <v>0.25</v>
      </c>
    </row>
    <row r="165" ht="15.75" customHeight="1">
      <c r="A165" s="11">
        <v>46268.0</v>
      </c>
      <c r="B165" s="12">
        <v>46279.0</v>
      </c>
      <c r="C165" s="1" t="s">
        <v>72</v>
      </c>
      <c r="D165" s="17" t="s">
        <v>71</v>
      </c>
      <c r="E165" s="8">
        <v>7.99</v>
      </c>
      <c r="F165" s="8">
        <f t="shared" si="8"/>
        <v>5.9925</v>
      </c>
      <c r="G165" s="19">
        <v>0.25</v>
      </c>
    </row>
    <row r="166" ht="15.75" customHeight="1">
      <c r="A166" s="11">
        <v>46268.0</v>
      </c>
      <c r="B166" s="12">
        <v>46279.0</v>
      </c>
      <c r="C166" s="1" t="s">
        <v>72</v>
      </c>
      <c r="D166" s="17" t="s">
        <v>109</v>
      </c>
      <c r="E166" s="8">
        <v>4.99</v>
      </c>
      <c r="F166" s="8">
        <f t="shared" si="8"/>
        <v>3.7425</v>
      </c>
      <c r="G166" s="19">
        <v>0.25</v>
      </c>
      <c r="H166" s="5" t="s">
        <v>158</v>
      </c>
    </row>
    <row r="167" ht="15.75" customHeight="1">
      <c r="A167" s="11">
        <v>46268.0</v>
      </c>
      <c r="B167" s="12">
        <v>46279.0</v>
      </c>
      <c r="C167" s="1" t="s">
        <v>72</v>
      </c>
      <c r="D167" s="17" t="s">
        <v>110</v>
      </c>
      <c r="E167" s="8">
        <v>7.99</v>
      </c>
      <c r="F167" s="8">
        <f t="shared" si="8"/>
        <v>5.9925</v>
      </c>
      <c r="G167" s="19">
        <v>0.25</v>
      </c>
      <c r="H167" s="5" t="s">
        <v>158</v>
      </c>
    </row>
    <row r="168" ht="15.75" customHeight="1">
      <c r="A168" s="11">
        <v>46268.0</v>
      </c>
      <c r="B168" s="12">
        <v>46279.0</v>
      </c>
      <c r="C168" s="1" t="s">
        <v>72</v>
      </c>
      <c r="D168" s="17" t="s">
        <v>155</v>
      </c>
      <c r="E168" s="8">
        <v>9.99</v>
      </c>
      <c r="F168" s="8">
        <f t="shared" si="8"/>
        <v>7.4925</v>
      </c>
      <c r="G168" s="32">
        <v>0.25</v>
      </c>
      <c r="H168" s="5" t="s">
        <v>159</v>
      </c>
    </row>
    <row r="169" ht="15.75" customHeight="1">
      <c r="A169" s="11">
        <v>46268.0</v>
      </c>
      <c r="B169" s="12">
        <v>46279.0</v>
      </c>
      <c r="C169" s="1" t="s">
        <v>72</v>
      </c>
      <c r="D169" s="17" t="s">
        <v>160</v>
      </c>
      <c r="E169" s="8">
        <v>7.99</v>
      </c>
      <c r="F169" s="8">
        <f t="shared" si="8"/>
        <v>7.99</v>
      </c>
      <c r="G169" s="19">
        <v>0.0</v>
      </c>
      <c r="H169" s="5" t="s">
        <v>161</v>
      </c>
    </row>
    <row r="170" ht="15.75" customHeight="1">
      <c r="A170" s="11">
        <v>46268.0</v>
      </c>
      <c r="B170" s="12">
        <v>46279.0</v>
      </c>
      <c r="C170" s="1" t="s">
        <v>72</v>
      </c>
      <c r="D170" s="17" t="s">
        <v>162</v>
      </c>
      <c r="E170" s="8">
        <v>4.99</v>
      </c>
      <c r="F170" s="8">
        <f t="shared" si="8"/>
        <v>4.99</v>
      </c>
      <c r="G170" s="19">
        <v>0.0</v>
      </c>
      <c r="H170" s="5" t="s">
        <v>161</v>
      </c>
    </row>
    <row r="171" ht="15.75" customHeight="1"/>
    <row r="172" ht="15.75" customHeight="1">
      <c r="A172" s="11">
        <v>46296.0</v>
      </c>
      <c r="B172" s="12">
        <v>46303.0</v>
      </c>
      <c r="C172" s="1" t="s">
        <v>75</v>
      </c>
      <c r="D172" s="17" t="s">
        <v>44</v>
      </c>
      <c r="E172" s="8">
        <v>59.99</v>
      </c>
      <c r="F172" s="8">
        <f t="shared" ref="F172:F194" si="9">E172*(1-G172)</f>
        <v>17.997</v>
      </c>
      <c r="G172" s="19">
        <v>0.7</v>
      </c>
    </row>
    <row r="173" ht="15.75" customHeight="1">
      <c r="A173" s="11">
        <v>46296.0</v>
      </c>
      <c r="B173" s="12">
        <v>46303.0</v>
      </c>
      <c r="C173" s="1" t="s">
        <v>75</v>
      </c>
      <c r="D173" s="17" t="s">
        <v>52</v>
      </c>
      <c r="E173" s="8">
        <v>89.99</v>
      </c>
      <c r="F173" s="8">
        <f t="shared" si="9"/>
        <v>26.997</v>
      </c>
      <c r="G173" s="19">
        <v>0.7</v>
      </c>
    </row>
    <row r="174" ht="15.75" customHeight="1">
      <c r="A174" s="11">
        <v>46296.0</v>
      </c>
      <c r="B174" s="12">
        <v>46303.0</v>
      </c>
      <c r="C174" s="1" t="s">
        <v>75</v>
      </c>
      <c r="D174" s="20" t="s">
        <v>53</v>
      </c>
      <c r="E174" s="21">
        <v>99.99</v>
      </c>
      <c r="F174" s="21">
        <f t="shared" si="9"/>
        <v>49.995</v>
      </c>
      <c r="G174" s="22">
        <v>0.5</v>
      </c>
    </row>
    <row r="175" ht="15.75" customHeight="1">
      <c r="A175" s="11">
        <v>46296.0</v>
      </c>
      <c r="B175" s="12">
        <v>46303.0</v>
      </c>
      <c r="C175" s="1" t="s">
        <v>75</v>
      </c>
      <c r="D175" s="17" t="s">
        <v>55</v>
      </c>
      <c r="E175" s="8">
        <v>119.99</v>
      </c>
      <c r="F175" s="8">
        <f t="shared" si="9"/>
        <v>53.9955</v>
      </c>
      <c r="G175" s="19">
        <v>0.55</v>
      </c>
    </row>
    <row r="176" ht="15.75" customHeight="1">
      <c r="A176" s="11">
        <v>46296.0</v>
      </c>
      <c r="B176" s="12">
        <v>46303.0</v>
      </c>
      <c r="C176" s="1" t="s">
        <v>75</v>
      </c>
      <c r="D176" s="17" t="s">
        <v>43</v>
      </c>
      <c r="E176" s="8">
        <v>39.99</v>
      </c>
      <c r="F176" s="8">
        <f t="shared" si="9"/>
        <v>27.993</v>
      </c>
      <c r="G176" s="19">
        <v>0.3</v>
      </c>
    </row>
    <row r="177" ht="15.75" customHeight="1">
      <c r="A177" s="11">
        <v>46296.0</v>
      </c>
      <c r="B177" s="12">
        <v>46303.0</v>
      </c>
      <c r="C177" s="1" t="s">
        <v>75</v>
      </c>
      <c r="D177" s="17" t="s">
        <v>74</v>
      </c>
      <c r="E177" s="8">
        <v>39.99</v>
      </c>
      <c r="F177" s="8">
        <f t="shared" si="9"/>
        <v>29.9925</v>
      </c>
      <c r="G177" s="19">
        <v>0.25</v>
      </c>
    </row>
    <row r="178" ht="15.75" customHeight="1">
      <c r="A178" s="11">
        <v>46296.0</v>
      </c>
      <c r="B178" s="12">
        <v>46303.0</v>
      </c>
      <c r="C178" s="1" t="s">
        <v>75</v>
      </c>
      <c r="D178" s="17" t="s">
        <v>57</v>
      </c>
      <c r="E178" s="8">
        <v>4.99</v>
      </c>
      <c r="F178" s="8">
        <f t="shared" si="9"/>
        <v>3.7425</v>
      </c>
      <c r="G178" s="19">
        <v>0.25</v>
      </c>
    </row>
    <row r="179" ht="15.75" customHeight="1">
      <c r="A179" s="11">
        <v>46296.0</v>
      </c>
      <c r="B179" s="12">
        <v>46303.0</v>
      </c>
      <c r="C179" s="1" t="s">
        <v>75</v>
      </c>
      <c r="D179" s="17" t="s">
        <v>58</v>
      </c>
      <c r="E179" s="8">
        <v>6.99</v>
      </c>
      <c r="F179" s="8">
        <f t="shared" si="9"/>
        <v>5.2425</v>
      </c>
      <c r="G179" s="19">
        <v>0.25</v>
      </c>
    </row>
    <row r="180" ht="15.75" customHeight="1">
      <c r="A180" s="11">
        <v>46296.0</v>
      </c>
      <c r="B180" s="12">
        <v>46303.0</v>
      </c>
      <c r="C180" s="1" t="s">
        <v>75</v>
      </c>
      <c r="D180" s="17" t="s">
        <v>59</v>
      </c>
      <c r="E180" s="8">
        <v>7.99</v>
      </c>
      <c r="F180" s="8">
        <f t="shared" si="9"/>
        <v>5.9925</v>
      </c>
      <c r="G180" s="19">
        <v>0.25</v>
      </c>
    </row>
    <row r="181" ht="15.75" customHeight="1">
      <c r="A181" s="11">
        <v>46296.0</v>
      </c>
      <c r="B181" s="12">
        <v>46303.0</v>
      </c>
      <c r="C181" s="1" t="s">
        <v>75</v>
      </c>
      <c r="D181" s="17" t="s">
        <v>60</v>
      </c>
      <c r="E181" s="8">
        <v>9.99</v>
      </c>
      <c r="F181" s="8">
        <f t="shared" si="9"/>
        <v>7.4925</v>
      </c>
      <c r="G181" s="19">
        <v>0.25</v>
      </c>
    </row>
    <row r="182" ht="15.75" customHeight="1">
      <c r="A182" s="11">
        <v>46296.0</v>
      </c>
      <c r="B182" s="12">
        <v>46303.0</v>
      </c>
      <c r="C182" s="1" t="s">
        <v>75</v>
      </c>
      <c r="D182" s="17" t="s">
        <v>61</v>
      </c>
      <c r="E182" s="8">
        <v>7.99</v>
      </c>
      <c r="F182" s="8">
        <f t="shared" si="9"/>
        <v>5.9925</v>
      </c>
      <c r="G182" s="19">
        <v>0.25</v>
      </c>
    </row>
    <row r="183" ht="15.75" customHeight="1">
      <c r="A183" s="11">
        <v>46296.0</v>
      </c>
      <c r="B183" s="12">
        <v>46303.0</v>
      </c>
      <c r="C183" s="1" t="s">
        <v>75</v>
      </c>
      <c r="D183" s="17" t="s">
        <v>63</v>
      </c>
      <c r="E183" s="8">
        <v>4.99</v>
      </c>
      <c r="F183" s="8">
        <f t="shared" si="9"/>
        <v>3.7425</v>
      </c>
      <c r="G183" s="19">
        <v>0.25</v>
      </c>
    </row>
    <row r="184" ht="15.75" customHeight="1">
      <c r="A184" s="11">
        <v>46296.0</v>
      </c>
      <c r="B184" s="12">
        <v>46303.0</v>
      </c>
      <c r="C184" s="1" t="s">
        <v>75</v>
      </c>
      <c r="D184" s="17" t="s">
        <v>65</v>
      </c>
      <c r="E184" s="8">
        <v>9.99</v>
      </c>
      <c r="F184" s="8">
        <f t="shared" si="9"/>
        <v>7.4925</v>
      </c>
      <c r="G184" s="19">
        <v>0.25</v>
      </c>
    </row>
    <row r="185" ht="15.75" customHeight="1">
      <c r="A185" s="11">
        <v>46296.0</v>
      </c>
      <c r="B185" s="12">
        <v>46303.0</v>
      </c>
      <c r="C185" s="1" t="s">
        <v>75</v>
      </c>
      <c r="D185" s="17" t="s">
        <v>66</v>
      </c>
      <c r="E185" s="8">
        <v>7.99</v>
      </c>
      <c r="F185" s="8">
        <f t="shared" si="9"/>
        <v>5.9925</v>
      </c>
      <c r="G185" s="19">
        <v>0.25</v>
      </c>
    </row>
    <row r="186" ht="15.75" customHeight="1">
      <c r="A186" s="11">
        <v>46296.0</v>
      </c>
      <c r="B186" s="12">
        <v>46303.0</v>
      </c>
      <c r="C186" s="1" t="s">
        <v>75</v>
      </c>
      <c r="D186" s="17" t="s">
        <v>67</v>
      </c>
      <c r="E186" s="8">
        <v>9.99</v>
      </c>
      <c r="F186" s="8">
        <f t="shared" si="9"/>
        <v>7.4925</v>
      </c>
      <c r="G186" s="19">
        <v>0.25</v>
      </c>
    </row>
    <row r="187" ht="15.75" customHeight="1">
      <c r="A187" s="11">
        <v>46296.0</v>
      </c>
      <c r="B187" s="12">
        <v>46303.0</v>
      </c>
      <c r="C187" s="1" t="s">
        <v>75</v>
      </c>
      <c r="D187" s="17" t="s">
        <v>69</v>
      </c>
      <c r="E187" s="8">
        <v>4.99</v>
      </c>
      <c r="F187" s="8">
        <f t="shared" si="9"/>
        <v>3.7425</v>
      </c>
      <c r="G187" s="19">
        <v>0.25</v>
      </c>
    </row>
    <row r="188" ht="15.75" customHeight="1">
      <c r="A188" s="11">
        <v>46296.0</v>
      </c>
      <c r="B188" s="12">
        <v>46303.0</v>
      </c>
      <c r="C188" s="1" t="s">
        <v>75</v>
      </c>
      <c r="D188" s="17" t="s">
        <v>70</v>
      </c>
      <c r="E188" s="8">
        <v>4.99</v>
      </c>
      <c r="F188" s="8">
        <f t="shared" si="9"/>
        <v>3.7425</v>
      </c>
      <c r="G188" s="19">
        <v>0.25</v>
      </c>
    </row>
    <row r="189" ht="15.75" customHeight="1">
      <c r="A189" s="11">
        <v>46296.0</v>
      </c>
      <c r="B189" s="12">
        <v>46303.0</v>
      </c>
      <c r="C189" s="1" t="s">
        <v>75</v>
      </c>
      <c r="D189" s="17" t="s">
        <v>71</v>
      </c>
      <c r="E189" s="8">
        <v>7.99</v>
      </c>
      <c r="F189" s="8">
        <f t="shared" si="9"/>
        <v>5.9925</v>
      </c>
      <c r="G189" s="19">
        <v>0.25</v>
      </c>
    </row>
    <row r="190" ht="15.75" customHeight="1">
      <c r="A190" s="11">
        <v>46296.0</v>
      </c>
      <c r="B190" s="12">
        <v>46303.0</v>
      </c>
      <c r="C190" s="1" t="s">
        <v>75</v>
      </c>
      <c r="D190" s="17" t="s">
        <v>109</v>
      </c>
      <c r="E190" s="8">
        <v>4.99</v>
      </c>
      <c r="F190" s="8">
        <f t="shared" si="9"/>
        <v>3.7425</v>
      </c>
      <c r="G190" s="19">
        <v>0.25</v>
      </c>
    </row>
    <row r="191" ht="15.75" customHeight="1">
      <c r="A191" s="11">
        <v>46296.0</v>
      </c>
      <c r="B191" s="12">
        <v>46303.0</v>
      </c>
      <c r="C191" s="1" t="s">
        <v>75</v>
      </c>
      <c r="D191" s="17" t="s">
        <v>110</v>
      </c>
      <c r="E191" s="8">
        <v>7.99</v>
      </c>
      <c r="F191" s="8">
        <f t="shared" si="9"/>
        <v>5.9925</v>
      </c>
      <c r="G191" s="19">
        <v>0.25</v>
      </c>
    </row>
    <row r="192" ht="15.75" customHeight="1">
      <c r="A192" s="11">
        <v>46296.0</v>
      </c>
      <c r="B192" s="12">
        <v>46303.0</v>
      </c>
      <c r="C192" s="1" t="s">
        <v>75</v>
      </c>
      <c r="D192" s="17" t="s">
        <v>155</v>
      </c>
      <c r="E192" s="8">
        <v>9.99</v>
      </c>
      <c r="F192" s="8">
        <f t="shared" si="9"/>
        <v>7.4925</v>
      </c>
      <c r="G192" s="19">
        <v>0.25</v>
      </c>
    </row>
    <row r="193" ht="15.75" customHeight="1">
      <c r="A193" s="11">
        <v>46296.0</v>
      </c>
      <c r="B193" s="12">
        <v>46303.0</v>
      </c>
      <c r="C193" s="1" t="s">
        <v>75</v>
      </c>
      <c r="D193" s="17" t="s">
        <v>160</v>
      </c>
      <c r="E193" s="8">
        <v>7.99</v>
      </c>
      <c r="F193" s="8">
        <f t="shared" si="9"/>
        <v>7.99</v>
      </c>
      <c r="G193" s="19">
        <v>0.0</v>
      </c>
    </row>
    <row r="194" ht="15.75" customHeight="1">
      <c r="A194" s="11">
        <v>46296.0</v>
      </c>
      <c r="B194" s="12">
        <v>46303.0</v>
      </c>
      <c r="C194" s="1" t="s">
        <v>75</v>
      </c>
      <c r="D194" s="17" t="s">
        <v>162</v>
      </c>
      <c r="E194" s="8">
        <v>4.99</v>
      </c>
      <c r="F194" s="8">
        <f t="shared" si="9"/>
        <v>4.99</v>
      </c>
      <c r="G194" s="19">
        <v>0.0</v>
      </c>
    </row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>
      <c r="A200" s="39" t="s">
        <v>78</v>
      </c>
    </row>
    <row r="201" ht="15.75" customHeight="1">
      <c r="A201" s="43">
        <v>46030.0</v>
      </c>
      <c r="B201" s="43">
        <v>46043.0</v>
      </c>
      <c r="C201" s="44" t="s">
        <v>164</v>
      </c>
      <c r="D201" s="6" t="s">
        <v>43</v>
      </c>
      <c r="E201" s="8" t="s">
        <v>88</v>
      </c>
      <c r="F201" s="13" t="s">
        <v>165</v>
      </c>
      <c r="G201" s="46">
        <v>0.2</v>
      </c>
    </row>
    <row r="202" ht="15.75" customHeight="1">
      <c r="A202" s="43">
        <v>46030.0</v>
      </c>
      <c r="B202" s="43">
        <v>46043.0</v>
      </c>
      <c r="C202" s="44" t="s">
        <v>164</v>
      </c>
      <c r="D202" s="6" t="s">
        <v>166</v>
      </c>
      <c r="E202" s="8" t="s">
        <v>167</v>
      </c>
      <c r="F202" s="13" t="s">
        <v>128</v>
      </c>
      <c r="G202" s="46">
        <v>0.2</v>
      </c>
    </row>
    <row r="203" ht="15.75" customHeight="1">
      <c r="A203" s="43">
        <v>46030.0</v>
      </c>
      <c r="B203" s="43">
        <v>46043.0</v>
      </c>
      <c r="C203" s="44" t="s">
        <v>164</v>
      </c>
      <c r="D203" s="6" t="s">
        <v>168</v>
      </c>
      <c r="E203" s="8" t="s">
        <v>169</v>
      </c>
      <c r="F203" s="13" t="s">
        <v>170</v>
      </c>
      <c r="G203" s="46">
        <v>0.2</v>
      </c>
    </row>
    <row r="204" ht="15.75" customHeight="1">
      <c r="A204" s="43">
        <v>46030.0</v>
      </c>
      <c r="B204" s="43">
        <v>46043.0</v>
      </c>
      <c r="C204" s="44" t="s">
        <v>164</v>
      </c>
      <c r="D204" s="6" t="s">
        <v>171</v>
      </c>
      <c r="E204" s="8" t="s">
        <v>167</v>
      </c>
      <c r="F204" s="13" t="s">
        <v>128</v>
      </c>
      <c r="G204" s="46">
        <v>0.2</v>
      </c>
    </row>
    <row r="205" ht="15.75" customHeight="1">
      <c r="A205" s="43">
        <v>46030.0</v>
      </c>
      <c r="B205" s="43">
        <v>46043.0</v>
      </c>
      <c r="C205" s="44" t="s">
        <v>164</v>
      </c>
      <c r="D205" s="6" t="s">
        <v>172</v>
      </c>
      <c r="E205" s="8" t="s">
        <v>170</v>
      </c>
      <c r="F205" s="13" t="s">
        <v>173</v>
      </c>
      <c r="G205" s="46">
        <v>0.2</v>
      </c>
    </row>
    <row r="206" ht="15.75" customHeight="1">
      <c r="A206" s="43">
        <v>46030.0</v>
      </c>
      <c r="B206" s="43">
        <v>46043.0</v>
      </c>
      <c r="C206" s="44" t="s">
        <v>164</v>
      </c>
      <c r="D206" s="6" t="s">
        <v>174</v>
      </c>
      <c r="E206" s="8" t="s">
        <v>170</v>
      </c>
      <c r="F206" s="13" t="s">
        <v>173</v>
      </c>
      <c r="G206" s="46">
        <v>0.2</v>
      </c>
    </row>
    <row r="207" ht="15.75" customHeight="1">
      <c r="A207" s="43">
        <v>46030.0</v>
      </c>
      <c r="B207" s="43">
        <v>46043.0</v>
      </c>
      <c r="C207" s="44" t="s">
        <v>164</v>
      </c>
      <c r="D207" s="6" t="s">
        <v>175</v>
      </c>
      <c r="E207" s="8" t="s">
        <v>167</v>
      </c>
      <c r="F207" s="13" t="s">
        <v>128</v>
      </c>
      <c r="G207" s="46">
        <v>0.2</v>
      </c>
    </row>
    <row r="208" ht="15.75" customHeight="1">
      <c r="A208" s="43">
        <v>46030.0</v>
      </c>
      <c r="B208" s="43">
        <v>46043.0</v>
      </c>
      <c r="C208" s="44" t="s">
        <v>164</v>
      </c>
      <c r="D208" s="6" t="s">
        <v>176</v>
      </c>
      <c r="E208" s="8" t="s">
        <v>169</v>
      </c>
      <c r="F208" s="13" t="s">
        <v>170</v>
      </c>
      <c r="G208" s="46">
        <v>0.2</v>
      </c>
    </row>
    <row r="209" ht="15.75" customHeight="1">
      <c r="A209" s="43">
        <v>46030.0</v>
      </c>
      <c r="B209" s="43">
        <v>46043.0</v>
      </c>
      <c r="C209" s="44" t="s">
        <v>164</v>
      </c>
      <c r="D209" s="6" t="s">
        <v>177</v>
      </c>
      <c r="E209" s="8" t="s">
        <v>169</v>
      </c>
      <c r="F209" s="13" t="s">
        <v>170</v>
      </c>
      <c r="G209" s="46">
        <v>0.2</v>
      </c>
    </row>
    <row r="210" ht="15.75" customHeight="1">
      <c r="A210" s="43">
        <v>46030.0</v>
      </c>
      <c r="B210" s="43">
        <v>46043.0</v>
      </c>
      <c r="C210" s="44" t="s">
        <v>164</v>
      </c>
      <c r="D210" s="6" t="s">
        <v>178</v>
      </c>
      <c r="E210" s="8" t="s">
        <v>179</v>
      </c>
      <c r="F210" s="13" t="s">
        <v>180</v>
      </c>
      <c r="G210" s="46">
        <v>0.15</v>
      </c>
    </row>
    <row r="211" ht="15.75" customHeight="1">
      <c r="A211" s="43">
        <v>46030.0</v>
      </c>
      <c r="B211" s="43">
        <v>46036.0</v>
      </c>
      <c r="C211" s="44" t="s">
        <v>181</v>
      </c>
      <c r="D211" s="6" t="s">
        <v>182</v>
      </c>
      <c r="E211" s="8" t="s">
        <v>183</v>
      </c>
      <c r="F211" s="13" t="s">
        <v>184</v>
      </c>
      <c r="G211" s="46">
        <v>0.6</v>
      </c>
    </row>
    <row r="212" ht="15.75" customHeight="1">
      <c r="A212" s="43">
        <v>46056.0</v>
      </c>
      <c r="B212" s="43">
        <v>46069.0</v>
      </c>
      <c r="C212" s="44" t="s">
        <v>114</v>
      </c>
      <c r="D212" s="6" t="s">
        <v>38</v>
      </c>
      <c r="E212" s="8" t="s">
        <v>179</v>
      </c>
      <c r="F212" s="13" t="s">
        <v>185</v>
      </c>
      <c r="G212" s="46">
        <v>0.6</v>
      </c>
    </row>
    <row r="213" ht="15.75" customHeight="1">
      <c r="A213" s="43">
        <v>46065.0</v>
      </c>
      <c r="B213" s="43">
        <v>46071.0</v>
      </c>
      <c r="C213" s="44" t="s">
        <v>186</v>
      </c>
      <c r="D213" s="6" t="s">
        <v>187</v>
      </c>
      <c r="E213" s="8" t="s">
        <v>188</v>
      </c>
      <c r="F213" s="13" t="s">
        <v>189</v>
      </c>
      <c r="G213" s="46">
        <v>0.4</v>
      </c>
    </row>
    <row r="214" ht="15.75" customHeight="1">
      <c r="A214" s="43">
        <v>46065.0</v>
      </c>
      <c r="B214" s="43">
        <v>46078.0</v>
      </c>
      <c r="C214" s="44" t="s">
        <v>190</v>
      </c>
      <c r="D214" s="6" t="s">
        <v>182</v>
      </c>
      <c r="E214" s="8" t="s">
        <v>183</v>
      </c>
      <c r="F214" s="13" t="s">
        <v>184</v>
      </c>
      <c r="G214" s="46">
        <v>0.6</v>
      </c>
    </row>
    <row r="215" ht="15.75" customHeight="1">
      <c r="A215" s="43">
        <v>46077.0</v>
      </c>
      <c r="B215" s="43">
        <v>46083.0</v>
      </c>
      <c r="C215" s="44" t="s">
        <v>191</v>
      </c>
      <c r="D215" s="6" t="s">
        <v>43</v>
      </c>
      <c r="E215" s="8" t="s">
        <v>88</v>
      </c>
      <c r="F215" s="13" t="s">
        <v>89</v>
      </c>
      <c r="G215" s="46">
        <v>0.25</v>
      </c>
    </row>
    <row r="216" ht="15.75" customHeight="1">
      <c r="A216" s="43">
        <v>46077.0</v>
      </c>
      <c r="B216" s="43">
        <v>46083.0</v>
      </c>
      <c r="C216" s="44" t="s">
        <v>191</v>
      </c>
      <c r="D216" s="6" t="s">
        <v>166</v>
      </c>
      <c r="E216" s="8" t="s">
        <v>167</v>
      </c>
      <c r="F216" s="13" t="s">
        <v>128</v>
      </c>
      <c r="G216" s="46">
        <v>0.2</v>
      </c>
    </row>
    <row r="217" ht="15.75" customHeight="1">
      <c r="A217" s="43">
        <v>46077.0</v>
      </c>
      <c r="B217" s="43">
        <v>46083.0</v>
      </c>
      <c r="C217" s="44" t="s">
        <v>191</v>
      </c>
      <c r="D217" s="6" t="s">
        <v>168</v>
      </c>
      <c r="E217" s="8" t="s">
        <v>169</v>
      </c>
      <c r="F217" s="13" t="s">
        <v>170</v>
      </c>
      <c r="G217" s="46">
        <v>0.2</v>
      </c>
    </row>
    <row r="218" ht="15.75" customHeight="1">
      <c r="A218" s="43">
        <v>46077.0</v>
      </c>
      <c r="B218" s="43">
        <v>46083.0</v>
      </c>
      <c r="C218" s="44" t="s">
        <v>191</v>
      </c>
      <c r="D218" s="6" t="s">
        <v>192</v>
      </c>
      <c r="E218" s="8" t="s">
        <v>167</v>
      </c>
      <c r="F218" s="13" t="s">
        <v>128</v>
      </c>
      <c r="G218" s="46">
        <v>0.2</v>
      </c>
    </row>
    <row r="219" ht="15.75" customHeight="1">
      <c r="A219" s="43">
        <v>46077.0</v>
      </c>
      <c r="B219" s="43">
        <v>46083.0</v>
      </c>
      <c r="C219" s="44" t="s">
        <v>191</v>
      </c>
      <c r="D219" s="6" t="s">
        <v>193</v>
      </c>
      <c r="E219" s="8" t="s">
        <v>170</v>
      </c>
      <c r="F219" s="13" t="s">
        <v>173</v>
      </c>
      <c r="G219" s="46">
        <v>0.2</v>
      </c>
    </row>
    <row r="220" ht="15.75" customHeight="1">
      <c r="A220" s="43">
        <v>46077.0</v>
      </c>
      <c r="B220" s="43">
        <v>46083.0</v>
      </c>
      <c r="C220" s="44" t="s">
        <v>191</v>
      </c>
      <c r="D220" s="6" t="s">
        <v>194</v>
      </c>
      <c r="E220" s="8" t="s">
        <v>170</v>
      </c>
      <c r="F220" s="13" t="s">
        <v>173</v>
      </c>
      <c r="G220" s="46">
        <v>0.2</v>
      </c>
    </row>
    <row r="221" ht="15.75" customHeight="1">
      <c r="A221" s="43">
        <v>46077.0</v>
      </c>
      <c r="B221" s="43">
        <v>46083.0</v>
      </c>
      <c r="C221" s="44" t="s">
        <v>191</v>
      </c>
      <c r="D221" s="6" t="s">
        <v>197</v>
      </c>
      <c r="E221" s="8" t="s">
        <v>167</v>
      </c>
      <c r="F221" s="13" t="s">
        <v>128</v>
      </c>
      <c r="G221" s="46">
        <v>0.2</v>
      </c>
    </row>
    <row r="222" ht="15.75" customHeight="1">
      <c r="A222" s="43">
        <v>46077.0</v>
      </c>
      <c r="B222" s="43">
        <v>46083.0</v>
      </c>
      <c r="C222" s="44" t="s">
        <v>191</v>
      </c>
      <c r="D222" s="6" t="s">
        <v>199</v>
      </c>
      <c r="E222" s="8" t="s">
        <v>169</v>
      </c>
      <c r="F222" s="13" t="s">
        <v>170</v>
      </c>
      <c r="G222" s="46">
        <v>0.2</v>
      </c>
    </row>
    <row r="223" ht="15.75" customHeight="1">
      <c r="A223" s="43">
        <v>46077.0</v>
      </c>
      <c r="B223" s="43">
        <v>46083.0</v>
      </c>
      <c r="C223" s="44" t="s">
        <v>191</v>
      </c>
      <c r="D223" s="6" t="s">
        <v>200</v>
      </c>
      <c r="E223" s="8" t="s">
        <v>169</v>
      </c>
      <c r="F223" s="13" t="s">
        <v>170</v>
      </c>
      <c r="G223" s="46">
        <v>0.2</v>
      </c>
    </row>
    <row r="224" ht="15.75" customHeight="1">
      <c r="A224" s="43">
        <v>46077.0</v>
      </c>
      <c r="B224" s="43">
        <v>46083.0</v>
      </c>
      <c r="C224" s="44" t="s">
        <v>191</v>
      </c>
      <c r="D224" s="6" t="s">
        <v>202</v>
      </c>
      <c r="E224" s="8" t="s">
        <v>179</v>
      </c>
      <c r="F224" s="13" t="s">
        <v>180</v>
      </c>
      <c r="G224" s="46">
        <v>0.15</v>
      </c>
    </row>
    <row r="225" ht="15.75" customHeight="1">
      <c r="A225" s="43">
        <v>46098.0</v>
      </c>
      <c r="B225" s="43">
        <v>46104.0</v>
      </c>
      <c r="C225" s="44" t="s">
        <v>92</v>
      </c>
      <c r="D225" s="6" t="s">
        <v>204</v>
      </c>
      <c r="E225" s="8" t="s">
        <v>188</v>
      </c>
      <c r="F225" s="13" t="s">
        <v>189</v>
      </c>
      <c r="G225" s="46">
        <v>0.4</v>
      </c>
    </row>
    <row r="226" ht="15.75" customHeight="1">
      <c r="A226" s="43">
        <v>46107.0</v>
      </c>
      <c r="B226" s="43">
        <v>46113.0</v>
      </c>
      <c r="C226" s="44" t="s">
        <v>119</v>
      </c>
      <c r="D226" s="6" t="s">
        <v>44</v>
      </c>
      <c r="E226" s="8" t="s">
        <v>179</v>
      </c>
      <c r="F226" s="13" t="s">
        <v>206</v>
      </c>
      <c r="G226" s="46">
        <v>0.65</v>
      </c>
    </row>
    <row r="227" ht="15.75" customHeight="1">
      <c r="A227" s="43">
        <v>46107.0</v>
      </c>
      <c r="B227" s="43">
        <v>46113.0</v>
      </c>
      <c r="C227" s="44" t="s">
        <v>119</v>
      </c>
      <c r="D227" s="6" t="s">
        <v>208</v>
      </c>
      <c r="E227" s="8" t="s">
        <v>183</v>
      </c>
      <c r="F227" s="13" t="s">
        <v>184</v>
      </c>
      <c r="G227" s="46">
        <v>0.6</v>
      </c>
    </row>
    <row r="228" ht="15.75" customHeight="1">
      <c r="A228" s="43">
        <v>46114.0</v>
      </c>
      <c r="B228" s="43">
        <v>46127.0</v>
      </c>
      <c r="C228" s="44" t="s">
        <v>122</v>
      </c>
      <c r="D228" s="6" t="s">
        <v>44</v>
      </c>
      <c r="E228" s="8" t="s">
        <v>179</v>
      </c>
      <c r="F228" s="13" t="s">
        <v>206</v>
      </c>
      <c r="G228" s="46">
        <v>0.65</v>
      </c>
    </row>
    <row r="229" ht="15.75" customHeight="1">
      <c r="A229" s="43">
        <v>46114.0</v>
      </c>
      <c r="B229" s="43">
        <v>46127.0</v>
      </c>
      <c r="C229" s="44" t="s">
        <v>122</v>
      </c>
      <c r="D229" s="6" t="s">
        <v>208</v>
      </c>
      <c r="E229" s="8" t="s">
        <v>183</v>
      </c>
      <c r="F229" s="13" t="s">
        <v>184</v>
      </c>
      <c r="G229" s="46">
        <v>0.6</v>
      </c>
    </row>
    <row r="230" ht="15.75" customHeight="1">
      <c r="A230" s="43">
        <v>46128.0</v>
      </c>
      <c r="B230" s="43">
        <v>46141.0</v>
      </c>
      <c r="C230" s="44" t="s">
        <v>213</v>
      </c>
      <c r="D230" s="6" t="s">
        <v>43</v>
      </c>
      <c r="E230" s="8" t="s">
        <v>88</v>
      </c>
      <c r="F230" s="13" t="s">
        <v>89</v>
      </c>
      <c r="G230" s="46">
        <v>0.25</v>
      </c>
    </row>
    <row r="231" ht="15.75" customHeight="1">
      <c r="A231" s="43">
        <v>46128.0</v>
      </c>
      <c r="B231" s="43">
        <v>46141.0</v>
      </c>
      <c r="C231" s="44" t="s">
        <v>213</v>
      </c>
      <c r="D231" s="6" t="s">
        <v>166</v>
      </c>
      <c r="E231" s="8" t="s">
        <v>167</v>
      </c>
      <c r="F231" s="13" t="s">
        <v>215</v>
      </c>
      <c r="G231" s="46">
        <v>0.25</v>
      </c>
    </row>
    <row r="232" ht="15.75" customHeight="1">
      <c r="A232" s="43">
        <v>46128.0</v>
      </c>
      <c r="B232" s="43">
        <v>46141.0</v>
      </c>
      <c r="C232" s="44" t="s">
        <v>213</v>
      </c>
      <c r="D232" s="6" t="s">
        <v>168</v>
      </c>
      <c r="E232" s="8" t="s">
        <v>169</v>
      </c>
      <c r="F232" s="13" t="s">
        <v>218</v>
      </c>
      <c r="G232" s="46">
        <v>0.25</v>
      </c>
    </row>
    <row r="233" ht="15.75" customHeight="1">
      <c r="A233" s="43">
        <v>46128.0</v>
      </c>
      <c r="B233" s="43">
        <v>46141.0</v>
      </c>
      <c r="C233" s="44" t="s">
        <v>213</v>
      </c>
      <c r="D233" s="6" t="s">
        <v>192</v>
      </c>
      <c r="E233" s="8" t="s">
        <v>167</v>
      </c>
      <c r="F233" s="13" t="s">
        <v>215</v>
      </c>
      <c r="G233" s="46">
        <v>0.25</v>
      </c>
    </row>
    <row r="234" ht="15.75" customHeight="1">
      <c r="A234" s="43">
        <v>46128.0</v>
      </c>
      <c r="B234" s="43">
        <v>46141.0</v>
      </c>
      <c r="C234" s="44" t="s">
        <v>213</v>
      </c>
      <c r="D234" s="6" t="s">
        <v>193</v>
      </c>
      <c r="E234" s="8" t="s">
        <v>170</v>
      </c>
      <c r="F234" s="13" t="s">
        <v>223</v>
      </c>
      <c r="G234" s="46">
        <v>0.25</v>
      </c>
    </row>
    <row r="235" ht="15.75" customHeight="1">
      <c r="A235" s="43">
        <v>46128.0</v>
      </c>
      <c r="B235" s="43">
        <v>46141.0</v>
      </c>
      <c r="C235" s="44" t="s">
        <v>213</v>
      </c>
      <c r="D235" s="6" t="s">
        <v>194</v>
      </c>
      <c r="E235" s="8" t="s">
        <v>170</v>
      </c>
      <c r="F235" s="13" t="s">
        <v>223</v>
      </c>
      <c r="G235" s="46">
        <v>0.25</v>
      </c>
    </row>
    <row r="236" ht="15.75" customHeight="1">
      <c r="A236" s="43">
        <v>46128.0</v>
      </c>
      <c r="B236" s="43">
        <v>46141.0</v>
      </c>
      <c r="C236" s="44" t="s">
        <v>213</v>
      </c>
      <c r="D236" s="6" t="s">
        <v>197</v>
      </c>
      <c r="E236" s="8" t="s">
        <v>167</v>
      </c>
      <c r="F236" s="13" t="s">
        <v>215</v>
      </c>
      <c r="G236" s="46">
        <v>0.25</v>
      </c>
    </row>
    <row r="237" ht="15.75" customHeight="1">
      <c r="A237" s="43">
        <v>46128.0</v>
      </c>
      <c r="B237" s="43">
        <v>46141.0</v>
      </c>
      <c r="C237" s="44" t="s">
        <v>213</v>
      </c>
      <c r="D237" s="6" t="s">
        <v>199</v>
      </c>
      <c r="E237" s="8" t="s">
        <v>169</v>
      </c>
      <c r="F237" s="13" t="s">
        <v>218</v>
      </c>
      <c r="G237" s="46">
        <v>0.25</v>
      </c>
    </row>
    <row r="238" ht="15.75" customHeight="1">
      <c r="A238" s="43">
        <v>46128.0</v>
      </c>
      <c r="B238" s="43">
        <v>46141.0</v>
      </c>
      <c r="C238" s="44" t="s">
        <v>213</v>
      </c>
      <c r="D238" s="6" t="s">
        <v>200</v>
      </c>
      <c r="E238" s="8" t="s">
        <v>169</v>
      </c>
      <c r="F238" s="13" t="s">
        <v>218</v>
      </c>
      <c r="G238" s="46">
        <v>0.25</v>
      </c>
    </row>
    <row r="239" ht="15.75" customHeight="1">
      <c r="A239" s="43">
        <v>46128.0</v>
      </c>
      <c r="B239" s="43">
        <v>46141.0</v>
      </c>
      <c r="C239" s="44" t="s">
        <v>213</v>
      </c>
      <c r="D239" s="6" t="s">
        <v>202</v>
      </c>
      <c r="E239" s="8" t="s">
        <v>179</v>
      </c>
      <c r="F239" s="13" t="s">
        <v>180</v>
      </c>
      <c r="G239" s="46">
        <v>0.15</v>
      </c>
    </row>
    <row r="240" ht="15.75" customHeight="1">
      <c r="A240" s="43">
        <v>46133.0</v>
      </c>
      <c r="B240" s="43">
        <v>46139.0</v>
      </c>
      <c r="C240" s="44" t="s">
        <v>233</v>
      </c>
      <c r="D240" s="6" t="s">
        <v>204</v>
      </c>
      <c r="E240" s="8" t="s">
        <v>188</v>
      </c>
      <c r="F240" s="13" t="s">
        <v>234</v>
      </c>
      <c r="G240" s="46">
        <v>0.5</v>
      </c>
    </row>
    <row r="241" ht="15.75" customHeight="1">
      <c r="A241" s="43">
        <v>46163.0</v>
      </c>
      <c r="B241" s="43">
        <v>46170.0</v>
      </c>
      <c r="C241" s="44" t="s">
        <v>236</v>
      </c>
      <c r="D241" s="6" t="s">
        <v>44</v>
      </c>
      <c r="E241" s="8" t="s">
        <v>179</v>
      </c>
      <c r="F241" s="13" t="s">
        <v>206</v>
      </c>
      <c r="G241" s="46">
        <v>0.7</v>
      </c>
    </row>
    <row r="242" ht="15.75" customHeight="1">
      <c r="A242" s="43">
        <v>46168.0</v>
      </c>
      <c r="B242" s="43">
        <v>46174.0</v>
      </c>
      <c r="C242" s="44" t="s">
        <v>191</v>
      </c>
      <c r="D242" s="6" t="s">
        <v>43</v>
      </c>
      <c r="E242" s="8" t="s">
        <v>88</v>
      </c>
      <c r="F242" s="13" t="s">
        <v>89</v>
      </c>
      <c r="G242" s="46">
        <v>0.3</v>
      </c>
    </row>
    <row r="243" ht="15.75" customHeight="1">
      <c r="A243" s="43">
        <v>46168.0</v>
      </c>
      <c r="B243" s="43">
        <v>46174.0</v>
      </c>
      <c r="C243" s="44" t="s">
        <v>191</v>
      </c>
      <c r="D243" s="6" t="s">
        <v>74</v>
      </c>
      <c r="E243" s="8" t="s">
        <v>88</v>
      </c>
      <c r="F243" s="13" t="s">
        <v>165</v>
      </c>
      <c r="G243" s="46">
        <v>0.2</v>
      </c>
    </row>
    <row r="244" ht="15.75" customHeight="1">
      <c r="A244" s="43">
        <v>46170.0</v>
      </c>
      <c r="B244" s="43">
        <v>46183.0</v>
      </c>
      <c r="C244" s="44" t="s">
        <v>125</v>
      </c>
      <c r="D244" s="6" t="s">
        <v>208</v>
      </c>
      <c r="E244" s="8" t="s">
        <v>183</v>
      </c>
      <c r="F244" s="13" t="s">
        <v>237</v>
      </c>
      <c r="G244" s="46">
        <v>0.7</v>
      </c>
    </row>
    <row r="245" ht="15.75" customHeight="1">
      <c r="A245" s="43">
        <v>46175.0</v>
      </c>
      <c r="B245" s="43">
        <v>46181.0</v>
      </c>
      <c r="C245" s="44" t="s">
        <v>191</v>
      </c>
      <c r="D245" s="6" t="s">
        <v>202</v>
      </c>
      <c r="E245" s="8" t="s">
        <v>179</v>
      </c>
      <c r="F245" s="13" t="s">
        <v>238</v>
      </c>
      <c r="G245" s="46">
        <v>0.25</v>
      </c>
    </row>
    <row r="246" ht="15.75" customHeight="1">
      <c r="A246" s="43">
        <v>46184.0</v>
      </c>
      <c r="B246" s="43">
        <v>46190.0</v>
      </c>
      <c r="C246" s="44" t="s">
        <v>126</v>
      </c>
      <c r="D246" s="6" t="s">
        <v>166</v>
      </c>
      <c r="E246" s="8" t="s">
        <v>167</v>
      </c>
      <c r="F246" s="13" t="s">
        <v>215</v>
      </c>
      <c r="G246" s="46">
        <v>0.25</v>
      </c>
    </row>
    <row r="247" ht="15.75" customHeight="1">
      <c r="A247" s="43">
        <v>46184.0</v>
      </c>
      <c r="B247" s="43">
        <v>46190.0</v>
      </c>
      <c r="C247" s="44" t="s">
        <v>126</v>
      </c>
      <c r="D247" s="6" t="s">
        <v>168</v>
      </c>
      <c r="E247" s="8" t="s">
        <v>169</v>
      </c>
      <c r="F247" s="13" t="s">
        <v>218</v>
      </c>
      <c r="G247" s="46">
        <v>0.25</v>
      </c>
    </row>
    <row r="248" ht="15.75" customHeight="1">
      <c r="A248" s="43">
        <v>46184.0</v>
      </c>
      <c r="B248" s="43">
        <v>46190.0</v>
      </c>
      <c r="C248" s="44" t="s">
        <v>126</v>
      </c>
      <c r="D248" s="6" t="s">
        <v>192</v>
      </c>
      <c r="E248" s="8" t="s">
        <v>167</v>
      </c>
      <c r="F248" s="13" t="s">
        <v>215</v>
      </c>
      <c r="G248" s="46">
        <v>0.25</v>
      </c>
    </row>
    <row r="249" ht="15.75" customHeight="1">
      <c r="A249" s="43">
        <v>46184.0</v>
      </c>
      <c r="B249" s="43">
        <v>46190.0</v>
      </c>
      <c r="C249" s="44" t="s">
        <v>126</v>
      </c>
      <c r="D249" s="6" t="s">
        <v>193</v>
      </c>
      <c r="E249" s="8" t="s">
        <v>170</v>
      </c>
      <c r="F249" s="13" t="s">
        <v>223</v>
      </c>
      <c r="G249" s="46">
        <v>0.25</v>
      </c>
    </row>
    <row r="250" ht="15.75" customHeight="1">
      <c r="A250" s="43">
        <v>46184.0</v>
      </c>
      <c r="B250" s="43">
        <v>46190.0</v>
      </c>
      <c r="C250" s="44" t="s">
        <v>126</v>
      </c>
      <c r="D250" s="6" t="s">
        <v>194</v>
      </c>
      <c r="E250" s="8" t="s">
        <v>170</v>
      </c>
      <c r="F250" s="13" t="s">
        <v>223</v>
      </c>
      <c r="G250" s="46">
        <v>0.25</v>
      </c>
    </row>
    <row r="251" ht="15.75" customHeight="1">
      <c r="A251" s="43">
        <v>46184.0</v>
      </c>
      <c r="B251" s="43">
        <v>46190.0</v>
      </c>
      <c r="C251" s="44" t="s">
        <v>126</v>
      </c>
      <c r="D251" s="6" t="s">
        <v>197</v>
      </c>
      <c r="E251" s="8" t="s">
        <v>167</v>
      </c>
      <c r="F251" s="13" t="s">
        <v>215</v>
      </c>
      <c r="G251" s="46">
        <v>0.25</v>
      </c>
    </row>
    <row r="252" ht="15.75" customHeight="1">
      <c r="A252" s="43">
        <v>46184.0</v>
      </c>
      <c r="B252" s="43">
        <v>46190.0</v>
      </c>
      <c r="C252" s="44" t="s">
        <v>126</v>
      </c>
      <c r="D252" s="6" t="s">
        <v>199</v>
      </c>
      <c r="E252" s="8" t="s">
        <v>169</v>
      </c>
      <c r="F252" s="13" t="s">
        <v>218</v>
      </c>
      <c r="G252" s="46">
        <v>0.25</v>
      </c>
    </row>
    <row r="253" ht="15.75" customHeight="1">
      <c r="A253" s="43">
        <v>46184.0</v>
      </c>
      <c r="B253" s="43">
        <v>46190.0</v>
      </c>
      <c r="C253" s="44" t="s">
        <v>126</v>
      </c>
      <c r="D253" s="6" t="s">
        <v>200</v>
      </c>
      <c r="E253" s="8" t="s">
        <v>169</v>
      </c>
      <c r="F253" s="13" t="s">
        <v>218</v>
      </c>
      <c r="G253" s="46">
        <v>0.25</v>
      </c>
    </row>
    <row r="254" ht="15.75" customHeight="1">
      <c r="A254" s="43">
        <v>46184.0</v>
      </c>
      <c r="B254" s="43">
        <v>46190.0</v>
      </c>
      <c r="C254" s="44" t="s">
        <v>126</v>
      </c>
      <c r="D254" s="6" t="s">
        <v>243</v>
      </c>
      <c r="E254" s="8" t="s">
        <v>170</v>
      </c>
      <c r="F254" s="13" t="s">
        <v>223</v>
      </c>
      <c r="G254" s="46">
        <v>0.25</v>
      </c>
    </row>
    <row r="255" ht="15.75" customHeight="1">
      <c r="A255" s="43">
        <v>46184.0</v>
      </c>
      <c r="B255" s="43">
        <v>46190.0</v>
      </c>
      <c r="C255" s="44" t="s">
        <v>126</v>
      </c>
      <c r="D255" s="6" t="s">
        <v>246</v>
      </c>
      <c r="E255" s="8" t="s">
        <v>170</v>
      </c>
      <c r="F255" s="13" t="s">
        <v>223</v>
      </c>
      <c r="G255" s="46">
        <v>0.25</v>
      </c>
    </row>
    <row r="256" ht="15.75" customHeight="1">
      <c r="A256" s="43">
        <v>46184.0</v>
      </c>
      <c r="B256" s="43">
        <v>46190.0</v>
      </c>
      <c r="C256" s="44" t="s">
        <v>126</v>
      </c>
      <c r="D256" s="6" t="s">
        <v>247</v>
      </c>
      <c r="E256" s="8" t="s">
        <v>170</v>
      </c>
      <c r="F256" s="13" t="s">
        <v>223</v>
      </c>
      <c r="G256" s="46">
        <v>0.25</v>
      </c>
    </row>
    <row r="257" ht="15.75" customHeight="1">
      <c r="A257" s="43">
        <v>46184.0</v>
      </c>
      <c r="B257" s="43">
        <v>46190.0</v>
      </c>
      <c r="C257" s="44" t="s">
        <v>126</v>
      </c>
      <c r="D257" s="6" t="s">
        <v>249</v>
      </c>
      <c r="E257" s="8" t="s">
        <v>167</v>
      </c>
      <c r="F257" s="13" t="s">
        <v>215</v>
      </c>
      <c r="G257" s="46">
        <v>0.25</v>
      </c>
    </row>
    <row r="258" ht="15.75" customHeight="1">
      <c r="A258" s="43">
        <v>46184.0</v>
      </c>
      <c r="B258" s="43">
        <v>46190.0</v>
      </c>
      <c r="C258" s="44" t="s">
        <v>126</v>
      </c>
      <c r="D258" s="6" t="s">
        <v>174</v>
      </c>
      <c r="E258" s="8" t="s">
        <v>170</v>
      </c>
      <c r="F258" s="13" t="s">
        <v>223</v>
      </c>
      <c r="G258" s="46">
        <v>0.25</v>
      </c>
    </row>
    <row r="259" ht="15.75" customHeight="1">
      <c r="A259" s="43">
        <v>46184.0</v>
      </c>
      <c r="B259" s="43">
        <v>46190.0</v>
      </c>
      <c r="C259" s="44" t="s">
        <v>126</v>
      </c>
      <c r="D259" s="6" t="s">
        <v>194</v>
      </c>
      <c r="E259" s="8" t="s">
        <v>170</v>
      </c>
      <c r="F259" s="13" t="s">
        <v>223</v>
      </c>
      <c r="G259" s="46">
        <v>0.25</v>
      </c>
    </row>
    <row r="260" ht="15.75" customHeight="1">
      <c r="A260" s="43">
        <v>46184.0</v>
      </c>
      <c r="B260" s="43">
        <v>46190.0</v>
      </c>
      <c r="C260" s="44" t="s">
        <v>126</v>
      </c>
      <c r="D260" s="6" t="s">
        <v>247</v>
      </c>
      <c r="E260" s="8" t="s">
        <v>170</v>
      </c>
      <c r="F260" s="13" t="s">
        <v>223</v>
      </c>
      <c r="G260" s="46">
        <v>0.25</v>
      </c>
    </row>
    <row r="261" ht="15.75" customHeight="1">
      <c r="A261" s="43">
        <v>46184.0</v>
      </c>
      <c r="B261" s="43">
        <v>46190.0</v>
      </c>
      <c r="C261" s="44" t="s">
        <v>126</v>
      </c>
      <c r="D261" s="6" t="s">
        <v>255</v>
      </c>
      <c r="E261" s="8" t="s">
        <v>167</v>
      </c>
      <c r="F261" s="13" t="s">
        <v>215</v>
      </c>
      <c r="G261" s="46">
        <v>0.25</v>
      </c>
    </row>
    <row r="262" ht="15.75" customHeight="1">
      <c r="A262" s="43">
        <v>46184.0</v>
      </c>
      <c r="B262" s="43">
        <v>46190.0</v>
      </c>
      <c r="C262" s="44" t="s">
        <v>126</v>
      </c>
      <c r="D262" s="6" t="s">
        <v>246</v>
      </c>
      <c r="E262" s="8" t="s">
        <v>170</v>
      </c>
      <c r="F262" s="13" t="s">
        <v>223</v>
      </c>
      <c r="G262" s="46">
        <v>0.25</v>
      </c>
    </row>
    <row r="263" ht="15.75" customHeight="1">
      <c r="A263" s="43">
        <v>46184.0</v>
      </c>
      <c r="B263" s="43">
        <v>46190.0</v>
      </c>
      <c r="C263" s="44" t="s">
        <v>126</v>
      </c>
      <c r="D263" s="6" t="s">
        <v>256</v>
      </c>
      <c r="E263" s="8" t="s">
        <v>167</v>
      </c>
      <c r="F263" s="13" t="s">
        <v>128</v>
      </c>
      <c r="G263" s="46">
        <v>0.2</v>
      </c>
    </row>
    <row r="264" ht="15.75" customHeight="1">
      <c r="A264" s="43">
        <v>46184.0</v>
      </c>
      <c r="B264" s="43">
        <v>46190.0</v>
      </c>
      <c r="C264" s="44" t="s">
        <v>258</v>
      </c>
      <c r="D264" s="6" t="s">
        <v>204</v>
      </c>
      <c r="E264" s="8" t="s">
        <v>188</v>
      </c>
      <c r="F264" s="13" t="s">
        <v>234</v>
      </c>
      <c r="G264" s="46">
        <v>0.55</v>
      </c>
    </row>
    <row r="265" ht="15.75" customHeight="1">
      <c r="A265" s="43">
        <v>46203.0</v>
      </c>
      <c r="B265" s="43">
        <v>46209.0</v>
      </c>
      <c r="C265" s="44" t="s">
        <v>92</v>
      </c>
      <c r="D265" s="6" t="s">
        <v>44</v>
      </c>
      <c r="E265" s="8" t="s">
        <v>179</v>
      </c>
      <c r="F265" s="13" t="s">
        <v>206</v>
      </c>
      <c r="G265" s="46">
        <v>0.7</v>
      </c>
    </row>
    <row r="266" ht="15.75" customHeight="1">
      <c r="A266" s="43">
        <v>46210.0</v>
      </c>
      <c r="B266" s="43">
        <v>46216.0</v>
      </c>
      <c r="C266" s="44" t="s">
        <v>191</v>
      </c>
      <c r="D266" s="6" t="s">
        <v>43</v>
      </c>
      <c r="E266" s="8" t="s">
        <v>88</v>
      </c>
      <c r="F266" s="13" t="s">
        <v>115</v>
      </c>
      <c r="G266" s="46">
        <v>0.3</v>
      </c>
    </row>
    <row r="267" ht="15.75" customHeight="1">
      <c r="A267" s="43">
        <v>46210.0</v>
      </c>
      <c r="B267" s="43">
        <v>46216.0</v>
      </c>
      <c r="C267" s="44" t="s">
        <v>191</v>
      </c>
      <c r="D267" s="6" t="s">
        <v>74</v>
      </c>
      <c r="E267" s="8" t="s">
        <v>88</v>
      </c>
      <c r="F267" s="13" t="s">
        <v>89</v>
      </c>
      <c r="G267" s="46">
        <v>0.25</v>
      </c>
    </row>
    <row r="268" ht="15.75" customHeight="1">
      <c r="A268" s="43">
        <v>46212.0</v>
      </c>
      <c r="B268" s="43">
        <v>46219.0</v>
      </c>
      <c r="C268" s="44" t="s">
        <v>86</v>
      </c>
      <c r="D268" s="6" t="s">
        <v>208</v>
      </c>
      <c r="E268" s="8" t="s">
        <v>183</v>
      </c>
      <c r="F268" s="13" t="s">
        <v>263</v>
      </c>
      <c r="G268" s="46">
        <v>0.7</v>
      </c>
    </row>
    <row r="269" ht="15.75" customHeight="1">
      <c r="A269" s="43">
        <v>46217.0</v>
      </c>
      <c r="B269" s="43">
        <v>46223.0</v>
      </c>
      <c r="C269" s="44" t="s">
        <v>191</v>
      </c>
      <c r="D269" s="6" t="s">
        <v>202</v>
      </c>
      <c r="E269" s="8" t="s">
        <v>179</v>
      </c>
      <c r="F269" s="13" t="s">
        <v>264</v>
      </c>
      <c r="G269" s="46">
        <v>0.25</v>
      </c>
    </row>
    <row r="270" ht="15.75" customHeight="1">
      <c r="A270" s="43">
        <v>46218.0</v>
      </c>
      <c r="B270" s="43">
        <v>46233.0</v>
      </c>
      <c r="C270" s="44" t="s">
        <v>90</v>
      </c>
      <c r="D270" s="6" t="s">
        <v>208</v>
      </c>
      <c r="E270" s="8" t="s">
        <v>183</v>
      </c>
      <c r="F270" s="13" t="s">
        <v>263</v>
      </c>
      <c r="G270" s="46">
        <v>0.7</v>
      </c>
    </row>
    <row r="271" ht="15.75" customHeight="1">
      <c r="A271" s="43">
        <v>46224.0</v>
      </c>
      <c r="B271" s="43">
        <v>46230.0</v>
      </c>
      <c r="C271" s="44" t="s">
        <v>92</v>
      </c>
      <c r="D271" s="6" t="s">
        <v>204</v>
      </c>
      <c r="E271" s="8" t="s">
        <v>188</v>
      </c>
      <c r="F271" s="13" t="s">
        <v>270</v>
      </c>
      <c r="G271" s="46">
        <v>0.55</v>
      </c>
    </row>
    <row r="272" ht="15.75" customHeight="1">
      <c r="A272" s="43">
        <v>46233.0</v>
      </c>
      <c r="B272" s="43">
        <v>46247.0</v>
      </c>
      <c r="C272" s="44" t="s">
        <v>135</v>
      </c>
      <c r="D272" s="6" t="s">
        <v>246</v>
      </c>
      <c r="E272" s="8" t="s">
        <v>170</v>
      </c>
      <c r="F272" s="13" t="s">
        <v>223</v>
      </c>
      <c r="G272" s="46">
        <v>0.25</v>
      </c>
    </row>
    <row r="273" ht="15.75" customHeight="1">
      <c r="A273" s="43">
        <v>46233.0</v>
      </c>
      <c r="B273" s="43">
        <v>46247.0</v>
      </c>
      <c r="C273" s="44" t="s">
        <v>135</v>
      </c>
      <c r="D273" s="6" t="s">
        <v>246</v>
      </c>
      <c r="E273" s="8" t="s">
        <v>170</v>
      </c>
      <c r="F273" s="13" t="s">
        <v>223</v>
      </c>
      <c r="G273" s="46">
        <v>0.25</v>
      </c>
    </row>
    <row r="274" ht="15.75" customHeight="1">
      <c r="A274" s="43">
        <v>46233.0</v>
      </c>
      <c r="B274" s="43">
        <v>46247.0</v>
      </c>
      <c r="C274" s="44" t="s">
        <v>135</v>
      </c>
      <c r="D274" s="6" t="s">
        <v>256</v>
      </c>
      <c r="E274" s="8" t="s">
        <v>167</v>
      </c>
      <c r="F274" s="13" t="s">
        <v>128</v>
      </c>
      <c r="G274" s="46">
        <v>0.2</v>
      </c>
    </row>
    <row r="275" ht="15.75" customHeight="1">
      <c r="A275" s="43">
        <v>46233.0</v>
      </c>
      <c r="B275" s="43">
        <v>46247.0</v>
      </c>
      <c r="C275" s="44" t="s">
        <v>135</v>
      </c>
      <c r="D275" s="6" t="s">
        <v>168</v>
      </c>
      <c r="E275" s="8" t="s">
        <v>169</v>
      </c>
      <c r="F275" s="13" t="s">
        <v>218</v>
      </c>
      <c r="G275" s="46">
        <v>0.25</v>
      </c>
    </row>
    <row r="276" ht="15.75" customHeight="1">
      <c r="A276" s="43">
        <v>46233.0</v>
      </c>
      <c r="B276" s="43">
        <v>46247.0</v>
      </c>
      <c r="C276" s="44" t="s">
        <v>135</v>
      </c>
      <c r="D276" s="6" t="s">
        <v>197</v>
      </c>
      <c r="E276" s="8" t="s">
        <v>167</v>
      </c>
      <c r="F276" s="13" t="s">
        <v>215</v>
      </c>
      <c r="G276" s="46">
        <v>0.25</v>
      </c>
    </row>
    <row r="277" ht="15.75" customHeight="1">
      <c r="A277" s="43">
        <v>46233.0</v>
      </c>
      <c r="B277" s="43">
        <v>46247.0</v>
      </c>
      <c r="C277" s="44" t="s">
        <v>135</v>
      </c>
      <c r="D277" s="6" t="s">
        <v>278</v>
      </c>
      <c r="E277" s="8" t="s">
        <v>170</v>
      </c>
      <c r="F277" s="13" t="s">
        <v>223</v>
      </c>
      <c r="G277" s="46">
        <v>0.25</v>
      </c>
    </row>
    <row r="278" ht="15.75" customHeight="1">
      <c r="A278" s="43">
        <v>46233.0</v>
      </c>
      <c r="B278" s="43">
        <v>46247.0</v>
      </c>
      <c r="C278" s="44" t="s">
        <v>135</v>
      </c>
      <c r="D278" s="6" t="s">
        <v>194</v>
      </c>
      <c r="E278" s="8" t="s">
        <v>170</v>
      </c>
      <c r="F278" s="13" t="s">
        <v>223</v>
      </c>
      <c r="G278" s="46">
        <v>0.25</v>
      </c>
    </row>
    <row r="279" ht="15.75" customHeight="1">
      <c r="A279" s="43">
        <v>46233.0</v>
      </c>
      <c r="B279" s="43">
        <v>46247.0</v>
      </c>
      <c r="C279" s="44" t="s">
        <v>135</v>
      </c>
      <c r="D279" s="6" t="s">
        <v>279</v>
      </c>
      <c r="E279" s="8" t="s">
        <v>170</v>
      </c>
      <c r="F279" s="13" t="s">
        <v>223</v>
      </c>
      <c r="G279" s="46">
        <v>0.25</v>
      </c>
    </row>
    <row r="280" ht="15.75" customHeight="1">
      <c r="A280" s="43">
        <v>46233.0</v>
      </c>
      <c r="B280" s="43">
        <v>46247.0</v>
      </c>
      <c r="C280" s="44" t="s">
        <v>135</v>
      </c>
      <c r="D280" s="6" t="s">
        <v>199</v>
      </c>
      <c r="E280" s="8" t="s">
        <v>169</v>
      </c>
      <c r="F280" s="13" t="s">
        <v>218</v>
      </c>
      <c r="G280" s="46">
        <v>0.25</v>
      </c>
    </row>
    <row r="281" ht="15.75" customHeight="1">
      <c r="A281" s="43">
        <v>46233.0</v>
      </c>
      <c r="B281" s="43">
        <v>46247.0</v>
      </c>
      <c r="C281" s="44" t="s">
        <v>135</v>
      </c>
      <c r="D281" s="6" t="s">
        <v>200</v>
      </c>
      <c r="E281" s="8" t="s">
        <v>169</v>
      </c>
      <c r="F281" s="13" t="s">
        <v>218</v>
      </c>
      <c r="G281" s="46">
        <v>0.25</v>
      </c>
    </row>
    <row r="282" ht="15.75" customHeight="1">
      <c r="A282" s="43">
        <v>46233.0</v>
      </c>
      <c r="B282" s="43">
        <v>46247.0</v>
      </c>
      <c r="C282" s="44" t="s">
        <v>135</v>
      </c>
      <c r="D282" s="6" t="s">
        <v>192</v>
      </c>
      <c r="E282" s="8" t="s">
        <v>167</v>
      </c>
      <c r="F282" s="13" t="s">
        <v>215</v>
      </c>
      <c r="G282" s="46">
        <v>0.25</v>
      </c>
    </row>
    <row r="283" ht="15.75" customHeight="1">
      <c r="A283" s="43">
        <v>46233.0</v>
      </c>
      <c r="B283" s="43">
        <v>46247.0</v>
      </c>
      <c r="C283" s="44" t="s">
        <v>135</v>
      </c>
      <c r="D283" s="6" t="s">
        <v>193</v>
      </c>
      <c r="E283" s="8" t="s">
        <v>170</v>
      </c>
      <c r="F283" s="13" t="s">
        <v>223</v>
      </c>
      <c r="G283" s="46">
        <v>0.25</v>
      </c>
    </row>
    <row r="284" ht="15.75" customHeight="1">
      <c r="A284" s="43">
        <v>46233.0</v>
      </c>
      <c r="B284" s="43">
        <v>46247.0</v>
      </c>
      <c r="C284" s="44" t="s">
        <v>135</v>
      </c>
      <c r="D284" s="6" t="s">
        <v>174</v>
      </c>
      <c r="E284" s="8" t="s">
        <v>170</v>
      </c>
      <c r="F284" s="13" t="s">
        <v>223</v>
      </c>
      <c r="G284" s="46">
        <v>0.25</v>
      </c>
    </row>
    <row r="285" ht="15.75" customHeight="1">
      <c r="A285" s="43">
        <v>46233.0</v>
      </c>
      <c r="B285" s="43">
        <v>46247.0</v>
      </c>
      <c r="C285" s="44" t="s">
        <v>135</v>
      </c>
      <c r="D285" s="6" t="s">
        <v>249</v>
      </c>
      <c r="E285" s="8" t="s">
        <v>167</v>
      </c>
      <c r="F285" s="13" t="s">
        <v>215</v>
      </c>
      <c r="G285" s="46">
        <v>0.25</v>
      </c>
    </row>
    <row r="286" ht="15.75" customHeight="1">
      <c r="A286" s="43">
        <v>46233.0</v>
      </c>
      <c r="B286" s="43">
        <v>46247.0</v>
      </c>
      <c r="C286" s="44" t="s">
        <v>135</v>
      </c>
      <c r="D286" s="6" t="s">
        <v>287</v>
      </c>
      <c r="E286" s="8" t="s">
        <v>170</v>
      </c>
      <c r="F286" s="13" t="s">
        <v>173</v>
      </c>
      <c r="G286" s="46">
        <v>0.2</v>
      </c>
    </row>
    <row r="287" ht="15.75" customHeight="1">
      <c r="A287" s="43">
        <v>46233.0</v>
      </c>
      <c r="B287" s="43">
        <v>46247.0</v>
      </c>
      <c r="C287" s="44" t="s">
        <v>135</v>
      </c>
      <c r="D287" s="6" t="s">
        <v>255</v>
      </c>
      <c r="E287" s="8" t="s">
        <v>167</v>
      </c>
      <c r="F287" s="13" t="s">
        <v>215</v>
      </c>
      <c r="G287" s="46">
        <v>0.25</v>
      </c>
    </row>
    <row r="288" ht="15.75" customHeight="1">
      <c r="A288" s="43">
        <v>46233.0</v>
      </c>
      <c r="B288" s="43">
        <v>46247.0</v>
      </c>
      <c r="C288" s="44" t="s">
        <v>135</v>
      </c>
      <c r="D288" s="6" t="s">
        <v>247</v>
      </c>
      <c r="E288" s="8" t="s">
        <v>170</v>
      </c>
      <c r="F288" s="13" t="s">
        <v>223</v>
      </c>
      <c r="G288" s="46">
        <v>0.25</v>
      </c>
    </row>
    <row r="289" ht="15.75" customHeight="1">
      <c r="A289" s="43">
        <v>46233.0</v>
      </c>
      <c r="B289" s="43">
        <v>46247.0</v>
      </c>
      <c r="C289" s="44" t="s">
        <v>135</v>
      </c>
      <c r="D289" s="6" t="s">
        <v>166</v>
      </c>
      <c r="E289" s="8" t="s">
        <v>167</v>
      </c>
      <c r="F289" s="13" t="s">
        <v>215</v>
      </c>
      <c r="G289" s="46">
        <v>0.25</v>
      </c>
    </row>
    <row r="290" ht="15.75" customHeight="1">
      <c r="A290" s="43">
        <v>46238.0</v>
      </c>
      <c r="B290" s="43">
        <v>46244.0</v>
      </c>
      <c r="C290" s="44" t="s">
        <v>92</v>
      </c>
      <c r="D290" s="6" t="s">
        <v>44</v>
      </c>
      <c r="E290" s="8" t="s">
        <v>179</v>
      </c>
      <c r="F290" s="13" t="s">
        <v>289</v>
      </c>
      <c r="G290" s="46">
        <v>0.7</v>
      </c>
    </row>
    <row r="291" ht="15.75" customHeight="1">
      <c r="A291" s="43">
        <v>46259.0</v>
      </c>
      <c r="B291" s="43">
        <v>46266.0</v>
      </c>
      <c r="C291" s="44" t="s">
        <v>290</v>
      </c>
      <c r="D291" s="6" t="s">
        <v>204</v>
      </c>
      <c r="E291" s="8" t="s">
        <v>188</v>
      </c>
      <c r="F291" s="13" t="s">
        <v>270</v>
      </c>
      <c r="G291" s="46">
        <v>0.55</v>
      </c>
    </row>
    <row r="292" ht="15.75" customHeight="1">
      <c r="A292" s="43">
        <v>46259.0</v>
      </c>
      <c r="B292" s="43">
        <v>46265.0</v>
      </c>
      <c r="C292" s="44" t="s">
        <v>191</v>
      </c>
      <c r="D292" s="6" t="s">
        <v>202</v>
      </c>
      <c r="E292" s="8" t="s">
        <v>179</v>
      </c>
      <c r="F292" s="13" t="s">
        <v>264</v>
      </c>
      <c r="G292" s="46">
        <v>0.25</v>
      </c>
    </row>
    <row r="293" ht="15.75" customHeight="1">
      <c r="A293" s="43">
        <v>46266.0</v>
      </c>
      <c r="B293" s="43">
        <v>46272.0</v>
      </c>
      <c r="C293" s="44" t="s">
        <v>92</v>
      </c>
      <c r="D293" s="6" t="s">
        <v>208</v>
      </c>
      <c r="E293" s="8" t="s">
        <v>183</v>
      </c>
      <c r="F293" s="13" t="s">
        <v>263</v>
      </c>
      <c r="G293" s="46">
        <v>0.7</v>
      </c>
    </row>
    <row r="294" ht="15.75" customHeight="1">
      <c r="A294" s="43">
        <v>46268.0</v>
      </c>
      <c r="B294" s="43">
        <v>46275.0</v>
      </c>
      <c r="C294" s="44" t="s">
        <v>294</v>
      </c>
      <c r="D294" s="6" t="s">
        <v>43</v>
      </c>
      <c r="E294" s="8" t="s">
        <v>88</v>
      </c>
      <c r="F294" s="13" t="s">
        <v>115</v>
      </c>
      <c r="G294" s="46">
        <v>0.3</v>
      </c>
    </row>
    <row r="295" ht="15.75" customHeight="1">
      <c r="A295" s="43">
        <v>46268.0</v>
      </c>
      <c r="B295" s="43">
        <v>46275.0</v>
      </c>
      <c r="C295" s="44" t="s">
        <v>294</v>
      </c>
      <c r="D295" s="6" t="s">
        <v>74</v>
      </c>
      <c r="E295" s="8" t="s">
        <v>88</v>
      </c>
      <c r="F295" s="13" t="s">
        <v>89</v>
      </c>
      <c r="G295" s="46">
        <v>0.25</v>
      </c>
    </row>
    <row r="296" ht="15.75" customHeight="1">
      <c r="A296" s="43">
        <v>46275.0</v>
      </c>
      <c r="B296" s="43">
        <v>46289.0</v>
      </c>
      <c r="C296" s="44" t="s">
        <v>98</v>
      </c>
      <c r="D296" s="6" t="s">
        <v>44</v>
      </c>
      <c r="E296" s="8" t="s">
        <v>179</v>
      </c>
      <c r="F296" s="13" t="s">
        <v>289</v>
      </c>
      <c r="G296" s="46">
        <v>0.7</v>
      </c>
    </row>
    <row r="297" ht="15.75" customHeight="1">
      <c r="A297" s="43">
        <v>46296.0</v>
      </c>
      <c r="B297" s="43">
        <v>46303.0</v>
      </c>
      <c r="C297" s="44" t="s">
        <v>258</v>
      </c>
      <c r="D297" s="6" t="s">
        <v>204</v>
      </c>
      <c r="E297" s="8" t="s">
        <v>188</v>
      </c>
      <c r="F297" s="13" t="s">
        <v>297</v>
      </c>
      <c r="G297" s="46">
        <v>0.6</v>
      </c>
    </row>
    <row r="298" ht="15.75" customHeight="1">
      <c r="A298" s="43">
        <v>46301.0</v>
      </c>
      <c r="B298" s="43">
        <v>46307.0</v>
      </c>
      <c r="C298" s="44" t="s">
        <v>191</v>
      </c>
      <c r="D298" s="6" t="s">
        <v>202</v>
      </c>
      <c r="E298" s="8" t="s">
        <v>179</v>
      </c>
      <c r="F298" s="13" t="s">
        <v>264</v>
      </c>
      <c r="G298" s="46">
        <v>0.25</v>
      </c>
    </row>
    <row r="299" ht="15.75" customHeight="1">
      <c r="A299" s="43">
        <v>46310.0</v>
      </c>
      <c r="B299" s="43">
        <v>46317.0</v>
      </c>
      <c r="C299" s="44" t="s">
        <v>298</v>
      </c>
      <c r="D299" s="6" t="s">
        <v>246</v>
      </c>
      <c r="E299" s="8" t="s">
        <v>170</v>
      </c>
      <c r="F299" s="13" t="s">
        <v>223</v>
      </c>
      <c r="G299" s="46">
        <v>0.25</v>
      </c>
    </row>
    <row r="300" ht="15.75" customHeight="1">
      <c r="A300" s="43">
        <v>46310.0</v>
      </c>
      <c r="B300" s="43">
        <v>46317.0</v>
      </c>
      <c r="C300" s="44" t="s">
        <v>298</v>
      </c>
      <c r="D300" s="6" t="s">
        <v>299</v>
      </c>
      <c r="E300" s="8" t="s">
        <v>167</v>
      </c>
      <c r="F300" s="13" t="s">
        <v>128</v>
      </c>
      <c r="G300" s="46">
        <v>0.2</v>
      </c>
    </row>
    <row r="301" ht="15.75" customHeight="1">
      <c r="A301" s="43">
        <v>46310.0</v>
      </c>
      <c r="B301" s="43">
        <v>46317.0</v>
      </c>
      <c r="C301" s="44" t="s">
        <v>298</v>
      </c>
      <c r="D301" s="6" t="s">
        <v>168</v>
      </c>
      <c r="E301" s="8" t="s">
        <v>169</v>
      </c>
      <c r="F301" s="13" t="s">
        <v>218</v>
      </c>
      <c r="G301" s="46">
        <v>0.25</v>
      </c>
    </row>
    <row r="302" ht="15.75" customHeight="1">
      <c r="A302" s="43">
        <v>46310.0</v>
      </c>
      <c r="B302" s="43">
        <v>46317.0</v>
      </c>
      <c r="C302" s="44" t="s">
        <v>298</v>
      </c>
      <c r="D302" s="6" t="s">
        <v>197</v>
      </c>
      <c r="E302" s="8" t="s">
        <v>167</v>
      </c>
      <c r="F302" s="13" t="s">
        <v>215</v>
      </c>
      <c r="G302" s="46">
        <v>0.25</v>
      </c>
    </row>
    <row r="303" ht="15.75" customHeight="1">
      <c r="A303" s="43">
        <v>46310.0</v>
      </c>
      <c r="B303" s="43">
        <v>46317.0</v>
      </c>
      <c r="C303" s="44" t="s">
        <v>298</v>
      </c>
      <c r="D303" s="6" t="s">
        <v>278</v>
      </c>
      <c r="E303" s="8" t="s">
        <v>170</v>
      </c>
      <c r="F303" s="13" t="s">
        <v>223</v>
      </c>
      <c r="G303" s="46">
        <v>0.25</v>
      </c>
    </row>
    <row r="304" ht="15.75" customHeight="1">
      <c r="A304" s="43">
        <v>46310.0</v>
      </c>
      <c r="B304" s="43">
        <v>46317.0</v>
      </c>
      <c r="C304" s="44" t="s">
        <v>298</v>
      </c>
      <c r="D304" s="6" t="s">
        <v>194</v>
      </c>
      <c r="E304" s="8" t="s">
        <v>170</v>
      </c>
      <c r="F304" s="13" t="s">
        <v>223</v>
      </c>
      <c r="G304" s="46">
        <v>0.25</v>
      </c>
    </row>
    <row r="305" ht="15.75" customHeight="1">
      <c r="A305" s="43">
        <v>46310.0</v>
      </c>
      <c r="B305" s="43">
        <v>46317.0</v>
      </c>
      <c r="C305" s="44" t="s">
        <v>298</v>
      </c>
      <c r="D305" s="6" t="s">
        <v>279</v>
      </c>
      <c r="E305" s="8" t="s">
        <v>170</v>
      </c>
      <c r="F305" s="13" t="s">
        <v>223</v>
      </c>
      <c r="G305" s="46">
        <v>0.25</v>
      </c>
    </row>
    <row r="306" ht="15.75" customHeight="1">
      <c r="A306" s="43">
        <v>46310.0</v>
      </c>
      <c r="B306" s="43">
        <v>46317.0</v>
      </c>
      <c r="C306" s="44" t="s">
        <v>298</v>
      </c>
      <c r="D306" s="6" t="s">
        <v>199</v>
      </c>
      <c r="E306" s="8" t="s">
        <v>169</v>
      </c>
      <c r="F306" s="13" t="s">
        <v>218</v>
      </c>
      <c r="G306" s="46">
        <v>0.25</v>
      </c>
    </row>
    <row r="307" ht="15.75" customHeight="1">
      <c r="A307" s="43">
        <v>46310.0</v>
      </c>
      <c r="B307" s="43">
        <v>46317.0</v>
      </c>
      <c r="C307" s="44" t="s">
        <v>298</v>
      </c>
      <c r="D307" s="6" t="s">
        <v>200</v>
      </c>
      <c r="E307" s="8" t="s">
        <v>169</v>
      </c>
      <c r="F307" s="13" t="s">
        <v>218</v>
      </c>
      <c r="G307" s="46">
        <v>0.25</v>
      </c>
    </row>
    <row r="308" ht="15.75" customHeight="1">
      <c r="A308" s="43">
        <v>46310.0</v>
      </c>
      <c r="B308" s="43">
        <v>46317.0</v>
      </c>
      <c r="C308" s="44" t="s">
        <v>298</v>
      </c>
      <c r="D308" s="6" t="s">
        <v>192</v>
      </c>
      <c r="E308" s="8" t="s">
        <v>167</v>
      </c>
      <c r="F308" s="13" t="s">
        <v>215</v>
      </c>
      <c r="G308" s="46">
        <v>0.25</v>
      </c>
    </row>
    <row r="309" ht="15.75" customHeight="1">
      <c r="A309" s="43">
        <v>46310.0</v>
      </c>
      <c r="B309" s="43">
        <v>46317.0</v>
      </c>
      <c r="C309" s="44" t="s">
        <v>298</v>
      </c>
      <c r="D309" s="6" t="s">
        <v>193</v>
      </c>
      <c r="E309" s="8" t="s">
        <v>170</v>
      </c>
      <c r="F309" s="13" t="s">
        <v>173</v>
      </c>
      <c r="G309" s="46">
        <v>0.2</v>
      </c>
    </row>
    <row r="310" ht="15.75" customHeight="1">
      <c r="A310" s="43">
        <v>46310.0</v>
      </c>
      <c r="B310" s="43">
        <v>46317.0</v>
      </c>
      <c r="C310" s="44" t="s">
        <v>298</v>
      </c>
      <c r="D310" s="6" t="s">
        <v>300</v>
      </c>
      <c r="E310" s="8" t="s">
        <v>170</v>
      </c>
      <c r="F310" s="13" t="s">
        <v>223</v>
      </c>
      <c r="G310" s="46">
        <v>0.25</v>
      </c>
    </row>
    <row r="311" ht="15.75" customHeight="1">
      <c r="A311" s="43">
        <v>46310.0</v>
      </c>
      <c r="B311" s="43">
        <v>46317.0</v>
      </c>
      <c r="C311" s="44" t="s">
        <v>298</v>
      </c>
      <c r="D311" s="6" t="s">
        <v>249</v>
      </c>
      <c r="E311" s="8" t="s">
        <v>167</v>
      </c>
      <c r="F311" s="13" t="s">
        <v>215</v>
      </c>
      <c r="G311" s="46">
        <v>0.25</v>
      </c>
    </row>
    <row r="312" ht="15.75" customHeight="1">
      <c r="A312" s="43">
        <v>46310.0</v>
      </c>
      <c r="B312" s="43">
        <v>46317.0</v>
      </c>
      <c r="C312" s="44" t="s">
        <v>298</v>
      </c>
      <c r="D312" s="6" t="s">
        <v>301</v>
      </c>
      <c r="E312" s="8" t="s">
        <v>170</v>
      </c>
      <c r="F312" s="13" t="s">
        <v>223</v>
      </c>
      <c r="G312" s="46">
        <v>0.25</v>
      </c>
    </row>
    <row r="313" ht="15.75" customHeight="1">
      <c r="A313" s="43">
        <v>46310.0</v>
      </c>
      <c r="B313" s="43">
        <v>46317.0</v>
      </c>
      <c r="C313" s="44" t="s">
        <v>298</v>
      </c>
      <c r="D313" s="6" t="s">
        <v>302</v>
      </c>
      <c r="E313" s="8" t="s">
        <v>167</v>
      </c>
      <c r="F313" s="13" t="s">
        <v>215</v>
      </c>
      <c r="G313" s="46">
        <v>0.25</v>
      </c>
    </row>
    <row r="314" ht="15.75" customHeight="1">
      <c r="A314" s="43">
        <v>46310.0</v>
      </c>
      <c r="B314" s="43">
        <v>46317.0</v>
      </c>
      <c r="C314" s="44" t="s">
        <v>298</v>
      </c>
      <c r="D314" s="6" t="s">
        <v>247</v>
      </c>
      <c r="E314" s="8" t="s">
        <v>170</v>
      </c>
      <c r="F314" s="13" t="s">
        <v>223</v>
      </c>
      <c r="G314" s="46">
        <v>0.25</v>
      </c>
    </row>
    <row r="315" ht="15.75" customHeight="1">
      <c r="A315" s="43">
        <v>46310.0</v>
      </c>
      <c r="B315" s="43">
        <v>46317.0</v>
      </c>
      <c r="C315" s="44" t="s">
        <v>298</v>
      </c>
      <c r="D315" s="6" t="s">
        <v>166</v>
      </c>
      <c r="E315" s="8" t="s">
        <v>167</v>
      </c>
      <c r="F315" s="13" t="s">
        <v>215</v>
      </c>
      <c r="G315" s="46">
        <v>0.25</v>
      </c>
    </row>
    <row r="316" ht="15.75" customHeight="1">
      <c r="A316" s="43">
        <v>46315.0</v>
      </c>
      <c r="B316" s="43">
        <v>46321.0</v>
      </c>
      <c r="C316" s="44" t="s">
        <v>191</v>
      </c>
      <c r="D316" s="6" t="s">
        <v>43</v>
      </c>
      <c r="E316" s="8" t="s">
        <v>88</v>
      </c>
      <c r="F316" s="13" t="s">
        <v>115</v>
      </c>
      <c r="G316" s="46">
        <v>0.3</v>
      </c>
    </row>
    <row r="317" ht="15.75" customHeight="1">
      <c r="A317" s="43">
        <v>46315.0</v>
      </c>
      <c r="B317" s="43">
        <v>46321.0</v>
      </c>
      <c r="C317" s="44" t="s">
        <v>191</v>
      </c>
      <c r="D317" s="6" t="s">
        <v>74</v>
      </c>
      <c r="E317" s="8" t="s">
        <v>88</v>
      </c>
      <c r="F317" s="13" t="s">
        <v>89</v>
      </c>
      <c r="G317" s="46">
        <v>0.25</v>
      </c>
    </row>
    <row r="318" ht="15.75" customHeight="1">
      <c r="A318" s="43">
        <v>46336.0</v>
      </c>
      <c r="B318" s="43">
        <v>46342.0</v>
      </c>
      <c r="C318" s="44" t="s">
        <v>92</v>
      </c>
      <c r="D318" s="6" t="s">
        <v>204</v>
      </c>
      <c r="E318" s="8" t="s">
        <v>188</v>
      </c>
      <c r="F318" s="13" t="s">
        <v>297</v>
      </c>
      <c r="G318" s="46">
        <v>0.6</v>
      </c>
    </row>
    <row r="319" ht="15.75" customHeight="1">
      <c r="A319" s="43">
        <v>46343.0</v>
      </c>
      <c r="B319" s="43">
        <v>46349.0</v>
      </c>
      <c r="C319" s="44" t="s">
        <v>191</v>
      </c>
      <c r="D319" s="6" t="s">
        <v>202</v>
      </c>
      <c r="E319" s="8" t="s">
        <v>179</v>
      </c>
      <c r="F319" s="13" t="s">
        <v>264</v>
      </c>
      <c r="G319" s="46">
        <v>0.25</v>
      </c>
    </row>
    <row r="320" ht="15.75" customHeight="1">
      <c r="A320" s="43">
        <v>46345.0</v>
      </c>
      <c r="B320" s="43">
        <v>46359.0</v>
      </c>
      <c r="C320" s="44" t="s">
        <v>103</v>
      </c>
      <c r="D320" s="6" t="s">
        <v>44</v>
      </c>
      <c r="E320" s="8" t="s">
        <v>179</v>
      </c>
      <c r="F320" s="13" t="s">
        <v>304</v>
      </c>
      <c r="G320" s="46">
        <v>0.75</v>
      </c>
    </row>
    <row r="321" ht="15.75" customHeight="1">
      <c r="A321" s="43">
        <v>46345.0</v>
      </c>
      <c r="B321" s="43">
        <v>46359.0</v>
      </c>
      <c r="C321" s="44" t="s">
        <v>103</v>
      </c>
      <c r="D321" s="6" t="s">
        <v>208</v>
      </c>
      <c r="E321" s="8" t="s">
        <v>183</v>
      </c>
      <c r="F321" s="13" t="s">
        <v>305</v>
      </c>
      <c r="G321" s="46">
        <v>0.75</v>
      </c>
    </row>
    <row r="322" ht="15.75" customHeight="1">
      <c r="A322" s="43">
        <v>46359.0</v>
      </c>
      <c r="B322" s="43">
        <v>46373.0</v>
      </c>
      <c r="C322" s="44" t="s">
        <v>138</v>
      </c>
      <c r="D322" s="6" t="s">
        <v>306</v>
      </c>
      <c r="E322" s="8" t="s">
        <v>170</v>
      </c>
      <c r="F322" s="13" t="s">
        <v>223</v>
      </c>
      <c r="G322" s="46">
        <v>0.25</v>
      </c>
    </row>
    <row r="323" ht="15.75" customHeight="1">
      <c r="A323" s="43">
        <v>46359.0</v>
      </c>
      <c r="B323" s="43">
        <v>46373.0</v>
      </c>
      <c r="C323" s="44" t="s">
        <v>138</v>
      </c>
      <c r="D323" s="6" t="s">
        <v>299</v>
      </c>
      <c r="E323" s="8" t="s">
        <v>167</v>
      </c>
      <c r="F323" s="13" t="s">
        <v>128</v>
      </c>
      <c r="G323" s="46">
        <v>0.2</v>
      </c>
    </row>
    <row r="324" ht="15.75" customHeight="1">
      <c r="A324" s="43">
        <v>46359.0</v>
      </c>
      <c r="B324" s="43">
        <v>46373.0</v>
      </c>
      <c r="C324" s="44" t="s">
        <v>138</v>
      </c>
      <c r="D324" s="6" t="s">
        <v>168</v>
      </c>
      <c r="E324" s="8" t="s">
        <v>169</v>
      </c>
      <c r="F324" s="13" t="s">
        <v>218</v>
      </c>
      <c r="G324" s="46">
        <v>0.25</v>
      </c>
    </row>
    <row r="325" ht="15.75" customHeight="1">
      <c r="A325" s="43">
        <v>46359.0</v>
      </c>
      <c r="B325" s="43">
        <v>46373.0</v>
      </c>
      <c r="C325" s="44" t="s">
        <v>138</v>
      </c>
      <c r="D325" s="6" t="s">
        <v>197</v>
      </c>
      <c r="E325" s="8" t="s">
        <v>167</v>
      </c>
      <c r="F325" s="13" t="s">
        <v>215</v>
      </c>
      <c r="G325" s="46">
        <v>0.25</v>
      </c>
    </row>
    <row r="326" ht="15.75" customHeight="1">
      <c r="A326" s="43">
        <v>46359.0</v>
      </c>
      <c r="B326" s="43">
        <v>46373.0</v>
      </c>
      <c r="C326" s="44" t="s">
        <v>138</v>
      </c>
      <c r="D326" s="6" t="s">
        <v>278</v>
      </c>
      <c r="E326" s="8" t="s">
        <v>170</v>
      </c>
      <c r="F326" s="13" t="s">
        <v>223</v>
      </c>
      <c r="G326" s="46">
        <v>0.25</v>
      </c>
    </row>
    <row r="327" ht="15.75" customHeight="1">
      <c r="A327" s="43">
        <v>46359.0</v>
      </c>
      <c r="B327" s="43">
        <v>46373.0</v>
      </c>
      <c r="C327" s="44" t="s">
        <v>138</v>
      </c>
      <c r="D327" s="6" t="s">
        <v>194</v>
      </c>
      <c r="E327" s="8" t="s">
        <v>170</v>
      </c>
      <c r="F327" s="13" t="s">
        <v>223</v>
      </c>
      <c r="G327" s="46">
        <v>0.25</v>
      </c>
    </row>
    <row r="328" ht="15.75" customHeight="1">
      <c r="A328" s="43">
        <v>46359.0</v>
      </c>
      <c r="B328" s="43">
        <v>46373.0</v>
      </c>
      <c r="C328" s="44" t="s">
        <v>138</v>
      </c>
      <c r="D328" s="6" t="s">
        <v>279</v>
      </c>
      <c r="E328" s="8" t="s">
        <v>170</v>
      </c>
      <c r="F328" s="13" t="s">
        <v>223</v>
      </c>
      <c r="G328" s="46">
        <v>0.25</v>
      </c>
    </row>
    <row r="329" ht="15.75" customHeight="1">
      <c r="A329" s="43">
        <v>46359.0</v>
      </c>
      <c r="B329" s="43">
        <v>46373.0</v>
      </c>
      <c r="C329" s="44" t="s">
        <v>138</v>
      </c>
      <c r="D329" s="6" t="s">
        <v>199</v>
      </c>
      <c r="E329" s="8" t="s">
        <v>169</v>
      </c>
      <c r="F329" s="13" t="s">
        <v>218</v>
      </c>
      <c r="G329" s="46">
        <v>0.25</v>
      </c>
    </row>
    <row r="330" ht="15.75" customHeight="1">
      <c r="A330" s="43">
        <v>46359.0</v>
      </c>
      <c r="B330" s="43">
        <v>46373.0</v>
      </c>
      <c r="C330" s="44" t="s">
        <v>138</v>
      </c>
      <c r="D330" s="6" t="s">
        <v>200</v>
      </c>
      <c r="E330" s="8" t="s">
        <v>169</v>
      </c>
      <c r="F330" s="13" t="s">
        <v>218</v>
      </c>
      <c r="G330" s="46">
        <v>0.25</v>
      </c>
    </row>
    <row r="331" ht="15.75" customHeight="1">
      <c r="A331" s="43">
        <v>46359.0</v>
      </c>
      <c r="B331" s="43">
        <v>46373.0</v>
      </c>
      <c r="C331" s="44" t="s">
        <v>138</v>
      </c>
      <c r="D331" s="6" t="s">
        <v>192</v>
      </c>
      <c r="E331" s="8" t="s">
        <v>167</v>
      </c>
      <c r="F331" s="13" t="s">
        <v>215</v>
      </c>
      <c r="G331" s="46">
        <v>0.25</v>
      </c>
    </row>
    <row r="332" ht="15.75" customHeight="1">
      <c r="A332" s="43">
        <v>46359.0</v>
      </c>
      <c r="B332" s="43">
        <v>46373.0</v>
      </c>
      <c r="C332" s="44" t="s">
        <v>138</v>
      </c>
      <c r="D332" s="6" t="s">
        <v>193</v>
      </c>
      <c r="E332" s="8" t="s">
        <v>170</v>
      </c>
      <c r="F332" s="13" t="s">
        <v>223</v>
      </c>
      <c r="G332" s="46">
        <v>0.25</v>
      </c>
    </row>
    <row r="333" ht="15.75" customHeight="1">
      <c r="A333" s="43">
        <v>46359.0</v>
      </c>
      <c r="B333" s="43">
        <v>46373.0</v>
      </c>
      <c r="C333" s="44" t="s">
        <v>138</v>
      </c>
      <c r="D333" s="6" t="s">
        <v>300</v>
      </c>
      <c r="E333" s="8" t="s">
        <v>170</v>
      </c>
      <c r="F333" s="13" t="s">
        <v>223</v>
      </c>
      <c r="G333" s="46">
        <v>0.25</v>
      </c>
    </row>
    <row r="334" ht="15.75" customHeight="1">
      <c r="A334" s="43">
        <v>46359.0</v>
      </c>
      <c r="B334" s="43">
        <v>46373.0</v>
      </c>
      <c r="C334" s="44" t="s">
        <v>138</v>
      </c>
      <c r="D334" s="6" t="s">
        <v>249</v>
      </c>
      <c r="E334" s="8" t="s">
        <v>167</v>
      </c>
      <c r="F334" s="13" t="s">
        <v>215</v>
      </c>
      <c r="G334" s="46">
        <v>0.25</v>
      </c>
    </row>
    <row r="335" ht="15.75" customHeight="1">
      <c r="A335" s="43">
        <v>46359.0</v>
      </c>
      <c r="B335" s="43">
        <v>46373.0</v>
      </c>
      <c r="C335" s="44" t="s">
        <v>138</v>
      </c>
      <c r="D335" s="6" t="s">
        <v>301</v>
      </c>
      <c r="E335" s="8" t="s">
        <v>170</v>
      </c>
      <c r="F335" s="13" t="s">
        <v>173</v>
      </c>
      <c r="G335" s="46">
        <v>0.2</v>
      </c>
    </row>
    <row r="336" ht="15.75" customHeight="1">
      <c r="A336" s="43">
        <v>46359.0</v>
      </c>
      <c r="B336" s="43">
        <v>46373.0</v>
      </c>
      <c r="C336" s="44" t="s">
        <v>138</v>
      </c>
      <c r="D336" s="6" t="s">
        <v>302</v>
      </c>
      <c r="E336" s="8" t="s">
        <v>167</v>
      </c>
      <c r="F336" s="13" t="s">
        <v>215</v>
      </c>
      <c r="G336" s="46">
        <v>0.25</v>
      </c>
    </row>
    <row r="337" ht="15.75" customHeight="1">
      <c r="A337" s="43">
        <v>46359.0</v>
      </c>
      <c r="B337" s="43">
        <v>46373.0</v>
      </c>
      <c r="C337" s="44" t="s">
        <v>138</v>
      </c>
      <c r="D337" s="6" t="s">
        <v>279</v>
      </c>
      <c r="E337" s="8" t="s">
        <v>170</v>
      </c>
      <c r="F337" s="13" t="s">
        <v>223</v>
      </c>
      <c r="G337" s="46">
        <v>0.25</v>
      </c>
    </row>
    <row r="338" ht="15.75" customHeight="1">
      <c r="A338" s="43">
        <v>46359.0</v>
      </c>
      <c r="B338" s="43">
        <v>46373.0</v>
      </c>
      <c r="C338" s="44" t="s">
        <v>138</v>
      </c>
      <c r="D338" s="6" t="s">
        <v>166</v>
      </c>
      <c r="E338" s="8" t="s">
        <v>167</v>
      </c>
      <c r="F338" s="13" t="s">
        <v>215</v>
      </c>
      <c r="G338" s="46">
        <v>0.25</v>
      </c>
    </row>
    <row r="339" ht="15.75" customHeight="1">
      <c r="A339" s="43">
        <v>46366.0</v>
      </c>
      <c r="B339" s="43">
        <v>46373.0</v>
      </c>
      <c r="C339" s="44" t="s">
        <v>310</v>
      </c>
      <c r="D339" s="6" t="s">
        <v>44</v>
      </c>
      <c r="E339" s="8" t="s">
        <v>179</v>
      </c>
      <c r="F339" s="13" t="s">
        <v>304</v>
      </c>
      <c r="G339" s="46">
        <v>0.75</v>
      </c>
    </row>
    <row r="340" ht="15.75" customHeight="1">
      <c r="A340" s="43">
        <v>46371.0</v>
      </c>
      <c r="B340" s="43">
        <v>46377.0</v>
      </c>
      <c r="C340" s="44" t="s">
        <v>191</v>
      </c>
      <c r="D340" s="6" t="s">
        <v>43</v>
      </c>
      <c r="E340" s="8" t="s">
        <v>88</v>
      </c>
      <c r="F340" s="13" t="s">
        <v>115</v>
      </c>
      <c r="G340" s="46">
        <v>0.3</v>
      </c>
    </row>
    <row r="341" ht="15.75" customHeight="1">
      <c r="A341" s="43">
        <v>46371.0</v>
      </c>
      <c r="B341" s="43">
        <v>46377.0</v>
      </c>
      <c r="C341" s="44" t="s">
        <v>191</v>
      </c>
      <c r="D341" s="6" t="s">
        <v>74</v>
      </c>
      <c r="E341" s="8" t="s">
        <v>88</v>
      </c>
      <c r="F341" s="13" t="s">
        <v>89</v>
      </c>
      <c r="G341" s="46">
        <v>0.25</v>
      </c>
    </row>
    <row r="342" ht="15.75" customHeight="1">
      <c r="A342" s="43">
        <v>46372.0</v>
      </c>
      <c r="B342" s="43">
        <v>46029.0</v>
      </c>
      <c r="C342" s="44" t="s">
        <v>106</v>
      </c>
      <c r="D342" s="6" t="s">
        <v>44</v>
      </c>
      <c r="E342" s="8" t="s">
        <v>179</v>
      </c>
      <c r="F342" s="13" t="s">
        <v>304</v>
      </c>
      <c r="G342" s="46">
        <v>0.75</v>
      </c>
    </row>
    <row r="343" ht="15.75" customHeight="1">
      <c r="A343" s="43">
        <v>46372.0</v>
      </c>
      <c r="B343" s="43">
        <v>46029.0</v>
      </c>
      <c r="C343" s="44" t="s">
        <v>106</v>
      </c>
      <c r="D343" s="6" t="s">
        <v>208</v>
      </c>
      <c r="E343" s="8" t="s">
        <v>183</v>
      </c>
      <c r="F343" s="13" t="s">
        <v>305</v>
      </c>
      <c r="G343" s="46">
        <v>0.75</v>
      </c>
    </row>
    <row r="344" ht="15.75" customHeight="1">
      <c r="A344" s="43">
        <v>46372.0</v>
      </c>
      <c r="B344" s="43">
        <v>46029.0</v>
      </c>
      <c r="C344" s="44" t="s">
        <v>106</v>
      </c>
      <c r="D344" s="6" t="s">
        <v>204</v>
      </c>
      <c r="E344" s="8" t="s">
        <v>188</v>
      </c>
      <c r="F344" s="13" t="s">
        <v>297</v>
      </c>
      <c r="G344" s="46">
        <v>0.6</v>
      </c>
    </row>
    <row r="345" ht="15.75" customHeight="1">
      <c r="A345" s="43">
        <v>46378.0</v>
      </c>
      <c r="B345" s="43">
        <v>46384.0</v>
      </c>
      <c r="C345" s="44" t="s">
        <v>191</v>
      </c>
      <c r="D345" s="6" t="s">
        <v>202</v>
      </c>
      <c r="E345" s="8" t="s">
        <v>179</v>
      </c>
      <c r="F345" s="13" t="s">
        <v>264</v>
      </c>
      <c r="G345" s="46">
        <v>0.25</v>
      </c>
    </row>
    <row r="346" ht="15.75" customHeight="1"/>
    <row r="347" ht="15.75" customHeight="1">
      <c r="A347" s="42" t="s">
        <v>107</v>
      </c>
    </row>
    <row r="348" ht="15.75" customHeight="1">
      <c r="A348" s="63">
        <v>46013.0</v>
      </c>
      <c r="B348" s="63">
        <v>46029.0</v>
      </c>
      <c r="C348" s="64" t="s">
        <v>316</v>
      </c>
      <c r="D348" s="64" t="s">
        <v>204</v>
      </c>
      <c r="E348" s="65">
        <v>129.99</v>
      </c>
      <c r="F348" s="8">
        <f>E348*(1-G348)</f>
        <v>77.994</v>
      </c>
      <c r="G348" s="66">
        <v>0.4</v>
      </c>
    </row>
    <row r="349" ht="15.75" customHeight="1">
      <c r="A349" s="63">
        <v>46013.0</v>
      </c>
      <c r="B349" s="63">
        <v>46029.0</v>
      </c>
      <c r="C349" s="64" t="s">
        <v>316</v>
      </c>
      <c r="D349" s="64" t="s">
        <v>42</v>
      </c>
      <c r="E349" s="65" t="s">
        <v>4</v>
      </c>
      <c r="F349" s="8" t="s">
        <v>4</v>
      </c>
      <c r="G349" s="66">
        <v>0.2</v>
      </c>
    </row>
    <row r="350" ht="15.75" customHeight="1">
      <c r="A350" s="63">
        <v>46013.0</v>
      </c>
      <c r="B350" s="63">
        <v>46029.0</v>
      </c>
      <c r="C350" s="64" t="s">
        <v>316</v>
      </c>
      <c r="D350" s="64" t="s">
        <v>43</v>
      </c>
      <c r="E350" s="65" t="s">
        <v>4</v>
      </c>
      <c r="F350" s="8" t="s">
        <v>4</v>
      </c>
      <c r="G350" s="66">
        <v>0.25</v>
      </c>
    </row>
    <row r="351" ht="15.75" customHeight="1">
      <c r="A351" s="63">
        <v>46013.0</v>
      </c>
      <c r="B351" s="63">
        <v>46029.0</v>
      </c>
      <c r="C351" s="64" t="s">
        <v>316</v>
      </c>
      <c r="D351" s="64" t="s">
        <v>44</v>
      </c>
      <c r="E351" s="65">
        <v>69.99</v>
      </c>
      <c r="F351" s="8">
        <f t="shared" ref="F351:F352" si="10">E351*(1-G351)</f>
        <v>27.996</v>
      </c>
      <c r="G351" s="66">
        <v>0.6</v>
      </c>
    </row>
    <row r="352" ht="15.75" customHeight="1">
      <c r="A352" s="63">
        <v>46027.0</v>
      </c>
      <c r="B352" s="63">
        <v>46043.0</v>
      </c>
      <c r="C352" s="64" t="s">
        <v>317</v>
      </c>
      <c r="D352" s="64" t="s">
        <v>208</v>
      </c>
      <c r="E352" s="65">
        <v>99.99</v>
      </c>
      <c r="F352" s="8">
        <f t="shared" si="10"/>
        <v>39.996</v>
      </c>
      <c r="G352" s="66">
        <v>0.6</v>
      </c>
    </row>
    <row r="353" ht="15.75" customHeight="1">
      <c r="A353" s="63">
        <v>46027.0</v>
      </c>
      <c r="B353" s="63">
        <v>46043.0</v>
      </c>
      <c r="C353" s="64" t="s">
        <v>317</v>
      </c>
      <c r="D353" s="64" t="s">
        <v>202</v>
      </c>
      <c r="E353" s="65" t="s">
        <v>4</v>
      </c>
      <c r="F353" s="8" t="s">
        <v>4</v>
      </c>
      <c r="G353" s="66">
        <v>0.15</v>
      </c>
    </row>
    <row r="354" ht="15.75" customHeight="1">
      <c r="A354" s="63">
        <v>46057.0</v>
      </c>
      <c r="B354" s="63">
        <v>46078.0</v>
      </c>
      <c r="C354" s="64" t="s">
        <v>143</v>
      </c>
      <c r="D354" s="64" t="s">
        <v>204</v>
      </c>
      <c r="E354" s="65">
        <v>129.99</v>
      </c>
      <c r="F354" s="8">
        <f>E354*(1-G354)</f>
        <v>77.994</v>
      </c>
      <c r="G354" s="66">
        <v>0.4</v>
      </c>
    </row>
    <row r="355" ht="15.75" customHeight="1">
      <c r="A355" s="63">
        <v>46057.0</v>
      </c>
      <c r="B355" s="63">
        <v>46078.0</v>
      </c>
      <c r="C355" s="64" t="s">
        <v>143</v>
      </c>
      <c r="D355" s="64" t="s">
        <v>42</v>
      </c>
      <c r="E355" s="65" t="s">
        <v>4</v>
      </c>
      <c r="F355" s="8" t="s">
        <v>4</v>
      </c>
      <c r="G355" s="66">
        <v>0.2</v>
      </c>
    </row>
    <row r="356" ht="15.75" customHeight="1">
      <c r="A356" s="63">
        <v>46057.0</v>
      </c>
      <c r="B356" s="63">
        <v>46078.0</v>
      </c>
      <c r="C356" s="64" t="s">
        <v>143</v>
      </c>
      <c r="D356" s="64" t="s">
        <v>43</v>
      </c>
      <c r="E356" s="65" t="s">
        <v>4</v>
      </c>
      <c r="F356" s="8" t="s">
        <v>4</v>
      </c>
      <c r="G356" s="66">
        <v>0.25</v>
      </c>
    </row>
    <row r="357" ht="15.75" customHeight="1">
      <c r="A357" s="63">
        <v>46057.0</v>
      </c>
      <c r="B357" s="63">
        <v>46078.0</v>
      </c>
      <c r="C357" s="64" t="s">
        <v>143</v>
      </c>
      <c r="D357" s="64" t="s">
        <v>44</v>
      </c>
      <c r="E357" s="65">
        <v>69.99</v>
      </c>
      <c r="F357" s="8">
        <f t="shared" ref="F357:F358" si="11">E357*(1-G357)</f>
        <v>27.996</v>
      </c>
      <c r="G357" s="66">
        <v>0.6</v>
      </c>
    </row>
    <row r="358" ht="15.75" customHeight="1">
      <c r="A358" s="63">
        <v>46078.0</v>
      </c>
      <c r="B358" s="63">
        <v>46092.0</v>
      </c>
      <c r="C358" s="64" t="s">
        <v>144</v>
      </c>
      <c r="D358" s="64" t="s">
        <v>208</v>
      </c>
      <c r="E358" s="65">
        <v>99.99</v>
      </c>
      <c r="F358" s="8">
        <f t="shared" si="11"/>
        <v>39.996</v>
      </c>
      <c r="G358" s="66">
        <v>0.6</v>
      </c>
    </row>
    <row r="359" ht="15.75" customHeight="1">
      <c r="A359" s="63">
        <v>46078.0</v>
      </c>
      <c r="B359" s="63">
        <v>46092.0</v>
      </c>
      <c r="C359" s="64" t="s">
        <v>144</v>
      </c>
      <c r="D359" s="64" t="s">
        <v>202</v>
      </c>
      <c r="E359" s="65" t="s">
        <v>4</v>
      </c>
      <c r="F359" s="8" t="s">
        <v>4</v>
      </c>
      <c r="G359" s="66">
        <v>0.15</v>
      </c>
    </row>
    <row r="360" ht="15.75" customHeight="1">
      <c r="A360" s="63">
        <v>46101.0</v>
      </c>
      <c r="B360" s="63">
        <v>46105.0</v>
      </c>
      <c r="C360" s="64" t="s">
        <v>145</v>
      </c>
      <c r="D360" s="64" t="s">
        <v>204</v>
      </c>
      <c r="E360" s="65">
        <v>129.99</v>
      </c>
      <c r="F360" s="8">
        <f>E360*(1-G360)</f>
        <v>77.994</v>
      </c>
      <c r="G360" s="66">
        <v>0.4</v>
      </c>
    </row>
    <row r="361" ht="15.75" customHeight="1">
      <c r="A361" s="63">
        <v>46101.0</v>
      </c>
      <c r="B361" s="63">
        <v>46105.0</v>
      </c>
      <c r="C361" s="64" t="s">
        <v>145</v>
      </c>
      <c r="D361" s="64" t="s">
        <v>43</v>
      </c>
      <c r="E361" s="65" t="s">
        <v>4</v>
      </c>
      <c r="F361" s="8" t="s">
        <v>4</v>
      </c>
      <c r="G361" s="66">
        <v>0.25</v>
      </c>
    </row>
    <row r="362" ht="15.75" customHeight="1">
      <c r="A362" s="63">
        <v>46101.0</v>
      </c>
      <c r="B362" s="63">
        <v>46105.0</v>
      </c>
      <c r="C362" s="64" t="s">
        <v>145</v>
      </c>
      <c r="D362" s="64" t="s">
        <v>74</v>
      </c>
      <c r="E362" s="65" t="s">
        <v>4</v>
      </c>
      <c r="F362" s="8" t="s">
        <v>4</v>
      </c>
      <c r="G362" s="66">
        <v>0.0</v>
      </c>
    </row>
    <row r="363" ht="15.75" customHeight="1">
      <c r="A363" s="63">
        <v>46101.0</v>
      </c>
      <c r="B363" s="63">
        <v>46105.0</v>
      </c>
      <c r="C363" s="64" t="s">
        <v>145</v>
      </c>
      <c r="D363" s="64" t="s">
        <v>44</v>
      </c>
      <c r="E363" s="65">
        <v>69.99</v>
      </c>
      <c r="F363" s="8">
        <f t="shared" ref="F363:F364" si="12">E363*(1-G363)</f>
        <v>27.996</v>
      </c>
      <c r="G363" s="66">
        <v>0.6</v>
      </c>
    </row>
    <row r="364" ht="15.75" customHeight="1">
      <c r="A364" s="63">
        <v>46106.0</v>
      </c>
      <c r="B364" s="63">
        <v>46120.0</v>
      </c>
      <c r="C364" s="64" t="s">
        <v>146</v>
      </c>
      <c r="D364" s="64" t="s">
        <v>204</v>
      </c>
      <c r="E364" s="65">
        <v>129.99</v>
      </c>
      <c r="F364" s="8">
        <f t="shared" si="12"/>
        <v>77.994</v>
      </c>
      <c r="G364" s="66">
        <v>0.4</v>
      </c>
    </row>
    <row r="365" ht="15.75" customHeight="1">
      <c r="A365" s="63">
        <v>46106.0</v>
      </c>
      <c r="B365" s="63">
        <v>46120.0</v>
      </c>
      <c r="C365" s="64" t="s">
        <v>146</v>
      </c>
      <c r="D365" s="64" t="s">
        <v>42</v>
      </c>
      <c r="E365" s="65" t="s">
        <v>4</v>
      </c>
      <c r="F365" s="8" t="s">
        <v>4</v>
      </c>
      <c r="G365" s="66">
        <v>0.2</v>
      </c>
    </row>
    <row r="366" ht="15.75" customHeight="1">
      <c r="A366" s="63">
        <v>46106.0</v>
      </c>
      <c r="B366" s="63">
        <v>46120.0</v>
      </c>
      <c r="C366" s="64" t="s">
        <v>146</v>
      </c>
      <c r="D366" s="64" t="s">
        <v>43</v>
      </c>
      <c r="E366" s="65" t="s">
        <v>4</v>
      </c>
      <c r="F366" s="8" t="s">
        <v>4</v>
      </c>
      <c r="G366" s="66">
        <v>0.25</v>
      </c>
    </row>
    <row r="367" ht="15.75" customHeight="1">
      <c r="A367" s="63">
        <v>46106.0</v>
      </c>
      <c r="B367" s="63">
        <v>46120.0</v>
      </c>
      <c r="C367" s="64" t="s">
        <v>146</v>
      </c>
      <c r="D367" s="64" t="s">
        <v>74</v>
      </c>
      <c r="E367" s="65" t="s">
        <v>4</v>
      </c>
      <c r="F367" s="8" t="s">
        <v>4</v>
      </c>
      <c r="G367" s="66" t="s">
        <v>108</v>
      </c>
    </row>
    <row r="368" ht="15.75" customHeight="1">
      <c r="A368" s="63">
        <v>46106.0</v>
      </c>
      <c r="B368" s="63">
        <v>46120.0</v>
      </c>
      <c r="C368" s="64" t="s">
        <v>146</v>
      </c>
      <c r="D368" s="64" t="s">
        <v>44</v>
      </c>
      <c r="E368" s="65">
        <v>69.99</v>
      </c>
      <c r="F368" s="8">
        <f t="shared" ref="F368:F369" si="13">E368*(1-G368)</f>
        <v>27.996</v>
      </c>
      <c r="G368" s="66">
        <v>0.6</v>
      </c>
    </row>
    <row r="369" ht="15.75" customHeight="1">
      <c r="A369" s="63">
        <v>46120.0</v>
      </c>
      <c r="B369" s="63">
        <v>46134.0</v>
      </c>
      <c r="C369" s="64" t="s">
        <v>147</v>
      </c>
      <c r="D369" s="64" t="s">
        <v>208</v>
      </c>
      <c r="E369" s="65">
        <v>99.99</v>
      </c>
      <c r="F369" s="8">
        <f t="shared" si="13"/>
        <v>39.996</v>
      </c>
      <c r="G369" s="66">
        <v>0.6</v>
      </c>
    </row>
    <row r="370" ht="15.75" customHeight="1">
      <c r="A370" s="63">
        <v>46120.0</v>
      </c>
      <c r="B370" s="63">
        <v>46134.0</v>
      </c>
      <c r="C370" s="64" t="s">
        <v>147</v>
      </c>
      <c r="D370" s="64" t="s">
        <v>202</v>
      </c>
      <c r="E370" s="65" t="s">
        <v>4</v>
      </c>
      <c r="F370" s="8" t="s">
        <v>4</v>
      </c>
      <c r="G370" s="66">
        <v>0.15</v>
      </c>
    </row>
    <row r="371" ht="15.75" customHeight="1">
      <c r="A371" s="63">
        <v>46163.0</v>
      </c>
      <c r="B371" s="63">
        <v>46168.0</v>
      </c>
      <c r="C371" s="64" t="s">
        <v>333</v>
      </c>
      <c r="D371" s="64" t="s">
        <v>44</v>
      </c>
      <c r="E371" s="65">
        <v>69.99</v>
      </c>
      <c r="F371" s="8">
        <f t="shared" ref="F371:F372" si="14">E371*(1-G371)</f>
        <v>24.4965</v>
      </c>
      <c r="G371" s="66">
        <v>0.65</v>
      </c>
    </row>
    <row r="372" ht="15.75" customHeight="1">
      <c r="A372" s="45">
        <v>46163.0</v>
      </c>
      <c r="B372" s="45">
        <v>46168.0</v>
      </c>
      <c r="C372" s="13" t="s">
        <v>333</v>
      </c>
      <c r="D372" s="64" t="s">
        <v>204</v>
      </c>
      <c r="E372" s="65">
        <v>129.99</v>
      </c>
      <c r="F372" s="8">
        <f t="shared" si="14"/>
        <v>58.4955</v>
      </c>
      <c r="G372" s="68">
        <v>0.55</v>
      </c>
    </row>
    <row r="373" ht="15.75" customHeight="1">
      <c r="A373" s="45">
        <v>46163.0</v>
      </c>
      <c r="B373" s="45">
        <v>46168.0</v>
      </c>
      <c r="C373" s="13" t="s">
        <v>333</v>
      </c>
      <c r="D373" s="64" t="s">
        <v>42</v>
      </c>
      <c r="E373" s="65" t="s">
        <v>4</v>
      </c>
      <c r="F373" s="8" t="s">
        <v>4</v>
      </c>
      <c r="G373" s="68">
        <v>0.25</v>
      </c>
    </row>
    <row r="374" ht="15.75" customHeight="1">
      <c r="A374" s="45">
        <v>46163.0</v>
      </c>
      <c r="B374" s="45">
        <v>46168.0</v>
      </c>
      <c r="C374" s="13" t="s">
        <v>333</v>
      </c>
      <c r="D374" s="64" t="s">
        <v>43</v>
      </c>
      <c r="E374" s="65">
        <v>39.99</v>
      </c>
      <c r="F374" s="8">
        <f t="shared" ref="F374:F377" si="15">E374*(1-G374)</f>
        <v>27.993</v>
      </c>
      <c r="G374" s="68">
        <v>0.3</v>
      </c>
    </row>
    <row r="375" ht="15.75" customHeight="1">
      <c r="A375" s="45">
        <v>46163.0</v>
      </c>
      <c r="B375" s="45">
        <v>46168.0</v>
      </c>
      <c r="C375" s="13" t="s">
        <v>333</v>
      </c>
      <c r="D375" s="64" t="s">
        <v>74</v>
      </c>
      <c r="E375" s="65">
        <v>39.99</v>
      </c>
      <c r="F375" s="8">
        <f t="shared" si="15"/>
        <v>29.9925</v>
      </c>
      <c r="G375" s="68">
        <v>0.25</v>
      </c>
    </row>
    <row r="376" ht="15.75" customHeight="1">
      <c r="A376" s="45">
        <v>46169.0</v>
      </c>
      <c r="B376" s="45">
        <v>46183.0</v>
      </c>
      <c r="C376" s="13" t="s">
        <v>151</v>
      </c>
      <c r="D376" s="64" t="s">
        <v>44</v>
      </c>
      <c r="E376" s="65">
        <v>69.99</v>
      </c>
      <c r="F376" s="8">
        <f t="shared" si="15"/>
        <v>24.4965</v>
      </c>
      <c r="G376" s="66">
        <v>0.65</v>
      </c>
    </row>
    <row r="377" ht="15.75" customHeight="1">
      <c r="A377" s="45">
        <v>46169.0</v>
      </c>
      <c r="B377" s="45">
        <v>46183.0</v>
      </c>
      <c r="C377" s="13" t="s">
        <v>151</v>
      </c>
      <c r="D377" s="64" t="s">
        <v>204</v>
      </c>
      <c r="E377" s="65">
        <v>129.99</v>
      </c>
      <c r="F377" s="8">
        <f t="shared" si="15"/>
        <v>58.4955</v>
      </c>
      <c r="G377" s="66">
        <v>0.55</v>
      </c>
    </row>
    <row r="378" ht="15.75" customHeight="1">
      <c r="A378" s="45">
        <v>46169.0</v>
      </c>
      <c r="B378" s="45">
        <v>46183.0</v>
      </c>
      <c r="C378" s="13" t="s">
        <v>151</v>
      </c>
      <c r="D378" s="64" t="s">
        <v>42</v>
      </c>
      <c r="E378" s="65" t="s">
        <v>4</v>
      </c>
      <c r="F378" s="8" t="s">
        <v>4</v>
      </c>
      <c r="G378" s="66">
        <v>0.25</v>
      </c>
    </row>
    <row r="379" ht="15.75" customHeight="1">
      <c r="A379" s="45">
        <v>46169.0</v>
      </c>
      <c r="B379" s="45">
        <v>46183.0</v>
      </c>
      <c r="C379" s="13" t="s">
        <v>151</v>
      </c>
      <c r="D379" s="64" t="s">
        <v>43</v>
      </c>
      <c r="E379" s="65">
        <v>39.99</v>
      </c>
      <c r="F379" s="8">
        <f t="shared" ref="F379:F382" si="16">E379*(1-G379)</f>
        <v>27.993</v>
      </c>
      <c r="G379" s="66">
        <v>0.3</v>
      </c>
    </row>
    <row r="380" ht="15.75" customHeight="1">
      <c r="A380" s="45">
        <v>46169.0</v>
      </c>
      <c r="B380" s="45">
        <v>46183.0</v>
      </c>
      <c r="C380" s="13" t="s">
        <v>151</v>
      </c>
      <c r="D380" s="64" t="s">
        <v>74</v>
      </c>
      <c r="E380" s="65">
        <v>39.99</v>
      </c>
      <c r="F380" s="8">
        <f t="shared" si="16"/>
        <v>29.9925</v>
      </c>
      <c r="G380" s="66">
        <v>0.25</v>
      </c>
    </row>
    <row r="381" ht="15.75" customHeight="1">
      <c r="A381" s="45">
        <v>46190.0</v>
      </c>
      <c r="B381" s="45">
        <v>46204.0</v>
      </c>
      <c r="C381" s="13" t="s">
        <v>357</v>
      </c>
      <c r="D381" s="64" t="s">
        <v>208</v>
      </c>
      <c r="E381" s="65">
        <v>99.99</v>
      </c>
      <c r="F381" s="8">
        <f t="shared" si="16"/>
        <v>29.997</v>
      </c>
      <c r="G381" s="68">
        <v>0.7</v>
      </c>
    </row>
    <row r="382" ht="15.75" customHeight="1">
      <c r="A382" s="45">
        <v>46190.0</v>
      </c>
      <c r="B382" s="45">
        <v>46204.0</v>
      </c>
      <c r="C382" s="13" t="s">
        <v>357</v>
      </c>
      <c r="D382" s="64" t="s">
        <v>202</v>
      </c>
      <c r="E382" s="65">
        <v>69.99</v>
      </c>
      <c r="F382" s="8">
        <f t="shared" si="16"/>
        <v>55.992</v>
      </c>
      <c r="G382" s="66">
        <v>0.2</v>
      </c>
    </row>
    <row r="383" ht="15.75" customHeight="1">
      <c r="A383" s="45">
        <v>46218.0</v>
      </c>
      <c r="B383" s="45">
        <v>46232.0</v>
      </c>
      <c r="C383" s="13" t="s">
        <v>113</v>
      </c>
      <c r="D383" s="64" t="s">
        <v>42</v>
      </c>
      <c r="E383" s="65" t="s">
        <v>4</v>
      </c>
      <c r="F383" s="8" t="s">
        <v>4</v>
      </c>
      <c r="G383" s="68">
        <v>0.25</v>
      </c>
    </row>
    <row r="384" ht="15.75" customHeight="1">
      <c r="A384" s="45">
        <v>46218.0</v>
      </c>
      <c r="B384" s="45">
        <v>46232.0</v>
      </c>
      <c r="C384" s="13" t="s">
        <v>113</v>
      </c>
      <c r="D384" s="64" t="s">
        <v>43</v>
      </c>
      <c r="E384" s="65">
        <v>39.99</v>
      </c>
      <c r="F384" s="8">
        <f t="shared" ref="F384:F387" si="17">E384*(1-G384)</f>
        <v>27.993</v>
      </c>
      <c r="G384" s="68">
        <v>0.3</v>
      </c>
    </row>
    <row r="385" ht="15.75" customHeight="1">
      <c r="A385" s="45">
        <v>46218.0</v>
      </c>
      <c r="B385" s="45">
        <v>46232.0</v>
      </c>
      <c r="C385" s="13" t="s">
        <v>113</v>
      </c>
      <c r="D385" s="64" t="s">
        <v>74</v>
      </c>
      <c r="E385" s="65">
        <v>39.99</v>
      </c>
      <c r="F385" s="8">
        <f t="shared" si="17"/>
        <v>29.9925</v>
      </c>
      <c r="G385" s="68">
        <v>0.25</v>
      </c>
    </row>
    <row r="386" ht="15.75" customHeight="1">
      <c r="A386" s="45">
        <v>46213.0</v>
      </c>
      <c r="B386" s="45">
        <v>46232.0</v>
      </c>
      <c r="C386" s="13" t="s">
        <v>113</v>
      </c>
      <c r="D386" s="64" t="s">
        <v>44</v>
      </c>
      <c r="E386" s="65">
        <v>69.99</v>
      </c>
      <c r="F386" s="8">
        <f t="shared" si="17"/>
        <v>20.997</v>
      </c>
      <c r="G386" s="66">
        <v>0.7</v>
      </c>
    </row>
    <row r="387" ht="15.75" customHeight="1">
      <c r="A387" s="47">
        <v>46230.0</v>
      </c>
      <c r="B387" s="47">
        <v>46246.0</v>
      </c>
      <c r="C387" s="48" t="s">
        <v>118</v>
      </c>
      <c r="D387" s="69" t="s">
        <v>208</v>
      </c>
      <c r="E387" s="70">
        <v>99.99</v>
      </c>
      <c r="F387" s="50">
        <f t="shared" si="17"/>
        <v>39.996</v>
      </c>
      <c r="G387" s="71">
        <v>0.6</v>
      </c>
    </row>
    <row r="388" ht="15.75" customHeight="1">
      <c r="A388" s="47">
        <v>46230.0</v>
      </c>
      <c r="B388" s="47">
        <v>46246.0</v>
      </c>
      <c r="C388" s="48" t="s">
        <v>118</v>
      </c>
      <c r="D388" s="64" t="s">
        <v>202</v>
      </c>
      <c r="E388" s="65" t="s">
        <v>4</v>
      </c>
      <c r="F388" s="8" t="s">
        <v>4</v>
      </c>
      <c r="G388" s="66">
        <v>0.15</v>
      </c>
    </row>
    <row r="389" ht="15.75" customHeight="1">
      <c r="A389" s="47">
        <v>46230.0</v>
      </c>
      <c r="B389" s="47">
        <v>46246.0</v>
      </c>
      <c r="C389" s="48" t="s">
        <v>118</v>
      </c>
      <c r="D389" s="69" t="s">
        <v>204</v>
      </c>
      <c r="E389" s="70">
        <v>129.99</v>
      </c>
      <c r="F389" s="50">
        <f t="shared" ref="F389:F390" si="18">E389*(1-G389)</f>
        <v>58.4955</v>
      </c>
      <c r="G389" s="71">
        <v>0.55</v>
      </c>
    </row>
    <row r="390" ht="15.75" customHeight="1">
      <c r="A390" s="45">
        <v>46260.0</v>
      </c>
      <c r="B390" s="45">
        <v>46274.0</v>
      </c>
      <c r="C390" s="13" t="s">
        <v>121</v>
      </c>
      <c r="D390" s="64" t="s">
        <v>44</v>
      </c>
      <c r="E390" s="65">
        <v>69.99</v>
      </c>
      <c r="F390" s="8">
        <f t="shared" si="18"/>
        <v>20.997</v>
      </c>
      <c r="G390" s="66">
        <v>0.7</v>
      </c>
    </row>
    <row r="391" ht="15.75" customHeight="1">
      <c r="A391" s="45">
        <v>46260.0</v>
      </c>
      <c r="B391" s="45">
        <v>46274.0</v>
      </c>
      <c r="C391" s="13" t="s">
        <v>121</v>
      </c>
      <c r="D391" s="64" t="s">
        <v>42</v>
      </c>
      <c r="E391" s="65" t="s">
        <v>4</v>
      </c>
      <c r="F391" s="8" t="s">
        <v>4</v>
      </c>
      <c r="G391" s="72">
        <v>0.25</v>
      </c>
    </row>
    <row r="392" ht="15.75" customHeight="1">
      <c r="A392" s="45">
        <v>46260.0</v>
      </c>
      <c r="B392" s="45">
        <v>46274.0</v>
      </c>
      <c r="C392" s="13" t="s">
        <v>121</v>
      </c>
      <c r="D392" s="64" t="s">
        <v>43</v>
      </c>
      <c r="E392" s="65">
        <v>39.99</v>
      </c>
      <c r="F392" s="8">
        <f t="shared" ref="F392:F397" si="19">E392*(1-G392)</f>
        <v>27.993</v>
      </c>
      <c r="G392" s="66">
        <v>0.3</v>
      </c>
    </row>
    <row r="393" ht="15.75" customHeight="1">
      <c r="A393" s="45">
        <v>46260.0</v>
      </c>
      <c r="B393" s="45">
        <v>46274.0</v>
      </c>
      <c r="C393" s="13" t="s">
        <v>121</v>
      </c>
      <c r="D393" s="64" t="s">
        <v>74</v>
      </c>
      <c r="E393" s="65">
        <v>39.99</v>
      </c>
      <c r="F393" s="8">
        <f t="shared" si="19"/>
        <v>29.9925</v>
      </c>
      <c r="G393" s="66">
        <v>0.25</v>
      </c>
    </row>
    <row r="394" ht="15.75" customHeight="1">
      <c r="A394" s="45">
        <v>46274.0</v>
      </c>
      <c r="B394" s="45">
        <v>46288.0</v>
      </c>
      <c r="C394" s="13" t="s">
        <v>123</v>
      </c>
      <c r="D394" s="64" t="s">
        <v>208</v>
      </c>
      <c r="E394" s="65">
        <v>99.99</v>
      </c>
      <c r="F394" s="8">
        <f t="shared" si="19"/>
        <v>29.997</v>
      </c>
      <c r="G394" s="66">
        <v>0.7</v>
      </c>
    </row>
    <row r="395" ht="15.75" customHeight="1">
      <c r="A395" s="45">
        <v>46274.0</v>
      </c>
      <c r="B395" s="45">
        <v>46288.0</v>
      </c>
      <c r="C395" s="13" t="s">
        <v>123</v>
      </c>
      <c r="D395" s="64" t="s">
        <v>204</v>
      </c>
      <c r="E395" s="65">
        <v>129.99</v>
      </c>
      <c r="F395" s="8">
        <f t="shared" si="19"/>
        <v>58.4955</v>
      </c>
      <c r="G395" s="66">
        <v>0.55</v>
      </c>
    </row>
    <row r="396" ht="15.75" customHeight="1">
      <c r="A396" s="45">
        <v>46274.0</v>
      </c>
      <c r="B396" s="45">
        <v>46288.0</v>
      </c>
      <c r="C396" s="13" t="s">
        <v>123</v>
      </c>
      <c r="D396" s="64" t="s">
        <v>202</v>
      </c>
      <c r="E396" s="65">
        <v>69.99</v>
      </c>
      <c r="F396" s="8">
        <f t="shared" si="19"/>
        <v>55.992</v>
      </c>
      <c r="G396" s="66">
        <v>0.2</v>
      </c>
    </row>
    <row r="397" ht="15.75" customHeight="1">
      <c r="A397" s="13" t="s">
        <v>108</v>
      </c>
      <c r="B397" s="13" t="s">
        <v>108</v>
      </c>
      <c r="C397" s="13" t="s">
        <v>108</v>
      </c>
      <c r="D397" s="64" t="s">
        <v>44</v>
      </c>
      <c r="E397" s="65">
        <v>69.99</v>
      </c>
      <c r="F397" s="8">
        <f t="shared" si="19"/>
        <v>20.997</v>
      </c>
      <c r="G397" s="66">
        <v>0.7</v>
      </c>
    </row>
    <row r="398" ht="15.75" customHeight="1">
      <c r="A398" s="13" t="s">
        <v>108</v>
      </c>
      <c r="B398" s="13" t="s">
        <v>108</v>
      </c>
      <c r="C398" s="13" t="s">
        <v>108</v>
      </c>
      <c r="D398" s="64" t="s">
        <v>42</v>
      </c>
      <c r="E398" s="65" t="s">
        <v>4</v>
      </c>
      <c r="F398" s="8" t="s">
        <v>4</v>
      </c>
      <c r="G398" s="66">
        <v>0.25</v>
      </c>
    </row>
    <row r="399" ht="15.75" customHeight="1">
      <c r="A399" s="13" t="s">
        <v>108</v>
      </c>
      <c r="B399" s="13" t="s">
        <v>108</v>
      </c>
      <c r="C399" s="13" t="s">
        <v>108</v>
      </c>
      <c r="D399" s="64" t="s">
        <v>43</v>
      </c>
      <c r="E399" s="65">
        <v>39.99</v>
      </c>
      <c r="F399" s="8">
        <f t="shared" ref="F399:F400" si="20">E399*(1-G399)</f>
        <v>27.993</v>
      </c>
      <c r="G399" s="66">
        <v>0.3</v>
      </c>
    </row>
    <row r="400" ht="15.75" customHeight="1">
      <c r="A400" s="13" t="s">
        <v>108</v>
      </c>
      <c r="B400" s="13" t="s">
        <v>108</v>
      </c>
      <c r="C400" s="13" t="s">
        <v>108</v>
      </c>
      <c r="D400" s="64" t="s">
        <v>74</v>
      </c>
      <c r="E400" s="65">
        <v>39.99</v>
      </c>
      <c r="F400" s="8">
        <f t="shared" si="20"/>
        <v>29.9925</v>
      </c>
      <c r="G400" s="66">
        <v>0.25</v>
      </c>
    </row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G1"/>
    <mergeCell ref="A3:G3"/>
    <mergeCell ref="A200:G200"/>
    <mergeCell ref="A347:G347"/>
  </mergeCells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75"/>
    <col customWidth="1" min="2" max="2" width="7.88"/>
    <col customWidth="1" min="3" max="3" width="31.5"/>
    <col customWidth="1" min="4" max="4" width="27.0"/>
    <col customWidth="1" min="5" max="5" width="15.75"/>
    <col customWidth="1" min="6" max="6" width="15.0"/>
    <col customWidth="1" min="7" max="7" width="9.38"/>
  </cols>
  <sheetData>
    <row r="1" ht="15.75" customHeight="1">
      <c r="A1" s="2">
        <v>2026.0</v>
      </c>
    </row>
    <row r="2" ht="15.75" customHeight="1">
      <c r="A2" s="4" t="s">
        <v>2</v>
      </c>
      <c r="B2" s="4" t="s">
        <v>6</v>
      </c>
      <c r="C2" s="4" t="s">
        <v>7</v>
      </c>
      <c r="D2" s="4" t="s">
        <v>8</v>
      </c>
      <c r="E2" s="7" t="s">
        <v>9</v>
      </c>
      <c r="F2" s="7" t="s">
        <v>10</v>
      </c>
      <c r="G2" s="7" t="s">
        <v>11</v>
      </c>
    </row>
    <row r="3" ht="15.75" customHeight="1">
      <c r="A3" s="9" t="s">
        <v>14</v>
      </c>
    </row>
    <row r="4" ht="15.75" customHeight="1">
      <c r="A4" s="11">
        <v>46030.0</v>
      </c>
      <c r="B4" s="12">
        <v>46044.0</v>
      </c>
      <c r="C4" s="1" t="s">
        <v>27</v>
      </c>
      <c r="D4" s="6" t="s">
        <v>31</v>
      </c>
      <c r="E4" s="14">
        <v>39.99</v>
      </c>
      <c r="F4" s="15">
        <f t="shared" ref="F4:F6" si="1">E4*(1-G4)</f>
        <v>27.993</v>
      </c>
      <c r="G4" s="16">
        <v>0.3</v>
      </c>
    </row>
    <row r="5" ht="15.75" customHeight="1">
      <c r="A5" s="11">
        <v>46030.0</v>
      </c>
      <c r="B5" s="12">
        <v>46044.0</v>
      </c>
      <c r="C5" s="1" t="s">
        <v>27</v>
      </c>
      <c r="D5" s="6" t="s">
        <v>46</v>
      </c>
      <c r="E5" s="14">
        <v>49.99</v>
      </c>
      <c r="F5" s="15">
        <f t="shared" si="1"/>
        <v>32.4935</v>
      </c>
      <c r="G5" s="16">
        <v>0.35</v>
      </c>
    </row>
    <row r="6" ht="15.75" customHeight="1">
      <c r="A6" s="11">
        <v>46030.0</v>
      </c>
      <c r="B6" s="12">
        <v>46044.0</v>
      </c>
      <c r="C6" s="1" t="s">
        <v>27</v>
      </c>
      <c r="D6" s="6" t="s">
        <v>48</v>
      </c>
      <c r="E6" s="14">
        <v>14.99</v>
      </c>
      <c r="F6" s="15">
        <f t="shared" si="1"/>
        <v>14.99</v>
      </c>
      <c r="G6" s="16">
        <v>0.0</v>
      </c>
    </row>
    <row r="7" ht="15.75" customHeight="1"/>
    <row r="8" ht="15.75" customHeight="1">
      <c r="A8" s="11">
        <v>46074.0</v>
      </c>
      <c r="B8" s="12">
        <v>46088.0</v>
      </c>
      <c r="C8" s="1" t="s">
        <v>27</v>
      </c>
      <c r="D8" s="18" t="s">
        <v>31</v>
      </c>
      <c r="E8" s="14">
        <v>39.99</v>
      </c>
      <c r="F8" s="15">
        <f t="shared" ref="F8:F10" si="2">E8*(1-G8)</f>
        <v>25.9935</v>
      </c>
      <c r="G8" s="16">
        <v>0.35</v>
      </c>
      <c r="H8" s="5" t="s">
        <v>51</v>
      </c>
    </row>
    <row r="9" ht="15.75" customHeight="1">
      <c r="A9" s="11">
        <v>46074.0</v>
      </c>
      <c r="B9" s="12">
        <v>46088.0</v>
      </c>
      <c r="C9" s="1" t="s">
        <v>27</v>
      </c>
      <c r="D9" s="18" t="s">
        <v>46</v>
      </c>
      <c r="E9" s="14">
        <v>49.99</v>
      </c>
      <c r="F9" s="15">
        <f t="shared" si="2"/>
        <v>29.994</v>
      </c>
      <c r="G9" s="16">
        <v>0.4</v>
      </c>
      <c r="H9" s="5" t="s">
        <v>51</v>
      </c>
    </row>
    <row r="10" ht="15.75" customHeight="1">
      <c r="A10" s="11">
        <v>46074.0</v>
      </c>
      <c r="B10" s="12">
        <v>46088.0</v>
      </c>
      <c r="C10" s="1" t="s">
        <v>27</v>
      </c>
      <c r="D10" s="6" t="s">
        <v>48</v>
      </c>
      <c r="E10" s="14">
        <v>14.99</v>
      </c>
      <c r="F10" s="15">
        <f t="shared" si="2"/>
        <v>14.99</v>
      </c>
      <c r="G10" s="16">
        <v>0.0</v>
      </c>
      <c r="H10" s="5" t="s">
        <v>51</v>
      </c>
    </row>
    <row r="11" ht="15.75" customHeight="1"/>
    <row r="12" ht="15.75" customHeight="1">
      <c r="A12" s="11">
        <v>46100.0</v>
      </c>
      <c r="B12" s="12">
        <v>46107.0</v>
      </c>
      <c r="C12" s="1" t="s">
        <v>54</v>
      </c>
      <c r="D12" s="6" t="s">
        <v>31</v>
      </c>
      <c r="E12" s="14">
        <v>39.99</v>
      </c>
      <c r="F12" s="15">
        <f t="shared" ref="F12:F14" si="3">E12*(1-G12)</f>
        <v>25.9935</v>
      </c>
      <c r="G12" s="16">
        <v>0.35</v>
      </c>
    </row>
    <row r="13" ht="15.75" customHeight="1">
      <c r="A13" s="11">
        <v>46100.0</v>
      </c>
      <c r="B13" s="12">
        <v>46107.0</v>
      </c>
      <c r="C13" s="1" t="s">
        <v>54</v>
      </c>
      <c r="D13" s="6" t="s">
        <v>46</v>
      </c>
      <c r="E13" s="14">
        <v>49.99</v>
      </c>
      <c r="F13" s="15">
        <f t="shared" si="3"/>
        <v>29.994</v>
      </c>
      <c r="G13" s="16">
        <v>0.4</v>
      </c>
    </row>
    <row r="14" ht="15.75" customHeight="1">
      <c r="A14" s="11">
        <v>46100.0</v>
      </c>
      <c r="B14" s="12">
        <v>46107.0</v>
      </c>
      <c r="C14" s="1" t="s">
        <v>54</v>
      </c>
      <c r="D14" s="18" t="s">
        <v>48</v>
      </c>
      <c r="E14" s="14">
        <v>14.99</v>
      </c>
      <c r="F14" s="15">
        <f t="shared" si="3"/>
        <v>11.992</v>
      </c>
      <c r="G14" s="16">
        <v>0.2</v>
      </c>
    </row>
    <row r="15" ht="15.75" customHeight="1"/>
    <row r="16" ht="15.75" customHeight="1">
      <c r="A16" s="11">
        <v>46118.0</v>
      </c>
      <c r="B16" s="12">
        <v>46132.0</v>
      </c>
      <c r="C16" s="1" t="s">
        <v>27</v>
      </c>
      <c r="D16" s="6" t="s">
        <v>31</v>
      </c>
      <c r="E16" s="14">
        <v>39.99</v>
      </c>
      <c r="F16" s="15">
        <f t="shared" ref="F16:F20" si="4">E16*(1-G16)</f>
        <v>25.9935</v>
      </c>
      <c r="G16" s="16">
        <v>0.35</v>
      </c>
    </row>
    <row r="17" ht="15.75" customHeight="1">
      <c r="A17" s="11">
        <v>46118.0</v>
      </c>
      <c r="B17" s="12">
        <v>46132.0</v>
      </c>
      <c r="C17" s="1" t="s">
        <v>27</v>
      </c>
      <c r="D17" s="6" t="s">
        <v>62</v>
      </c>
      <c r="E17" s="14">
        <v>59.99</v>
      </c>
      <c r="F17" s="15">
        <f t="shared" si="4"/>
        <v>59.99</v>
      </c>
      <c r="G17" s="16">
        <v>0.0</v>
      </c>
    </row>
    <row r="18" ht="15.75" customHeight="1">
      <c r="A18" s="11">
        <v>46118.0</v>
      </c>
      <c r="B18" s="12">
        <v>46132.0</v>
      </c>
      <c r="C18" s="1" t="s">
        <v>27</v>
      </c>
      <c r="D18" s="6" t="s">
        <v>64</v>
      </c>
      <c r="E18" s="14">
        <v>24.99</v>
      </c>
      <c r="F18" s="15">
        <f t="shared" si="4"/>
        <v>24.99</v>
      </c>
      <c r="G18" s="16">
        <v>0.0</v>
      </c>
    </row>
    <row r="19" ht="15.75" customHeight="1">
      <c r="A19" s="11">
        <v>46118.0</v>
      </c>
      <c r="B19" s="12">
        <v>46132.0</v>
      </c>
      <c r="C19" s="1" t="s">
        <v>27</v>
      </c>
      <c r="D19" s="6" t="s">
        <v>48</v>
      </c>
      <c r="E19" s="14">
        <v>14.99</v>
      </c>
      <c r="F19" s="15">
        <f t="shared" si="4"/>
        <v>14.99</v>
      </c>
      <c r="G19" s="16">
        <v>0.0</v>
      </c>
    </row>
    <row r="20" ht="15.75" customHeight="1">
      <c r="A20" s="11">
        <v>46118.0</v>
      </c>
      <c r="B20" s="12">
        <v>46132.0</v>
      </c>
      <c r="C20" s="1" t="s">
        <v>27</v>
      </c>
      <c r="D20" s="6" t="s">
        <v>68</v>
      </c>
      <c r="E20" s="14">
        <v>14.99</v>
      </c>
      <c r="F20" s="15">
        <f t="shared" si="4"/>
        <v>14.99</v>
      </c>
      <c r="G20" s="16">
        <v>0.0</v>
      </c>
    </row>
    <row r="21" ht="15.75" customHeight="1"/>
    <row r="22" ht="15.75" customHeight="1">
      <c r="A22" s="11">
        <v>46162.0</v>
      </c>
      <c r="B22" s="12">
        <v>46176.0</v>
      </c>
      <c r="C22" s="1" t="s">
        <v>27</v>
      </c>
      <c r="D22" s="6" t="s">
        <v>31</v>
      </c>
      <c r="E22" s="14">
        <v>39.99</v>
      </c>
      <c r="F22" s="15">
        <f t="shared" ref="F22:F26" si="5">E22*(1-G22)</f>
        <v>23.994</v>
      </c>
      <c r="G22" s="23">
        <v>0.4</v>
      </c>
    </row>
    <row r="23" ht="15.75" customHeight="1">
      <c r="A23" s="11">
        <v>46162.0</v>
      </c>
      <c r="B23" s="12">
        <v>46176.0</v>
      </c>
      <c r="C23" s="1" t="s">
        <v>27</v>
      </c>
      <c r="D23" s="6" t="s">
        <v>62</v>
      </c>
      <c r="E23" s="14">
        <v>59.99</v>
      </c>
      <c r="F23" s="15">
        <f t="shared" si="5"/>
        <v>44.9925</v>
      </c>
      <c r="G23" s="23">
        <v>0.25</v>
      </c>
    </row>
    <row r="24" ht="15.75" customHeight="1">
      <c r="A24" s="11">
        <v>46162.0</v>
      </c>
      <c r="B24" s="12">
        <v>46176.0</v>
      </c>
      <c r="C24" s="1" t="s">
        <v>27</v>
      </c>
      <c r="D24" s="6" t="s">
        <v>64</v>
      </c>
      <c r="E24" s="14">
        <v>24.99</v>
      </c>
      <c r="F24" s="15">
        <f t="shared" si="5"/>
        <v>24.99</v>
      </c>
      <c r="G24" s="16">
        <v>0.0</v>
      </c>
    </row>
    <row r="25" ht="15.75" customHeight="1">
      <c r="A25" s="11">
        <v>46162.0</v>
      </c>
      <c r="B25" s="12">
        <v>46176.0</v>
      </c>
      <c r="C25" s="1" t="s">
        <v>27</v>
      </c>
      <c r="D25" s="6" t="s">
        <v>48</v>
      </c>
      <c r="E25" s="14">
        <v>14.99</v>
      </c>
      <c r="F25" s="15">
        <f t="shared" si="5"/>
        <v>11.992</v>
      </c>
      <c r="G25" s="23">
        <v>0.2</v>
      </c>
    </row>
    <row r="26" ht="15.75" customHeight="1">
      <c r="A26" s="11">
        <v>46162.0</v>
      </c>
      <c r="B26" s="12">
        <v>46176.0</v>
      </c>
      <c r="C26" s="1" t="s">
        <v>27</v>
      </c>
      <c r="D26" s="6" t="s">
        <v>68</v>
      </c>
      <c r="E26" s="14">
        <v>14.99</v>
      </c>
      <c r="F26" s="15">
        <f t="shared" si="5"/>
        <v>14.99</v>
      </c>
      <c r="G26" s="16">
        <v>0.0</v>
      </c>
    </row>
    <row r="27" ht="15.75" customHeight="1"/>
    <row r="28" ht="15.75" customHeight="1"/>
    <row r="29" ht="15.75" customHeight="1">
      <c r="A29" s="11">
        <v>46198.0</v>
      </c>
      <c r="B29" s="12">
        <v>46212.0</v>
      </c>
      <c r="C29" s="1" t="s">
        <v>56</v>
      </c>
      <c r="D29" s="6" t="s">
        <v>31</v>
      </c>
      <c r="E29" s="14">
        <v>39.99</v>
      </c>
      <c r="F29" s="15">
        <f t="shared" ref="F29:F33" si="6">E29*(1-G29)</f>
        <v>23.994</v>
      </c>
      <c r="G29" s="16">
        <v>0.4</v>
      </c>
    </row>
    <row r="30" ht="15.75" customHeight="1">
      <c r="A30" s="11">
        <v>46198.0</v>
      </c>
      <c r="B30" s="12">
        <v>46212.0</v>
      </c>
      <c r="C30" s="1" t="s">
        <v>56</v>
      </c>
      <c r="D30" s="6" t="s">
        <v>62</v>
      </c>
      <c r="E30" s="14">
        <v>59.99</v>
      </c>
      <c r="F30" s="15">
        <f t="shared" si="6"/>
        <v>41.993</v>
      </c>
      <c r="G30" s="23">
        <v>0.3</v>
      </c>
    </row>
    <row r="31" ht="15.75" customHeight="1">
      <c r="A31" s="11">
        <v>46198.0</v>
      </c>
      <c r="B31" s="12">
        <v>46212.0</v>
      </c>
      <c r="C31" s="1" t="s">
        <v>56</v>
      </c>
      <c r="D31" s="6" t="s">
        <v>64</v>
      </c>
      <c r="E31" s="14">
        <v>24.99</v>
      </c>
      <c r="F31" s="15">
        <f t="shared" si="6"/>
        <v>19.992</v>
      </c>
      <c r="G31" s="23">
        <v>0.2</v>
      </c>
    </row>
    <row r="32" ht="15.75" customHeight="1">
      <c r="A32" s="11">
        <v>46198.0</v>
      </c>
      <c r="B32" s="12">
        <v>46212.0</v>
      </c>
      <c r="C32" s="1" t="s">
        <v>56</v>
      </c>
      <c r="D32" s="6" t="s">
        <v>48</v>
      </c>
      <c r="E32" s="14">
        <v>14.99</v>
      </c>
      <c r="F32" s="15">
        <f t="shared" si="6"/>
        <v>11.992</v>
      </c>
      <c r="G32" s="16">
        <v>0.2</v>
      </c>
    </row>
    <row r="33" ht="15.75" customHeight="1">
      <c r="A33" s="11">
        <v>46198.0</v>
      </c>
      <c r="B33" s="12">
        <v>46212.0</v>
      </c>
      <c r="C33" s="1" t="s">
        <v>56</v>
      </c>
      <c r="D33" s="6" t="s">
        <v>68</v>
      </c>
      <c r="E33" s="14">
        <v>14.99</v>
      </c>
      <c r="F33" s="15">
        <f t="shared" si="6"/>
        <v>14.99</v>
      </c>
      <c r="G33" s="16">
        <v>0.0</v>
      </c>
    </row>
    <row r="34" ht="15.75" customHeight="1">
      <c r="A34" s="24"/>
      <c r="B34" s="25"/>
      <c r="C34" s="26"/>
      <c r="D34" s="27"/>
      <c r="E34" s="28"/>
      <c r="F34" s="29"/>
      <c r="G34" s="30"/>
    </row>
    <row r="35" ht="15.75" customHeight="1">
      <c r="A35" s="11">
        <v>46219.0</v>
      </c>
      <c r="B35" s="12">
        <v>46233.0</v>
      </c>
      <c r="C35" s="1" t="s">
        <v>27</v>
      </c>
      <c r="D35" s="6" t="s">
        <v>31</v>
      </c>
      <c r="E35" s="14">
        <v>39.99</v>
      </c>
      <c r="F35" s="15">
        <f t="shared" ref="F35:F39" si="7">E35*(1-G35)</f>
        <v>23.994</v>
      </c>
      <c r="G35" s="31">
        <v>0.4</v>
      </c>
    </row>
    <row r="36" ht="15.75" customHeight="1">
      <c r="A36" s="11">
        <v>46219.0</v>
      </c>
      <c r="B36" s="12">
        <v>46233.0</v>
      </c>
      <c r="C36" s="1" t="s">
        <v>27</v>
      </c>
      <c r="D36" s="6" t="s">
        <v>62</v>
      </c>
      <c r="E36" s="14">
        <v>59.99</v>
      </c>
      <c r="F36" s="15">
        <f t="shared" si="7"/>
        <v>41.993</v>
      </c>
      <c r="G36" s="31">
        <v>0.3</v>
      </c>
    </row>
    <row r="37" ht="15.75" customHeight="1">
      <c r="A37" s="11">
        <v>46219.0</v>
      </c>
      <c r="B37" s="12">
        <v>46233.0</v>
      </c>
      <c r="C37" s="1" t="s">
        <v>27</v>
      </c>
      <c r="D37" s="6" t="s">
        <v>64</v>
      </c>
      <c r="E37" s="14">
        <v>24.99</v>
      </c>
      <c r="F37" s="15">
        <f t="shared" si="7"/>
        <v>19.992</v>
      </c>
      <c r="G37" s="31">
        <v>0.2</v>
      </c>
    </row>
    <row r="38" ht="15.75" customHeight="1">
      <c r="A38" s="11">
        <v>46219.0</v>
      </c>
      <c r="B38" s="12">
        <v>46233.0</v>
      </c>
      <c r="C38" s="1" t="s">
        <v>27</v>
      </c>
      <c r="D38" s="6" t="s">
        <v>48</v>
      </c>
      <c r="E38" s="14">
        <v>14.99</v>
      </c>
      <c r="F38" s="15">
        <f t="shared" si="7"/>
        <v>11.992</v>
      </c>
      <c r="G38" s="31">
        <v>0.2</v>
      </c>
    </row>
    <row r="39" ht="15.75" customHeight="1">
      <c r="A39" s="11">
        <v>46219.0</v>
      </c>
      <c r="B39" s="12">
        <v>46233.0</v>
      </c>
      <c r="C39" s="1" t="s">
        <v>27</v>
      </c>
      <c r="D39" s="6" t="s">
        <v>68</v>
      </c>
      <c r="E39" s="14">
        <v>14.99</v>
      </c>
      <c r="F39" s="15">
        <f t="shared" si="7"/>
        <v>14.99</v>
      </c>
      <c r="G39" s="31">
        <v>0.0</v>
      </c>
    </row>
    <row r="40" ht="15.75" customHeight="1"/>
    <row r="41" ht="15.75" customHeight="1">
      <c r="A41" s="11">
        <v>46268.0</v>
      </c>
      <c r="B41" s="12">
        <v>46279.0</v>
      </c>
      <c r="C41" s="1" t="s">
        <v>72</v>
      </c>
      <c r="D41" s="6" t="s">
        <v>31</v>
      </c>
      <c r="E41" s="14">
        <v>39.99</v>
      </c>
      <c r="F41" s="15">
        <f t="shared" ref="F41:F45" si="8">E41*(1-G41)</f>
        <v>23.994</v>
      </c>
      <c r="G41" s="31">
        <v>0.4</v>
      </c>
    </row>
    <row r="42" ht="15.75" customHeight="1">
      <c r="A42" s="11">
        <v>46268.0</v>
      </c>
      <c r="B42" s="12">
        <v>46279.0</v>
      </c>
      <c r="C42" s="1" t="s">
        <v>72</v>
      </c>
      <c r="D42" s="6" t="s">
        <v>62</v>
      </c>
      <c r="E42" s="14">
        <v>59.99</v>
      </c>
      <c r="F42" s="15">
        <f t="shared" si="8"/>
        <v>41.993</v>
      </c>
      <c r="G42" s="31">
        <v>0.3</v>
      </c>
    </row>
    <row r="43" ht="15.75" customHeight="1">
      <c r="A43" s="11">
        <v>46268.0</v>
      </c>
      <c r="B43" s="12">
        <v>46279.0</v>
      </c>
      <c r="C43" s="1" t="s">
        <v>72</v>
      </c>
      <c r="D43" s="6" t="s">
        <v>64</v>
      </c>
      <c r="E43" s="14">
        <v>24.99</v>
      </c>
      <c r="F43" s="15">
        <f t="shared" si="8"/>
        <v>19.992</v>
      </c>
      <c r="G43" s="31">
        <v>0.2</v>
      </c>
    </row>
    <row r="44" ht="15.75" customHeight="1">
      <c r="A44" s="11">
        <v>46268.0</v>
      </c>
      <c r="B44" s="12">
        <v>46279.0</v>
      </c>
      <c r="C44" s="1" t="s">
        <v>72</v>
      </c>
      <c r="D44" s="6" t="s">
        <v>48</v>
      </c>
      <c r="E44" s="14">
        <v>14.99</v>
      </c>
      <c r="F44" s="15">
        <f t="shared" si="8"/>
        <v>11.992</v>
      </c>
      <c r="G44" s="31">
        <v>0.2</v>
      </c>
    </row>
    <row r="45" ht="15.75" customHeight="1">
      <c r="A45" s="11">
        <v>46268.0</v>
      </c>
      <c r="B45" s="12">
        <v>46279.0</v>
      </c>
      <c r="C45" s="1" t="s">
        <v>72</v>
      </c>
      <c r="D45" s="6" t="s">
        <v>68</v>
      </c>
      <c r="E45" s="14">
        <v>14.99</v>
      </c>
      <c r="F45" s="15">
        <f t="shared" si="8"/>
        <v>14.99</v>
      </c>
      <c r="G45" s="31">
        <v>0.0</v>
      </c>
    </row>
    <row r="46" ht="15.75" customHeight="1"/>
    <row r="47" ht="15.75" customHeight="1">
      <c r="A47" s="11">
        <v>46296.0</v>
      </c>
      <c r="B47" s="12">
        <v>46303.0</v>
      </c>
      <c r="C47" s="1" t="s">
        <v>75</v>
      </c>
      <c r="D47" s="6" t="s">
        <v>31</v>
      </c>
      <c r="E47" s="14">
        <v>39.99</v>
      </c>
      <c r="F47" s="15">
        <f t="shared" ref="F47:F51" si="9">E47*(1-G47)</f>
        <v>23.994</v>
      </c>
      <c r="G47" s="31">
        <v>0.4</v>
      </c>
    </row>
    <row r="48" ht="15.75" customHeight="1">
      <c r="A48" s="11">
        <v>46296.0</v>
      </c>
      <c r="B48" s="12">
        <v>46303.0</v>
      </c>
      <c r="C48" s="1" t="s">
        <v>75</v>
      </c>
      <c r="D48" s="6" t="s">
        <v>62</v>
      </c>
      <c r="E48" s="14">
        <v>59.99</v>
      </c>
      <c r="F48" s="15">
        <f t="shared" si="9"/>
        <v>41.993</v>
      </c>
      <c r="G48" s="31">
        <v>0.3</v>
      </c>
    </row>
    <row r="49" ht="15.75" customHeight="1">
      <c r="A49" s="11">
        <v>46296.0</v>
      </c>
      <c r="B49" s="12">
        <v>46303.0</v>
      </c>
      <c r="C49" s="1" t="s">
        <v>75</v>
      </c>
      <c r="D49" s="6" t="s">
        <v>64</v>
      </c>
      <c r="E49" s="14">
        <v>24.99</v>
      </c>
      <c r="F49" s="15">
        <f t="shared" si="9"/>
        <v>19.992</v>
      </c>
      <c r="G49" s="31">
        <v>0.2</v>
      </c>
    </row>
    <row r="50" ht="15.75" customHeight="1">
      <c r="A50" s="11">
        <v>46296.0</v>
      </c>
      <c r="B50" s="12">
        <v>46303.0</v>
      </c>
      <c r="C50" s="1" t="s">
        <v>75</v>
      </c>
      <c r="D50" s="6" t="s">
        <v>48</v>
      </c>
      <c r="E50" s="14">
        <v>14.99</v>
      </c>
      <c r="F50" s="15">
        <f t="shared" si="9"/>
        <v>11.992</v>
      </c>
      <c r="G50" s="31">
        <v>0.2</v>
      </c>
    </row>
    <row r="51" ht="15.75" customHeight="1">
      <c r="A51" s="11">
        <v>46296.0</v>
      </c>
      <c r="B51" s="12">
        <v>46303.0</v>
      </c>
      <c r="C51" s="1" t="s">
        <v>75</v>
      </c>
      <c r="D51" s="6" t="s">
        <v>68</v>
      </c>
      <c r="E51" s="14">
        <v>14.99</v>
      </c>
      <c r="F51" s="15">
        <f t="shared" si="9"/>
        <v>14.99</v>
      </c>
      <c r="G51" s="31">
        <v>0.0</v>
      </c>
    </row>
    <row r="52" ht="15.75" customHeight="1"/>
    <row r="53" ht="15.75" customHeight="1"/>
    <row r="54" ht="15.75" customHeight="1"/>
    <row r="55" ht="15.75" customHeight="1"/>
    <row r="56" ht="15.75" customHeight="1">
      <c r="A56" s="39" t="s">
        <v>78</v>
      </c>
    </row>
    <row r="57" ht="15.75" customHeight="1">
      <c r="A57" s="43">
        <v>46035.0</v>
      </c>
      <c r="B57" s="43">
        <v>46041.0</v>
      </c>
      <c r="C57" s="44" t="s">
        <v>111</v>
      </c>
      <c r="D57" s="6" t="s">
        <v>46</v>
      </c>
      <c r="E57" s="8" t="s">
        <v>95</v>
      </c>
      <c r="F57" s="13" t="s">
        <v>112</v>
      </c>
      <c r="G57" s="46">
        <v>0.35</v>
      </c>
    </row>
    <row r="58" ht="15.75" customHeight="1">
      <c r="A58" s="43">
        <v>46056.0</v>
      </c>
      <c r="B58" s="43">
        <v>46069.0</v>
      </c>
      <c r="C58" s="44" t="s">
        <v>114</v>
      </c>
      <c r="D58" s="6" t="s">
        <v>31</v>
      </c>
      <c r="E58" s="8" t="s">
        <v>88</v>
      </c>
      <c r="F58" s="13" t="s">
        <v>115</v>
      </c>
      <c r="G58" s="46">
        <v>0.3</v>
      </c>
    </row>
    <row r="59" ht="15.75" customHeight="1">
      <c r="A59" s="43">
        <v>46086.0</v>
      </c>
      <c r="B59" s="43">
        <v>46092.0</v>
      </c>
      <c r="C59" s="44" t="s">
        <v>116</v>
      </c>
      <c r="D59" s="6" t="s">
        <v>117</v>
      </c>
      <c r="E59" s="8" t="s">
        <v>95</v>
      </c>
      <c r="F59" s="13" t="s">
        <v>89</v>
      </c>
      <c r="G59" s="46">
        <v>0.4</v>
      </c>
    </row>
    <row r="60" ht="15.75" customHeight="1">
      <c r="A60" s="43">
        <v>46107.0</v>
      </c>
      <c r="B60" s="43">
        <v>46113.0</v>
      </c>
      <c r="C60" s="44" t="s">
        <v>119</v>
      </c>
      <c r="D60" s="6" t="s">
        <v>31</v>
      </c>
      <c r="E60" s="8" t="s">
        <v>88</v>
      </c>
      <c r="F60" s="13" t="s">
        <v>120</v>
      </c>
      <c r="G60" s="46">
        <v>0.35</v>
      </c>
    </row>
    <row r="61" ht="15.75" customHeight="1">
      <c r="A61" s="43">
        <v>46114.0</v>
      </c>
      <c r="B61" s="43">
        <v>46127.0</v>
      </c>
      <c r="C61" s="44" t="s">
        <v>122</v>
      </c>
      <c r="D61" s="6" t="s">
        <v>31</v>
      </c>
      <c r="E61" s="8" t="s">
        <v>88</v>
      </c>
      <c r="F61" s="13" t="s">
        <v>120</v>
      </c>
      <c r="G61" s="46">
        <v>0.35</v>
      </c>
    </row>
    <row r="62" ht="15.75" customHeight="1">
      <c r="A62" s="43">
        <v>46126.0</v>
      </c>
      <c r="B62" s="43">
        <v>46132.0</v>
      </c>
      <c r="C62" s="44" t="s">
        <v>92</v>
      </c>
      <c r="D62" s="6" t="s">
        <v>117</v>
      </c>
      <c r="E62" s="8" t="s">
        <v>95</v>
      </c>
      <c r="F62" s="13" t="s">
        <v>89</v>
      </c>
      <c r="G62" s="46">
        <v>0.4</v>
      </c>
    </row>
    <row r="63" ht="15.75" customHeight="1">
      <c r="A63" s="43">
        <v>46161.0</v>
      </c>
      <c r="B63" s="43">
        <v>46167.0</v>
      </c>
      <c r="C63" s="44" t="s">
        <v>92</v>
      </c>
      <c r="D63" s="6" t="s">
        <v>124</v>
      </c>
      <c r="E63" s="8">
        <v>59.99</v>
      </c>
      <c r="F63" s="13">
        <v>44.99</v>
      </c>
      <c r="G63" s="46">
        <v>0.25</v>
      </c>
    </row>
    <row r="64" ht="15.75" customHeight="1">
      <c r="A64" s="43">
        <v>46170.0</v>
      </c>
      <c r="B64" s="43">
        <v>46183.0</v>
      </c>
      <c r="C64" s="44" t="s">
        <v>125</v>
      </c>
      <c r="D64" s="6" t="s">
        <v>31</v>
      </c>
      <c r="E64" s="8" t="s">
        <v>88</v>
      </c>
      <c r="F64" s="13" t="s">
        <v>120</v>
      </c>
      <c r="G64" s="46">
        <v>0.4</v>
      </c>
    </row>
    <row r="65" ht="15.75" customHeight="1">
      <c r="A65" s="43">
        <v>46184.0</v>
      </c>
      <c r="B65" s="43">
        <v>46190.0</v>
      </c>
      <c r="C65" s="44" t="s">
        <v>126</v>
      </c>
      <c r="D65" s="6" t="s">
        <v>127</v>
      </c>
      <c r="E65" s="8" t="s">
        <v>128</v>
      </c>
      <c r="F65" s="13" t="s">
        <v>129</v>
      </c>
      <c r="G65" s="46">
        <v>0.2</v>
      </c>
    </row>
    <row r="66" ht="15.75" customHeight="1">
      <c r="A66" s="43">
        <v>46184.0</v>
      </c>
      <c r="B66" s="43">
        <v>46190.0</v>
      </c>
      <c r="C66" s="44" t="s">
        <v>126</v>
      </c>
      <c r="D66" s="6" t="s">
        <v>68</v>
      </c>
      <c r="E66" s="8" t="s">
        <v>130</v>
      </c>
      <c r="F66" s="13" t="s">
        <v>131</v>
      </c>
      <c r="G66" s="46">
        <v>0.2</v>
      </c>
    </row>
    <row r="67" ht="15.75" customHeight="1">
      <c r="A67" s="43">
        <v>46212.0</v>
      </c>
      <c r="B67" s="43">
        <v>46219.0</v>
      </c>
      <c r="C67" s="44" t="s">
        <v>86</v>
      </c>
      <c r="D67" s="6" t="s">
        <v>124</v>
      </c>
      <c r="E67" s="8" t="s">
        <v>132</v>
      </c>
      <c r="F67" s="13" t="s">
        <v>133</v>
      </c>
      <c r="G67" s="46">
        <v>0.25</v>
      </c>
    </row>
    <row r="68" ht="15.75" customHeight="1">
      <c r="A68" s="43">
        <v>46218.0</v>
      </c>
      <c r="B68" s="43">
        <v>46233.0</v>
      </c>
      <c r="C68" s="44" t="s">
        <v>90</v>
      </c>
      <c r="D68" s="6" t="s">
        <v>124</v>
      </c>
      <c r="E68" s="8" t="s">
        <v>132</v>
      </c>
      <c r="F68" s="13" t="s">
        <v>133</v>
      </c>
      <c r="G68" s="46">
        <v>0.25</v>
      </c>
    </row>
    <row r="69" ht="15.75" customHeight="1">
      <c r="A69" s="43">
        <v>46231.0</v>
      </c>
      <c r="B69" s="43">
        <v>46237.0</v>
      </c>
      <c r="C69" s="44" t="s">
        <v>92</v>
      </c>
      <c r="D69" s="6" t="s">
        <v>31</v>
      </c>
      <c r="E69" s="8" t="s">
        <v>88</v>
      </c>
      <c r="F69" s="13" t="s">
        <v>134</v>
      </c>
      <c r="G69" s="46">
        <v>0.4</v>
      </c>
    </row>
    <row r="70" ht="15.75" customHeight="1">
      <c r="A70" s="43">
        <v>46233.0</v>
      </c>
      <c r="B70" s="43">
        <v>46247.0</v>
      </c>
      <c r="C70" s="44" t="s">
        <v>135</v>
      </c>
      <c r="D70" s="6" t="s">
        <v>127</v>
      </c>
      <c r="E70" s="8" t="s">
        <v>128</v>
      </c>
      <c r="F70" s="13" t="s">
        <v>129</v>
      </c>
      <c r="G70" s="46">
        <v>0.2</v>
      </c>
    </row>
    <row r="71" ht="15.75" customHeight="1">
      <c r="A71" s="43">
        <v>46233.0</v>
      </c>
      <c r="B71" s="43">
        <v>46247.0</v>
      </c>
      <c r="C71" s="44" t="s">
        <v>135</v>
      </c>
      <c r="D71" s="6" t="s">
        <v>68</v>
      </c>
      <c r="E71" s="8" t="s">
        <v>130</v>
      </c>
      <c r="F71" s="13" t="s">
        <v>131</v>
      </c>
      <c r="G71" s="46">
        <v>0.2</v>
      </c>
    </row>
    <row r="72" ht="15.75" customHeight="1">
      <c r="A72" s="43">
        <v>46275.0</v>
      </c>
      <c r="B72" s="43">
        <v>46289.0</v>
      </c>
      <c r="C72" s="44" t="s">
        <v>98</v>
      </c>
      <c r="D72" s="6" t="s">
        <v>31</v>
      </c>
      <c r="E72" s="8" t="s">
        <v>88</v>
      </c>
      <c r="F72" s="13" t="s">
        <v>134</v>
      </c>
      <c r="G72" s="46">
        <v>0.4</v>
      </c>
    </row>
    <row r="73" ht="15.75" customHeight="1">
      <c r="A73" s="43">
        <v>46275.0</v>
      </c>
      <c r="B73" s="43">
        <v>46289.0</v>
      </c>
      <c r="C73" s="44" t="s">
        <v>98</v>
      </c>
      <c r="D73" s="6" t="s">
        <v>124</v>
      </c>
      <c r="E73" s="8" t="s">
        <v>132</v>
      </c>
      <c r="F73" s="13" t="s">
        <v>133</v>
      </c>
      <c r="G73" s="46">
        <v>0.25</v>
      </c>
    </row>
    <row r="74" ht="15.75" customHeight="1">
      <c r="A74" s="43">
        <v>46322.0</v>
      </c>
      <c r="B74" s="43">
        <v>46328.0</v>
      </c>
      <c r="C74" s="44" t="s">
        <v>92</v>
      </c>
      <c r="D74" s="6" t="s">
        <v>124</v>
      </c>
      <c r="E74" s="8" t="s">
        <v>132</v>
      </c>
      <c r="F74" s="13" t="s">
        <v>133</v>
      </c>
      <c r="G74" s="46">
        <v>0.25</v>
      </c>
    </row>
    <row r="75" ht="15.75" customHeight="1">
      <c r="A75" s="43">
        <v>46345.0</v>
      </c>
      <c r="B75" s="43">
        <v>46359.0</v>
      </c>
      <c r="C75" s="44" t="s">
        <v>103</v>
      </c>
      <c r="D75" s="6" t="s">
        <v>31</v>
      </c>
      <c r="E75" s="8" t="s">
        <v>88</v>
      </c>
      <c r="F75" s="13" t="s">
        <v>137</v>
      </c>
      <c r="G75" s="46">
        <v>0.5</v>
      </c>
    </row>
    <row r="76" ht="15.75" customHeight="1">
      <c r="A76" s="43">
        <v>46359.0</v>
      </c>
      <c r="B76" s="43">
        <v>46373.0</v>
      </c>
      <c r="C76" s="44" t="s">
        <v>138</v>
      </c>
      <c r="D76" s="6" t="s">
        <v>127</v>
      </c>
      <c r="E76" s="8" t="s">
        <v>128</v>
      </c>
      <c r="F76" s="13" t="s">
        <v>129</v>
      </c>
      <c r="G76" s="46">
        <v>0.2</v>
      </c>
    </row>
    <row r="77" ht="15.75" customHeight="1">
      <c r="A77" s="43">
        <v>46359.0</v>
      </c>
      <c r="B77" s="43">
        <v>46373.0</v>
      </c>
      <c r="C77" s="44" t="s">
        <v>138</v>
      </c>
      <c r="D77" s="6" t="s">
        <v>68</v>
      </c>
      <c r="E77" s="8" t="s">
        <v>130</v>
      </c>
      <c r="F77" s="13" t="s">
        <v>131</v>
      </c>
      <c r="G77" s="46">
        <v>0.2</v>
      </c>
    </row>
    <row r="78" ht="15.75" customHeight="1">
      <c r="A78" s="43">
        <v>46364.0</v>
      </c>
      <c r="B78" s="43">
        <v>46370.0</v>
      </c>
      <c r="C78" s="44" t="s">
        <v>92</v>
      </c>
      <c r="D78" s="6" t="s">
        <v>124</v>
      </c>
      <c r="E78" s="8" t="s">
        <v>132</v>
      </c>
      <c r="F78" s="13" t="s">
        <v>133</v>
      </c>
      <c r="G78" s="46">
        <v>0.25</v>
      </c>
    </row>
    <row r="79" ht="15.75" customHeight="1">
      <c r="A79" s="43">
        <v>46372.0</v>
      </c>
      <c r="B79" s="43">
        <v>46029.0</v>
      </c>
      <c r="C79" s="44" t="s">
        <v>106</v>
      </c>
      <c r="D79" s="6" t="s">
        <v>31</v>
      </c>
      <c r="E79" s="8" t="s">
        <v>88</v>
      </c>
      <c r="F79" s="13" t="s">
        <v>137</v>
      </c>
      <c r="G79" s="46">
        <v>0.5</v>
      </c>
    </row>
    <row r="80" ht="15.75" customHeight="1"/>
    <row r="81" ht="15.75" customHeight="1">
      <c r="A81" s="42" t="s">
        <v>107</v>
      </c>
    </row>
    <row r="82" ht="15.75" customHeight="1">
      <c r="A82" s="43">
        <v>46013.0</v>
      </c>
      <c r="B82" s="43">
        <v>46029.0</v>
      </c>
      <c r="C82" s="44" t="s">
        <v>139</v>
      </c>
      <c r="D82" s="6" t="s">
        <v>140</v>
      </c>
      <c r="E82" s="8">
        <v>39.99</v>
      </c>
      <c r="F82" s="8">
        <f t="shared" ref="F82:F94" si="10">E82*(1-G82)</f>
        <v>27.993</v>
      </c>
      <c r="G82" s="46">
        <v>0.3</v>
      </c>
    </row>
    <row r="83" ht="15.75" customHeight="1">
      <c r="A83" s="43">
        <v>46027.0</v>
      </c>
      <c r="B83" s="43">
        <v>46043.0</v>
      </c>
      <c r="C83" s="44" t="s">
        <v>142</v>
      </c>
      <c r="D83" s="6" t="s">
        <v>117</v>
      </c>
      <c r="E83" s="8">
        <v>49.99</v>
      </c>
      <c r="F83" s="8">
        <f t="shared" si="10"/>
        <v>32.4935</v>
      </c>
      <c r="G83" s="46">
        <v>0.35</v>
      </c>
    </row>
    <row r="84" ht="15.75" customHeight="1">
      <c r="A84" s="43">
        <v>46057.0</v>
      </c>
      <c r="B84" s="43">
        <v>46078.0</v>
      </c>
      <c r="C84" s="44" t="s">
        <v>143</v>
      </c>
      <c r="D84" s="6" t="s">
        <v>140</v>
      </c>
      <c r="E84" s="8">
        <v>39.99</v>
      </c>
      <c r="F84" s="8">
        <f t="shared" si="10"/>
        <v>27.993</v>
      </c>
      <c r="G84" s="46">
        <v>0.3</v>
      </c>
    </row>
    <row r="85" ht="15.75" customHeight="1">
      <c r="A85" s="43">
        <v>46078.0</v>
      </c>
      <c r="B85" s="43">
        <v>46092.0</v>
      </c>
      <c r="C85" s="44" t="s">
        <v>144</v>
      </c>
      <c r="D85" s="6" t="s">
        <v>117</v>
      </c>
      <c r="E85" s="8">
        <v>49.99</v>
      </c>
      <c r="F85" s="8">
        <f t="shared" si="10"/>
        <v>32.4935</v>
      </c>
      <c r="G85" s="46">
        <v>0.35</v>
      </c>
    </row>
    <row r="86" ht="15.75" customHeight="1">
      <c r="A86" s="43">
        <v>46101.0</v>
      </c>
      <c r="B86" s="43">
        <v>46105.0</v>
      </c>
      <c r="C86" s="44" t="s">
        <v>145</v>
      </c>
      <c r="D86" s="6" t="s">
        <v>140</v>
      </c>
      <c r="E86" s="8">
        <v>39.99</v>
      </c>
      <c r="F86" s="8">
        <f t="shared" si="10"/>
        <v>27.993</v>
      </c>
      <c r="G86" s="46">
        <v>0.3</v>
      </c>
    </row>
    <row r="87" ht="15.75" customHeight="1">
      <c r="A87" s="43">
        <v>46106.0</v>
      </c>
      <c r="B87" s="43">
        <v>46120.0</v>
      </c>
      <c r="C87" s="44" t="s">
        <v>146</v>
      </c>
      <c r="D87" s="6" t="s">
        <v>140</v>
      </c>
      <c r="E87" s="8">
        <v>39.99</v>
      </c>
      <c r="F87" s="8">
        <f t="shared" si="10"/>
        <v>27.993</v>
      </c>
      <c r="G87" s="46">
        <v>0.3</v>
      </c>
    </row>
    <row r="88" ht="15.75" customHeight="1">
      <c r="A88" s="43">
        <v>46120.0</v>
      </c>
      <c r="B88" s="43">
        <v>46134.0</v>
      </c>
      <c r="C88" s="44" t="s">
        <v>147</v>
      </c>
      <c r="D88" s="6" t="s">
        <v>117</v>
      </c>
      <c r="E88" s="8">
        <v>49.99</v>
      </c>
      <c r="F88" s="8">
        <f t="shared" si="10"/>
        <v>32.4935</v>
      </c>
      <c r="G88" s="46">
        <v>0.35</v>
      </c>
    </row>
    <row r="89" ht="15.75" customHeight="1">
      <c r="A89" s="43">
        <v>46155.0</v>
      </c>
      <c r="B89" s="43">
        <v>46169.0</v>
      </c>
      <c r="C89" s="44" t="s">
        <v>148</v>
      </c>
      <c r="D89" s="6" t="s">
        <v>140</v>
      </c>
      <c r="E89" s="8">
        <v>39.99</v>
      </c>
      <c r="F89" s="8">
        <f t="shared" si="10"/>
        <v>27.993</v>
      </c>
      <c r="G89" s="46">
        <v>0.3</v>
      </c>
    </row>
    <row r="90" ht="15.75" customHeight="1">
      <c r="A90" s="43">
        <v>46155.0</v>
      </c>
      <c r="B90" s="43">
        <v>46169.0</v>
      </c>
      <c r="C90" s="44" t="s">
        <v>148</v>
      </c>
      <c r="D90" s="6" t="s">
        <v>149</v>
      </c>
      <c r="E90" s="8">
        <v>14.99</v>
      </c>
      <c r="F90" s="8">
        <f t="shared" si="10"/>
        <v>14.99</v>
      </c>
      <c r="G90" s="46">
        <v>0.0</v>
      </c>
    </row>
    <row r="91" ht="15.75" customHeight="1">
      <c r="A91" s="43">
        <v>46155.0</v>
      </c>
      <c r="B91" s="43">
        <v>46169.0</v>
      </c>
      <c r="C91" s="44" t="s">
        <v>148</v>
      </c>
      <c r="D91" s="6" t="s">
        <v>150</v>
      </c>
      <c r="E91" s="8">
        <v>14.99</v>
      </c>
      <c r="F91" s="8">
        <f t="shared" si="10"/>
        <v>11.992</v>
      </c>
      <c r="G91" s="46">
        <v>0.2</v>
      </c>
    </row>
    <row r="92" ht="15.75" customHeight="1">
      <c r="A92" s="43">
        <v>46169.0</v>
      </c>
      <c r="B92" s="43">
        <v>46183.0</v>
      </c>
      <c r="C92" s="44" t="s">
        <v>151</v>
      </c>
      <c r="D92" s="6" t="s">
        <v>152</v>
      </c>
      <c r="E92" s="8">
        <v>59.99</v>
      </c>
      <c r="F92" s="8">
        <f t="shared" si="10"/>
        <v>44.9925</v>
      </c>
      <c r="G92" s="46">
        <v>0.25</v>
      </c>
    </row>
    <row r="93" ht="15.75" customHeight="1">
      <c r="A93" s="43">
        <v>46169.0</v>
      </c>
      <c r="B93" s="43">
        <v>46183.0</v>
      </c>
      <c r="C93" s="44" t="s">
        <v>151</v>
      </c>
      <c r="D93" s="6" t="s">
        <v>153</v>
      </c>
      <c r="E93" s="8">
        <v>24.99</v>
      </c>
      <c r="F93" s="8">
        <f t="shared" si="10"/>
        <v>24.99</v>
      </c>
      <c r="G93" s="46">
        <v>0.0</v>
      </c>
    </row>
    <row r="94" ht="15.75" customHeight="1">
      <c r="A94" s="45">
        <v>46213.0</v>
      </c>
      <c r="B94" s="45">
        <v>46232.0</v>
      </c>
      <c r="C94" s="13" t="s">
        <v>113</v>
      </c>
      <c r="D94" s="48" t="s">
        <v>140</v>
      </c>
      <c r="E94" s="50">
        <v>39.99</v>
      </c>
      <c r="F94" s="50">
        <f t="shared" si="10"/>
        <v>23.994</v>
      </c>
      <c r="G94" s="51">
        <v>0.4</v>
      </c>
    </row>
    <row r="95" ht="15.75" customHeight="1">
      <c r="A95" s="45">
        <v>46218.0</v>
      </c>
      <c r="B95" s="45">
        <v>46232.0</v>
      </c>
      <c r="C95" s="13" t="s">
        <v>113</v>
      </c>
      <c r="D95" s="48" t="s">
        <v>150</v>
      </c>
      <c r="E95" s="50">
        <v>14.99</v>
      </c>
      <c r="F95" s="50">
        <v>11.992</v>
      </c>
      <c r="G95" s="51">
        <v>0.2</v>
      </c>
    </row>
    <row r="96" ht="15.75" customHeight="1">
      <c r="A96" s="47">
        <v>46230.0</v>
      </c>
      <c r="B96" s="47">
        <v>46246.0</v>
      </c>
      <c r="C96" s="48" t="s">
        <v>118</v>
      </c>
      <c r="D96" s="48" t="s">
        <v>152</v>
      </c>
      <c r="E96" s="50">
        <v>59.99</v>
      </c>
      <c r="F96" s="50">
        <v>44.9925</v>
      </c>
      <c r="G96" s="51">
        <v>0.3</v>
      </c>
    </row>
    <row r="97" ht="15.75" customHeight="1">
      <c r="A97" s="47">
        <v>46230.0</v>
      </c>
      <c r="B97" s="47">
        <v>46246.0</v>
      </c>
      <c r="C97" s="48" t="s">
        <v>118</v>
      </c>
      <c r="D97" s="48" t="s">
        <v>153</v>
      </c>
      <c r="E97" s="50">
        <v>24.99</v>
      </c>
      <c r="F97" s="50">
        <v>24.99</v>
      </c>
      <c r="G97" s="51">
        <v>0.2</v>
      </c>
    </row>
    <row r="98" ht="15.75" customHeight="1">
      <c r="A98" s="45">
        <v>46260.0</v>
      </c>
      <c r="B98" s="45">
        <v>46274.0</v>
      </c>
      <c r="C98" s="13" t="s">
        <v>121</v>
      </c>
      <c r="D98" s="48" t="s">
        <v>140</v>
      </c>
      <c r="E98" s="50">
        <v>39.99</v>
      </c>
      <c r="F98" s="50">
        <f>E98*(1-G98)</f>
        <v>23.994</v>
      </c>
      <c r="G98" s="51">
        <v>0.4</v>
      </c>
    </row>
    <row r="99" ht="15.75" customHeight="1">
      <c r="A99" s="45">
        <v>46260.0</v>
      </c>
      <c r="B99" s="45">
        <v>46274.0</v>
      </c>
      <c r="C99" s="13" t="s">
        <v>121</v>
      </c>
      <c r="D99" s="48" t="s">
        <v>150</v>
      </c>
      <c r="E99" s="50">
        <v>14.99</v>
      </c>
      <c r="F99" s="50">
        <v>11.992</v>
      </c>
      <c r="G99" s="51">
        <v>0.2</v>
      </c>
    </row>
    <row r="100" ht="15.75" customHeight="1">
      <c r="A100" s="47">
        <v>46274.0</v>
      </c>
      <c r="B100" s="47">
        <v>46288.0</v>
      </c>
      <c r="C100" s="48" t="s">
        <v>123</v>
      </c>
      <c r="D100" s="48" t="s">
        <v>152</v>
      </c>
      <c r="E100" s="50">
        <v>59.99</v>
      </c>
      <c r="F100" s="50">
        <v>44.9925</v>
      </c>
      <c r="G100" s="51">
        <v>0.3</v>
      </c>
    </row>
    <row r="101" ht="15.75" customHeight="1">
      <c r="A101" s="47">
        <v>46274.0</v>
      </c>
      <c r="B101" s="47">
        <v>46288.0</v>
      </c>
      <c r="C101" s="48" t="s">
        <v>123</v>
      </c>
      <c r="D101" s="48" t="s">
        <v>153</v>
      </c>
      <c r="E101" s="50">
        <v>24.99</v>
      </c>
      <c r="F101" s="50">
        <v>24.99</v>
      </c>
      <c r="G101" s="51">
        <v>0.2</v>
      </c>
    </row>
    <row r="102" ht="15.75" customHeight="1">
      <c r="A102" s="13" t="s">
        <v>108</v>
      </c>
      <c r="B102" s="13" t="s">
        <v>108</v>
      </c>
      <c r="C102" s="13" t="s">
        <v>108</v>
      </c>
      <c r="D102" s="48" t="s">
        <v>140</v>
      </c>
      <c r="E102" s="50">
        <v>39.99</v>
      </c>
      <c r="F102" s="50">
        <f>E102*(1-G102)</f>
        <v>23.994</v>
      </c>
      <c r="G102" s="51">
        <v>0.4</v>
      </c>
    </row>
    <row r="103" ht="15.75" customHeight="1">
      <c r="A103" s="13" t="s">
        <v>108</v>
      </c>
      <c r="B103" s="13" t="s">
        <v>108</v>
      </c>
      <c r="C103" s="13" t="s">
        <v>108</v>
      </c>
      <c r="D103" s="48" t="s">
        <v>150</v>
      </c>
      <c r="E103" s="50">
        <v>14.99</v>
      </c>
      <c r="F103" s="50">
        <v>11.992</v>
      </c>
      <c r="G103" s="51">
        <v>0.2</v>
      </c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G1"/>
    <mergeCell ref="A3:G3"/>
    <mergeCell ref="A56:G56"/>
    <mergeCell ref="A81:G8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75"/>
    <col customWidth="1" min="2" max="2" width="7.88"/>
    <col customWidth="1" min="3" max="3" width="31.5"/>
    <col customWidth="1" min="4" max="4" width="27.0"/>
    <col customWidth="1" min="5" max="5" width="15.75"/>
    <col customWidth="1" min="6" max="6" width="15.0"/>
    <col customWidth="1" min="7" max="7" width="9.38"/>
  </cols>
  <sheetData>
    <row r="1" ht="15.75" customHeight="1">
      <c r="A1" s="2">
        <v>2026.0</v>
      </c>
      <c r="H1" s="5"/>
    </row>
    <row r="2" ht="15.75" customHeight="1">
      <c r="A2" s="4" t="s">
        <v>2</v>
      </c>
      <c r="B2" s="4" t="s">
        <v>6</v>
      </c>
      <c r="C2" s="4" t="s">
        <v>7</v>
      </c>
      <c r="D2" s="4" t="s">
        <v>8</v>
      </c>
      <c r="E2" s="7" t="s">
        <v>9</v>
      </c>
      <c r="F2" s="7" t="s">
        <v>10</v>
      </c>
      <c r="G2" s="7" t="s">
        <v>11</v>
      </c>
      <c r="H2" s="5"/>
    </row>
    <row r="3" ht="15.75" customHeight="1">
      <c r="A3" s="9" t="s">
        <v>14</v>
      </c>
      <c r="H3" s="5"/>
    </row>
    <row r="4" ht="15.75" customHeight="1">
      <c r="H4" s="5"/>
    </row>
    <row r="5" ht="15.75" customHeight="1">
      <c r="H5" s="5"/>
    </row>
    <row r="6" ht="15.75" customHeight="1">
      <c r="A6" s="11">
        <v>46143.0</v>
      </c>
      <c r="B6" s="12">
        <v>46150.0</v>
      </c>
      <c r="C6" s="1" t="s">
        <v>27</v>
      </c>
      <c r="D6" s="6" t="s">
        <v>33</v>
      </c>
      <c r="E6" s="14">
        <v>39.99</v>
      </c>
      <c r="F6" s="15">
        <f t="shared" ref="F6:F9" si="1">E6*(1-G6)</f>
        <v>31.992</v>
      </c>
      <c r="G6" s="16">
        <v>0.2</v>
      </c>
      <c r="H6" s="5"/>
    </row>
    <row r="7" ht="15.75" customHeight="1">
      <c r="A7" s="11">
        <v>46143.0</v>
      </c>
      <c r="B7" s="12">
        <v>46150.0</v>
      </c>
      <c r="C7" s="1" t="s">
        <v>27</v>
      </c>
      <c r="D7" s="6" t="s">
        <v>47</v>
      </c>
      <c r="E7" s="14">
        <v>49.99</v>
      </c>
      <c r="F7" s="15">
        <f t="shared" si="1"/>
        <v>37.4925</v>
      </c>
      <c r="G7" s="16">
        <v>0.25</v>
      </c>
      <c r="H7" s="5"/>
    </row>
    <row r="8" ht="15.75" customHeight="1">
      <c r="A8" s="11">
        <v>46143.0</v>
      </c>
      <c r="B8" s="12">
        <v>46150.0</v>
      </c>
      <c r="C8" s="1" t="s">
        <v>27</v>
      </c>
      <c r="D8" s="6" t="s">
        <v>49</v>
      </c>
      <c r="E8" s="14">
        <v>12.99</v>
      </c>
      <c r="F8" s="15">
        <f t="shared" si="1"/>
        <v>12.99</v>
      </c>
      <c r="G8" s="16">
        <v>0.0</v>
      </c>
      <c r="H8" s="5"/>
    </row>
    <row r="9" ht="15.75" customHeight="1">
      <c r="A9" s="11">
        <v>46143.0</v>
      </c>
      <c r="B9" s="12">
        <v>46150.0</v>
      </c>
      <c r="C9" s="1" t="s">
        <v>27</v>
      </c>
      <c r="D9" s="6" t="s">
        <v>50</v>
      </c>
      <c r="E9" s="14">
        <v>14.99</v>
      </c>
      <c r="F9" s="15">
        <f t="shared" si="1"/>
        <v>11.992</v>
      </c>
      <c r="G9" s="16">
        <v>0.2</v>
      </c>
      <c r="H9" s="5"/>
    </row>
    <row r="10" ht="15.75" customHeight="1">
      <c r="A10" s="11"/>
      <c r="B10" s="12"/>
      <c r="C10" s="1"/>
      <c r="D10" s="6"/>
      <c r="E10" s="14"/>
      <c r="F10" s="15"/>
      <c r="G10" s="16"/>
      <c r="H10" s="5"/>
    </row>
    <row r="11" ht="15.75" customHeight="1">
      <c r="A11" s="11">
        <v>46181.0</v>
      </c>
      <c r="B11" s="12">
        <v>46188.0</v>
      </c>
      <c r="C11" s="1" t="s">
        <v>27</v>
      </c>
      <c r="D11" s="6" t="s">
        <v>33</v>
      </c>
      <c r="E11" s="14">
        <v>39.99</v>
      </c>
      <c r="F11" s="15">
        <f t="shared" ref="F11:F14" si="2">E11*(1-G11)</f>
        <v>31.992</v>
      </c>
      <c r="G11" s="16">
        <v>0.2</v>
      </c>
      <c r="H11" s="5"/>
    </row>
    <row r="12" ht="15.75" customHeight="1">
      <c r="A12" s="11">
        <v>46181.0</v>
      </c>
      <c r="B12" s="12">
        <v>46188.0</v>
      </c>
      <c r="C12" s="1" t="s">
        <v>27</v>
      </c>
      <c r="D12" s="6" t="s">
        <v>47</v>
      </c>
      <c r="E12" s="14">
        <v>49.99</v>
      </c>
      <c r="F12" s="15">
        <f t="shared" si="2"/>
        <v>37.4925</v>
      </c>
      <c r="G12" s="16">
        <v>0.25</v>
      </c>
      <c r="H12" s="5"/>
    </row>
    <row r="13" ht="15.75" customHeight="1">
      <c r="A13" s="11">
        <v>46181.0</v>
      </c>
      <c r="B13" s="12">
        <v>46188.0</v>
      </c>
      <c r="C13" s="1" t="s">
        <v>27</v>
      </c>
      <c r="D13" s="6" t="s">
        <v>49</v>
      </c>
      <c r="E13" s="14">
        <v>12.99</v>
      </c>
      <c r="F13" s="15">
        <f t="shared" si="2"/>
        <v>12.99</v>
      </c>
      <c r="G13" s="16">
        <v>0.0</v>
      </c>
      <c r="H13" s="5"/>
    </row>
    <row r="14" ht="15.75" customHeight="1">
      <c r="A14" s="11">
        <v>46181.0</v>
      </c>
      <c r="B14" s="12">
        <v>46188.0</v>
      </c>
      <c r="C14" s="1" t="s">
        <v>27</v>
      </c>
      <c r="D14" s="6" t="s">
        <v>50</v>
      </c>
      <c r="E14" s="14">
        <v>14.99</v>
      </c>
      <c r="F14" s="15">
        <f t="shared" si="2"/>
        <v>11.992</v>
      </c>
      <c r="G14" s="16">
        <v>0.2</v>
      </c>
      <c r="H14" s="5"/>
    </row>
    <row r="15" ht="15.75" customHeight="1">
      <c r="A15" s="11"/>
      <c r="B15" s="12"/>
      <c r="C15" s="1"/>
      <c r="D15" s="6"/>
      <c r="E15" s="14"/>
      <c r="F15" s="15"/>
      <c r="G15" s="16"/>
      <c r="H15" s="5"/>
    </row>
    <row r="16" ht="15.75" customHeight="1">
      <c r="A16" s="11">
        <v>46198.0</v>
      </c>
      <c r="B16" s="12">
        <v>46212.0</v>
      </c>
      <c r="C16" s="1" t="s">
        <v>56</v>
      </c>
      <c r="D16" s="6" t="s">
        <v>33</v>
      </c>
      <c r="E16" s="14">
        <v>39.99</v>
      </c>
      <c r="F16" s="15">
        <f t="shared" ref="F16:F19" si="3">E16*(1-G16)</f>
        <v>29.9925</v>
      </c>
      <c r="G16" s="23">
        <v>0.25</v>
      </c>
      <c r="H16" s="5"/>
    </row>
    <row r="17" ht="15.75" customHeight="1">
      <c r="A17" s="11">
        <v>46198.0</v>
      </c>
      <c r="B17" s="12">
        <v>46212.0</v>
      </c>
      <c r="C17" s="1" t="s">
        <v>56</v>
      </c>
      <c r="D17" s="6" t="s">
        <v>47</v>
      </c>
      <c r="E17" s="14">
        <v>49.99</v>
      </c>
      <c r="F17" s="15">
        <f t="shared" si="3"/>
        <v>34.993</v>
      </c>
      <c r="G17" s="23">
        <v>0.3</v>
      </c>
      <c r="H17" s="5"/>
    </row>
    <row r="18" ht="15.75" customHeight="1">
      <c r="A18" s="11">
        <v>46198.0</v>
      </c>
      <c r="B18" s="12">
        <v>46212.0</v>
      </c>
      <c r="C18" s="1" t="s">
        <v>56</v>
      </c>
      <c r="D18" s="6" t="s">
        <v>49</v>
      </c>
      <c r="E18" s="14">
        <v>12.99</v>
      </c>
      <c r="F18" s="15">
        <f t="shared" si="3"/>
        <v>12.99</v>
      </c>
      <c r="G18" s="16">
        <v>0.0</v>
      </c>
      <c r="H18" s="5"/>
    </row>
    <row r="19" ht="15.75" customHeight="1">
      <c r="A19" s="11">
        <v>46198.0</v>
      </c>
      <c r="B19" s="12">
        <v>46212.0</v>
      </c>
      <c r="C19" s="1" t="s">
        <v>56</v>
      </c>
      <c r="D19" s="6" t="s">
        <v>50</v>
      </c>
      <c r="E19" s="14">
        <v>14.99</v>
      </c>
      <c r="F19" s="15">
        <f t="shared" si="3"/>
        <v>11.992</v>
      </c>
      <c r="G19" s="16">
        <v>0.2</v>
      </c>
      <c r="H19" s="5"/>
    </row>
    <row r="20" ht="15.75" customHeight="1">
      <c r="A20" s="24"/>
      <c r="B20" s="25"/>
      <c r="C20" s="26"/>
      <c r="D20" s="27"/>
      <c r="E20" s="28"/>
      <c r="F20" s="29"/>
      <c r="G20" s="30"/>
      <c r="H20" s="5"/>
    </row>
    <row r="21" ht="15.75" customHeight="1">
      <c r="A21" s="11">
        <v>46219.0</v>
      </c>
      <c r="B21" s="12">
        <v>46233.0</v>
      </c>
      <c r="C21" s="1" t="s">
        <v>27</v>
      </c>
      <c r="D21" s="6" t="s">
        <v>33</v>
      </c>
      <c r="E21" s="14">
        <v>39.99</v>
      </c>
      <c r="F21" s="15">
        <f t="shared" ref="F21:F24" si="4">E21*(1-G21)</f>
        <v>29.9925</v>
      </c>
      <c r="G21" s="31">
        <v>0.25</v>
      </c>
      <c r="H21" s="5"/>
    </row>
    <row r="22" ht="15.75" customHeight="1">
      <c r="A22" s="11">
        <v>46219.0</v>
      </c>
      <c r="B22" s="12">
        <v>46233.0</v>
      </c>
      <c r="C22" s="1" t="s">
        <v>27</v>
      </c>
      <c r="D22" s="6" t="s">
        <v>47</v>
      </c>
      <c r="E22" s="14">
        <v>49.99</v>
      </c>
      <c r="F22" s="15">
        <f t="shared" si="4"/>
        <v>34.993</v>
      </c>
      <c r="G22" s="31">
        <v>0.3</v>
      </c>
      <c r="H22" s="5"/>
    </row>
    <row r="23" ht="15.75" customHeight="1">
      <c r="A23" s="11">
        <v>46219.0</v>
      </c>
      <c r="B23" s="12">
        <v>46233.0</v>
      </c>
      <c r="C23" s="1" t="s">
        <v>27</v>
      </c>
      <c r="D23" s="6" t="s">
        <v>49</v>
      </c>
      <c r="E23" s="14">
        <v>12.99</v>
      </c>
      <c r="F23" s="15">
        <f t="shared" si="4"/>
        <v>12.99</v>
      </c>
      <c r="G23" s="31">
        <v>0.0</v>
      </c>
      <c r="H23" s="5"/>
    </row>
    <row r="24" ht="15.75" customHeight="1">
      <c r="A24" s="11">
        <v>46219.0</v>
      </c>
      <c r="B24" s="12">
        <v>46233.0</v>
      </c>
      <c r="C24" s="1" t="s">
        <v>27</v>
      </c>
      <c r="D24" s="6" t="s">
        <v>50</v>
      </c>
      <c r="E24" s="14">
        <v>14.99</v>
      </c>
      <c r="F24" s="15">
        <f t="shared" si="4"/>
        <v>11.992</v>
      </c>
      <c r="G24" s="31">
        <v>0.2</v>
      </c>
      <c r="H24" s="5"/>
    </row>
    <row r="25" ht="15.75" customHeight="1">
      <c r="A25" s="11"/>
      <c r="B25" s="12"/>
      <c r="C25" s="1"/>
      <c r="D25" s="6"/>
      <c r="E25" s="14"/>
      <c r="F25" s="15"/>
      <c r="G25" s="31"/>
      <c r="H25" s="5"/>
    </row>
    <row r="26" ht="15.75" customHeight="1">
      <c r="A26" s="11">
        <v>46268.0</v>
      </c>
      <c r="B26" s="12">
        <v>46279.0</v>
      </c>
      <c r="C26" s="1" t="s">
        <v>72</v>
      </c>
      <c r="D26" s="6" t="s">
        <v>33</v>
      </c>
      <c r="E26" s="14">
        <v>39.99</v>
      </c>
      <c r="F26" s="15">
        <f t="shared" ref="F26:F29" si="5">E26*(1-G26)</f>
        <v>27.993</v>
      </c>
      <c r="G26" s="23">
        <v>0.3</v>
      </c>
      <c r="H26" s="5"/>
    </row>
    <row r="27" ht="15.75" customHeight="1">
      <c r="A27" s="11">
        <v>46268.0</v>
      </c>
      <c r="B27" s="12">
        <v>46279.0</v>
      </c>
      <c r="C27" s="1" t="s">
        <v>72</v>
      </c>
      <c r="D27" s="6" t="s">
        <v>47</v>
      </c>
      <c r="E27" s="14">
        <v>49.99</v>
      </c>
      <c r="F27" s="15">
        <f t="shared" si="5"/>
        <v>32.4935</v>
      </c>
      <c r="G27" s="23">
        <v>0.35</v>
      </c>
      <c r="H27" s="5"/>
    </row>
    <row r="28" ht="15.75" customHeight="1">
      <c r="A28" s="11">
        <v>46268.0</v>
      </c>
      <c r="B28" s="12">
        <v>46279.0</v>
      </c>
      <c r="C28" s="1" t="s">
        <v>72</v>
      </c>
      <c r="D28" s="6" t="s">
        <v>49</v>
      </c>
      <c r="E28" s="14">
        <v>12.99</v>
      </c>
      <c r="F28" s="15">
        <f t="shared" si="5"/>
        <v>10.392</v>
      </c>
      <c r="G28" s="23">
        <v>0.2</v>
      </c>
      <c r="H28" s="5"/>
    </row>
    <row r="29" ht="15.75" customHeight="1">
      <c r="A29" s="11">
        <v>46268.0</v>
      </c>
      <c r="B29" s="12">
        <v>46279.0</v>
      </c>
      <c r="C29" s="1" t="s">
        <v>72</v>
      </c>
      <c r="D29" s="6" t="s">
        <v>50</v>
      </c>
      <c r="E29" s="14">
        <v>14.99</v>
      </c>
      <c r="F29" s="15">
        <f t="shared" si="5"/>
        <v>11.992</v>
      </c>
      <c r="G29" s="31">
        <v>0.2</v>
      </c>
      <c r="H29" s="5"/>
    </row>
    <row r="30" ht="15.75" customHeight="1">
      <c r="A30" s="11"/>
      <c r="B30" s="12"/>
      <c r="C30" s="1"/>
      <c r="D30" s="6"/>
      <c r="E30" s="14"/>
      <c r="F30" s="15"/>
      <c r="G30" s="31"/>
      <c r="H30" s="5"/>
    </row>
    <row r="31" ht="15.75" customHeight="1">
      <c r="A31" s="11">
        <v>46296.0</v>
      </c>
      <c r="B31" s="12">
        <v>46303.0</v>
      </c>
      <c r="C31" s="1" t="s">
        <v>75</v>
      </c>
      <c r="D31" s="6" t="s">
        <v>33</v>
      </c>
      <c r="E31" s="14">
        <v>39.99</v>
      </c>
      <c r="F31" s="15">
        <f t="shared" ref="F31:F34" si="6">E31*(1-G31)</f>
        <v>29.9925</v>
      </c>
      <c r="G31" s="31">
        <v>0.25</v>
      </c>
      <c r="H31" s="5"/>
    </row>
    <row r="32" ht="15.75" customHeight="1">
      <c r="A32" s="11">
        <v>46296.0</v>
      </c>
      <c r="B32" s="12">
        <v>46303.0</v>
      </c>
      <c r="C32" s="1" t="s">
        <v>75</v>
      </c>
      <c r="D32" s="6" t="s">
        <v>47</v>
      </c>
      <c r="E32" s="14">
        <v>49.99</v>
      </c>
      <c r="F32" s="15">
        <f t="shared" si="6"/>
        <v>34.993</v>
      </c>
      <c r="G32" s="31">
        <v>0.3</v>
      </c>
      <c r="H32" s="5"/>
    </row>
    <row r="33" ht="15.75" customHeight="1">
      <c r="A33" s="11">
        <v>46296.0</v>
      </c>
      <c r="B33" s="12">
        <v>46303.0</v>
      </c>
      <c r="C33" s="1" t="s">
        <v>75</v>
      </c>
      <c r="D33" s="6" t="s">
        <v>49</v>
      </c>
      <c r="E33" s="14">
        <v>12.99</v>
      </c>
      <c r="F33" s="15">
        <f t="shared" si="6"/>
        <v>12.99</v>
      </c>
      <c r="G33" s="31">
        <v>0.0</v>
      </c>
      <c r="H33" s="5"/>
    </row>
    <row r="34" ht="15.75" customHeight="1">
      <c r="A34" s="11">
        <v>46296.0</v>
      </c>
      <c r="B34" s="12">
        <v>46303.0</v>
      </c>
      <c r="C34" s="1" t="s">
        <v>75</v>
      </c>
      <c r="D34" s="6" t="s">
        <v>50</v>
      </c>
      <c r="E34" s="14">
        <v>14.99</v>
      </c>
      <c r="F34" s="15">
        <f t="shared" si="6"/>
        <v>11.992</v>
      </c>
      <c r="G34" s="31">
        <v>0.2</v>
      </c>
      <c r="H34" s="5"/>
    </row>
    <row r="35" ht="15.75" customHeight="1">
      <c r="H35" s="5"/>
    </row>
    <row r="36" ht="15.75" customHeight="1">
      <c r="A36" s="39" t="s">
        <v>78</v>
      </c>
      <c r="H36" s="5"/>
    </row>
    <row r="37" ht="15.75" customHeight="1">
      <c r="A37" s="11">
        <v>46143.0</v>
      </c>
      <c r="B37" s="12">
        <v>46150.0</v>
      </c>
      <c r="C37" s="1" t="s">
        <v>27</v>
      </c>
      <c r="D37" s="6" t="s">
        <v>33</v>
      </c>
      <c r="E37" s="14">
        <v>39.99</v>
      </c>
      <c r="F37" s="15">
        <f t="shared" ref="F37:F40" si="7">E37*(1-G37)</f>
        <v>31.992</v>
      </c>
      <c r="G37" s="16">
        <v>0.2</v>
      </c>
      <c r="H37" s="5"/>
    </row>
    <row r="38" ht="15.75" customHeight="1">
      <c r="A38" s="11">
        <v>46143.0</v>
      </c>
      <c r="B38" s="12">
        <v>46150.0</v>
      </c>
      <c r="C38" s="1" t="s">
        <v>27</v>
      </c>
      <c r="D38" s="6" t="s">
        <v>47</v>
      </c>
      <c r="E38" s="14">
        <v>49.99</v>
      </c>
      <c r="F38" s="15">
        <f t="shared" si="7"/>
        <v>37.4925</v>
      </c>
      <c r="G38" s="16">
        <v>0.25</v>
      </c>
      <c r="H38" s="5"/>
    </row>
    <row r="39" ht="15.75" customHeight="1">
      <c r="A39" s="11">
        <v>46143.0</v>
      </c>
      <c r="B39" s="12">
        <v>46150.0</v>
      </c>
      <c r="C39" s="1" t="s">
        <v>27</v>
      </c>
      <c r="D39" s="6" t="s">
        <v>49</v>
      </c>
      <c r="E39" s="14">
        <v>12.99</v>
      </c>
      <c r="F39" s="15">
        <f t="shared" si="7"/>
        <v>12.99</v>
      </c>
      <c r="G39" s="16">
        <v>0.0</v>
      </c>
      <c r="H39" s="5"/>
    </row>
    <row r="40" ht="15.75" customHeight="1">
      <c r="A40" s="11">
        <v>46143.0</v>
      </c>
      <c r="B40" s="12">
        <v>46150.0</v>
      </c>
      <c r="C40" s="1" t="s">
        <v>27</v>
      </c>
      <c r="D40" s="6" t="s">
        <v>50</v>
      </c>
      <c r="E40" s="14">
        <v>14.99</v>
      </c>
      <c r="F40" s="15">
        <f t="shared" si="7"/>
        <v>11.992</v>
      </c>
      <c r="G40" s="16">
        <v>0.2</v>
      </c>
      <c r="H40" s="5"/>
    </row>
    <row r="41" ht="15.75" customHeight="1">
      <c r="A41" s="11">
        <v>46212.0</v>
      </c>
      <c r="B41" s="12">
        <v>46219.0</v>
      </c>
      <c r="C41" s="1" t="s">
        <v>86</v>
      </c>
      <c r="D41" s="6" t="s">
        <v>87</v>
      </c>
      <c r="E41" s="14" t="s">
        <v>88</v>
      </c>
      <c r="F41" s="15" t="s">
        <v>89</v>
      </c>
      <c r="G41" s="16">
        <v>0.25</v>
      </c>
      <c r="H41" s="5"/>
    </row>
    <row r="42" ht="15.75" customHeight="1">
      <c r="A42" s="11">
        <v>46218.0</v>
      </c>
      <c r="B42" s="12">
        <v>46233.0</v>
      </c>
      <c r="C42" s="1" t="s">
        <v>90</v>
      </c>
      <c r="D42" s="6" t="s">
        <v>87</v>
      </c>
      <c r="E42" s="14" t="s">
        <v>88</v>
      </c>
      <c r="F42" s="15" t="s">
        <v>89</v>
      </c>
      <c r="G42" s="16">
        <v>0.25</v>
      </c>
      <c r="H42" s="5"/>
    </row>
    <row r="43" ht="15.75" customHeight="1">
      <c r="A43" s="11">
        <v>46238.0</v>
      </c>
      <c r="B43" s="12">
        <v>46244.0</v>
      </c>
      <c r="C43" s="1" t="s">
        <v>92</v>
      </c>
      <c r="D43" s="6" t="s">
        <v>94</v>
      </c>
      <c r="E43" s="14" t="s">
        <v>95</v>
      </c>
      <c r="F43" s="15" t="s">
        <v>96</v>
      </c>
      <c r="G43" s="16">
        <v>0.3</v>
      </c>
      <c r="H43" s="5"/>
    </row>
    <row r="44" ht="15.75" customHeight="1">
      <c r="A44" s="11">
        <v>46275.0</v>
      </c>
      <c r="B44" s="12">
        <v>46289.0</v>
      </c>
      <c r="C44" s="1" t="s">
        <v>98</v>
      </c>
      <c r="D44" s="6" t="s">
        <v>87</v>
      </c>
      <c r="E44" s="14" t="s">
        <v>88</v>
      </c>
      <c r="F44" s="15" t="s">
        <v>89</v>
      </c>
      <c r="G44" s="16">
        <v>0.25</v>
      </c>
      <c r="H44" s="5"/>
    </row>
    <row r="45" ht="15.75" customHeight="1">
      <c r="A45" s="11">
        <v>46275.0</v>
      </c>
      <c r="B45" s="12">
        <v>46289.0</v>
      </c>
      <c r="C45" s="1" t="s">
        <v>98</v>
      </c>
      <c r="D45" s="6" t="s">
        <v>94</v>
      </c>
      <c r="E45" s="14" t="s">
        <v>95</v>
      </c>
      <c r="F45" s="15" t="s">
        <v>96</v>
      </c>
      <c r="G45" s="16">
        <v>0.3</v>
      </c>
      <c r="H45" s="5"/>
    </row>
    <row r="46" ht="15.75" customHeight="1">
      <c r="A46" s="11">
        <v>46317.0</v>
      </c>
      <c r="B46" s="12">
        <v>46331.0</v>
      </c>
      <c r="C46" s="1" t="s">
        <v>101</v>
      </c>
      <c r="D46" s="6" t="s">
        <v>94</v>
      </c>
      <c r="E46" s="14" t="s">
        <v>95</v>
      </c>
      <c r="F46" s="15" t="s">
        <v>96</v>
      </c>
      <c r="G46" s="16">
        <v>0.3</v>
      </c>
      <c r="H46" s="5"/>
    </row>
    <row r="47" ht="15.75" customHeight="1">
      <c r="A47" s="11">
        <v>46345.0</v>
      </c>
      <c r="B47" s="12">
        <v>46359.0</v>
      </c>
      <c r="C47" s="1" t="s">
        <v>103</v>
      </c>
      <c r="D47" s="6" t="s">
        <v>87</v>
      </c>
      <c r="E47" s="14" t="s">
        <v>88</v>
      </c>
      <c r="F47" s="15" t="s">
        <v>89</v>
      </c>
      <c r="G47" s="16">
        <v>0.25</v>
      </c>
      <c r="H47" s="5"/>
    </row>
    <row r="48" ht="15.75" customHeight="1">
      <c r="A48" s="11">
        <v>46364.0</v>
      </c>
      <c r="B48" s="12">
        <v>46370.0</v>
      </c>
      <c r="C48" s="1" t="s">
        <v>92</v>
      </c>
      <c r="D48" s="6" t="s">
        <v>94</v>
      </c>
      <c r="E48" s="14" t="s">
        <v>95</v>
      </c>
      <c r="F48" s="15" t="s">
        <v>96</v>
      </c>
      <c r="G48" s="16">
        <v>0.3</v>
      </c>
      <c r="H48" s="5"/>
    </row>
    <row r="49" ht="15.75" customHeight="1">
      <c r="A49" s="11">
        <v>46372.0</v>
      </c>
      <c r="B49" s="12">
        <v>46029.0</v>
      </c>
      <c r="C49" s="1" t="s">
        <v>106</v>
      </c>
      <c r="D49" s="6" t="s">
        <v>87</v>
      </c>
      <c r="E49" s="14" t="s">
        <v>88</v>
      </c>
      <c r="F49" s="15" t="s">
        <v>89</v>
      </c>
      <c r="G49" s="16">
        <v>0.25</v>
      </c>
      <c r="H49" s="5"/>
    </row>
    <row r="50" ht="15.75" customHeight="1">
      <c r="H50" s="5"/>
    </row>
    <row r="51" ht="15.75" customHeight="1">
      <c r="H51" s="5"/>
    </row>
    <row r="52" ht="15.75" customHeight="1">
      <c r="A52" s="42" t="s">
        <v>107</v>
      </c>
      <c r="H52" s="5"/>
    </row>
    <row r="53" ht="15.75" customHeight="1">
      <c r="A53" s="11">
        <v>46143.0</v>
      </c>
      <c r="B53" s="12">
        <v>46150.0</v>
      </c>
      <c r="C53" s="1" t="s">
        <v>27</v>
      </c>
      <c r="D53" s="6" t="s">
        <v>33</v>
      </c>
      <c r="E53" s="14">
        <v>39.99</v>
      </c>
      <c r="F53" s="15">
        <f t="shared" ref="F53:F61" si="8">E53*(1-G53)</f>
        <v>31.992</v>
      </c>
      <c r="G53" s="16">
        <v>0.2</v>
      </c>
      <c r="H53" s="5"/>
    </row>
    <row r="54" ht="15.75" customHeight="1">
      <c r="A54" s="11">
        <v>46143.0</v>
      </c>
      <c r="B54" s="12">
        <v>46150.0</v>
      </c>
      <c r="C54" s="1" t="s">
        <v>27</v>
      </c>
      <c r="D54" s="6" t="s">
        <v>47</v>
      </c>
      <c r="E54" s="14">
        <v>49.99</v>
      </c>
      <c r="F54" s="15">
        <f t="shared" si="8"/>
        <v>37.4925</v>
      </c>
      <c r="G54" s="16">
        <v>0.25</v>
      </c>
      <c r="H54" s="5"/>
    </row>
    <row r="55" ht="15.75" customHeight="1">
      <c r="A55" s="11">
        <v>46143.0</v>
      </c>
      <c r="B55" s="12">
        <v>46150.0</v>
      </c>
      <c r="C55" s="1" t="s">
        <v>27</v>
      </c>
      <c r="D55" s="6" t="s">
        <v>49</v>
      </c>
      <c r="E55" s="14">
        <v>12.99</v>
      </c>
      <c r="F55" s="15">
        <f t="shared" si="8"/>
        <v>12.99</v>
      </c>
      <c r="G55" s="16">
        <v>0.0</v>
      </c>
      <c r="H55" s="5"/>
    </row>
    <row r="56" ht="15.75" customHeight="1">
      <c r="A56" s="11">
        <v>46143.0</v>
      </c>
      <c r="B56" s="12">
        <v>46150.0</v>
      </c>
      <c r="C56" s="1" t="s">
        <v>27</v>
      </c>
      <c r="D56" s="6" t="s">
        <v>50</v>
      </c>
      <c r="E56" s="14">
        <v>14.99</v>
      </c>
      <c r="F56" s="15">
        <f t="shared" si="8"/>
        <v>11.992</v>
      </c>
      <c r="G56" s="16">
        <v>0.2</v>
      </c>
      <c r="H56" s="5"/>
    </row>
    <row r="57" ht="15.75" customHeight="1">
      <c r="A57" s="45">
        <v>46213.0</v>
      </c>
      <c r="B57" s="45">
        <v>46232.0</v>
      </c>
      <c r="C57" s="13" t="s">
        <v>113</v>
      </c>
      <c r="D57" s="6" t="s">
        <v>33</v>
      </c>
      <c r="E57" s="14">
        <v>39.99</v>
      </c>
      <c r="F57" s="15">
        <f t="shared" si="8"/>
        <v>29.9925</v>
      </c>
      <c r="G57" s="16">
        <v>0.25</v>
      </c>
      <c r="H57" s="5"/>
    </row>
    <row r="58" ht="15.75" customHeight="1">
      <c r="A58" s="47">
        <v>46230.0</v>
      </c>
      <c r="B58" s="47">
        <v>46246.0</v>
      </c>
      <c r="C58" s="48" t="s">
        <v>118</v>
      </c>
      <c r="D58" s="6" t="s">
        <v>47</v>
      </c>
      <c r="E58" s="14">
        <v>49.99</v>
      </c>
      <c r="F58" s="15">
        <f t="shared" si="8"/>
        <v>34.993</v>
      </c>
      <c r="G58" s="16">
        <v>0.3</v>
      </c>
      <c r="H58" s="5"/>
    </row>
    <row r="59" ht="15.75" customHeight="1">
      <c r="A59" s="45">
        <v>46260.0</v>
      </c>
      <c r="B59" s="45">
        <v>46274.0</v>
      </c>
      <c r="C59" s="13" t="s">
        <v>121</v>
      </c>
      <c r="D59" s="6" t="s">
        <v>33</v>
      </c>
      <c r="E59" s="14">
        <v>39.99</v>
      </c>
      <c r="F59" s="15">
        <f t="shared" si="8"/>
        <v>29.9925</v>
      </c>
      <c r="G59" s="16">
        <v>0.25</v>
      </c>
      <c r="H59" s="5"/>
    </row>
    <row r="60" ht="15.75" customHeight="1">
      <c r="A60" s="47">
        <v>46274.0</v>
      </c>
      <c r="B60" s="47">
        <v>46288.0</v>
      </c>
      <c r="C60" s="48" t="s">
        <v>123</v>
      </c>
      <c r="D60" s="6" t="s">
        <v>47</v>
      </c>
      <c r="E60" s="14">
        <v>49.99</v>
      </c>
      <c r="F60" s="15">
        <f t="shared" si="8"/>
        <v>34.993</v>
      </c>
      <c r="G60" s="16">
        <v>0.3</v>
      </c>
      <c r="H60" s="5"/>
    </row>
    <row r="61" ht="15.75" customHeight="1">
      <c r="A61" s="13" t="s">
        <v>108</v>
      </c>
      <c r="B61" s="13" t="s">
        <v>108</v>
      </c>
      <c r="C61" s="13" t="s">
        <v>108</v>
      </c>
      <c r="D61" s="6" t="s">
        <v>33</v>
      </c>
      <c r="E61" s="14">
        <v>39.99</v>
      </c>
      <c r="F61" s="15">
        <f t="shared" si="8"/>
        <v>29.9925</v>
      </c>
      <c r="G61" s="16">
        <v>0.25</v>
      </c>
      <c r="H61" s="5"/>
    </row>
    <row r="62" ht="15.75" customHeight="1">
      <c r="A62" s="43"/>
      <c r="B62" s="43"/>
      <c r="C62" s="44"/>
      <c r="D62" s="6"/>
      <c r="E62" s="8"/>
      <c r="F62" s="8"/>
      <c r="G62" s="46"/>
      <c r="H62" s="5"/>
    </row>
    <row r="63" ht="15.75" customHeight="1">
      <c r="A63" s="43"/>
      <c r="B63" s="43"/>
      <c r="C63" s="44"/>
      <c r="D63" s="6"/>
      <c r="E63" s="8"/>
      <c r="F63" s="8"/>
      <c r="G63" s="46"/>
      <c r="H63" s="5"/>
    </row>
    <row r="64" ht="15.75" customHeight="1">
      <c r="A64" s="43"/>
      <c r="B64" s="43"/>
      <c r="C64" s="44"/>
      <c r="D64" s="6"/>
      <c r="E64" s="8"/>
      <c r="F64" s="8"/>
      <c r="G64" s="46"/>
      <c r="H64" s="5"/>
    </row>
    <row r="65" ht="15.75" customHeight="1">
      <c r="H65" s="5"/>
    </row>
    <row r="66" ht="15.75" customHeight="1">
      <c r="H66" s="5"/>
    </row>
    <row r="67" ht="15.75" customHeight="1">
      <c r="H67" s="5"/>
    </row>
    <row r="68" ht="15.75" customHeight="1">
      <c r="H68" s="5"/>
    </row>
    <row r="69" ht="15.75" customHeight="1">
      <c r="H69" s="5"/>
    </row>
    <row r="70" ht="15.75" customHeight="1">
      <c r="H70" s="5"/>
    </row>
    <row r="71" ht="15.75" customHeight="1">
      <c r="H71" s="5"/>
    </row>
    <row r="72" ht="15.75" customHeight="1">
      <c r="H72" s="5"/>
    </row>
    <row r="73" ht="15.75" customHeight="1">
      <c r="H73" s="5"/>
    </row>
    <row r="74" ht="15.75" customHeight="1">
      <c r="H74" s="5"/>
    </row>
    <row r="75" ht="15.75" customHeight="1">
      <c r="H75" s="5"/>
    </row>
    <row r="76" ht="15.75" customHeight="1">
      <c r="H76" s="5"/>
    </row>
    <row r="77" ht="15.75" customHeight="1">
      <c r="H77" s="5"/>
    </row>
    <row r="78" ht="15.75" customHeight="1">
      <c r="H78" s="5"/>
    </row>
    <row r="79" ht="15.75" customHeight="1">
      <c r="H79" s="5"/>
    </row>
    <row r="80" ht="15.75" customHeight="1">
      <c r="H80" s="5"/>
    </row>
    <row r="81" ht="15.75" customHeight="1">
      <c r="H81" s="5"/>
    </row>
    <row r="82" ht="15.75" customHeight="1">
      <c r="H82" s="5"/>
    </row>
    <row r="83" ht="15.75" customHeight="1">
      <c r="H83" s="5"/>
    </row>
    <row r="84" ht="15.75" customHeight="1">
      <c r="H84" s="5"/>
    </row>
    <row r="85" ht="15.75" customHeight="1">
      <c r="H85" s="5"/>
    </row>
    <row r="86" ht="15.75" customHeight="1">
      <c r="H86" s="5"/>
    </row>
    <row r="87" ht="15.75" customHeight="1">
      <c r="H87" s="5"/>
    </row>
    <row r="88" ht="15.75" customHeight="1">
      <c r="H88" s="5"/>
    </row>
    <row r="89" ht="15.75" customHeight="1">
      <c r="H89" s="5"/>
    </row>
    <row r="90" ht="15.75" customHeight="1">
      <c r="H90" s="5"/>
    </row>
    <row r="91" ht="15.75" customHeight="1">
      <c r="H91" s="5"/>
    </row>
    <row r="92" ht="15.75" customHeight="1">
      <c r="H92" s="5"/>
    </row>
    <row r="93" ht="15.75" customHeight="1">
      <c r="H93" s="5"/>
    </row>
    <row r="94" ht="15.75" customHeight="1">
      <c r="H94" s="5"/>
    </row>
    <row r="95" ht="15.75" customHeight="1">
      <c r="H95" s="5"/>
    </row>
    <row r="96" ht="15.75" customHeight="1">
      <c r="H96" s="5"/>
    </row>
    <row r="97" ht="15.75" customHeight="1">
      <c r="H97" s="5"/>
    </row>
    <row r="98" ht="15.75" customHeight="1">
      <c r="H98" s="5"/>
    </row>
    <row r="99" ht="15.75" customHeight="1">
      <c r="H99" s="5"/>
    </row>
    <row r="100" ht="15.75" customHeight="1">
      <c r="H100" s="5"/>
    </row>
    <row r="101" ht="15.75" customHeight="1">
      <c r="H101" s="5"/>
    </row>
    <row r="102" ht="15.75" customHeight="1">
      <c r="H102" s="5"/>
    </row>
    <row r="103" ht="15.75" customHeight="1">
      <c r="H103" s="5"/>
    </row>
    <row r="104" ht="15.75" customHeight="1">
      <c r="H104" s="5"/>
    </row>
    <row r="105" ht="15.75" customHeight="1">
      <c r="H105" s="5"/>
    </row>
    <row r="106" ht="15.75" customHeight="1">
      <c r="H106" s="5"/>
    </row>
    <row r="107" ht="15.75" customHeight="1">
      <c r="H107" s="5"/>
    </row>
    <row r="108" ht="15.75" customHeight="1">
      <c r="H108" s="5"/>
    </row>
    <row r="109" ht="15.75" customHeight="1">
      <c r="H109" s="5"/>
    </row>
    <row r="110" ht="15.75" customHeight="1">
      <c r="H110" s="5"/>
    </row>
    <row r="111" ht="15.75" customHeight="1">
      <c r="H111" s="5"/>
    </row>
    <row r="112" ht="15.75" customHeight="1">
      <c r="H112" s="5"/>
    </row>
    <row r="113" ht="15.75" customHeight="1">
      <c r="H113" s="5"/>
    </row>
    <row r="114" ht="15.75" customHeight="1">
      <c r="H114" s="5"/>
    </row>
    <row r="115" ht="15.75" customHeight="1">
      <c r="H115" s="5"/>
    </row>
    <row r="116" ht="15.75" customHeight="1">
      <c r="H116" s="5"/>
    </row>
    <row r="117" ht="15.75" customHeight="1">
      <c r="H117" s="5"/>
    </row>
    <row r="118" ht="15.75" customHeight="1">
      <c r="H118" s="5"/>
    </row>
    <row r="119" ht="15.75" customHeight="1">
      <c r="H119" s="5"/>
    </row>
    <row r="120" ht="15.75" customHeight="1">
      <c r="H120" s="5"/>
    </row>
    <row r="121" ht="15.75" customHeight="1">
      <c r="H121" s="5"/>
    </row>
    <row r="122" ht="15.75" customHeight="1">
      <c r="H122" s="5"/>
    </row>
    <row r="123" ht="15.75" customHeight="1">
      <c r="H123" s="5"/>
    </row>
    <row r="124" ht="15.75" customHeight="1">
      <c r="H124" s="5"/>
    </row>
    <row r="125" ht="15.75" customHeight="1">
      <c r="H125" s="5"/>
    </row>
    <row r="126" ht="15.75" customHeight="1">
      <c r="H126" s="5"/>
    </row>
    <row r="127" ht="15.75" customHeight="1">
      <c r="H127" s="5"/>
    </row>
    <row r="128" ht="15.75" customHeight="1">
      <c r="H128" s="5"/>
    </row>
    <row r="129" ht="15.75" customHeight="1">
      <c r="H129" s="5"/>
    </row>
    <row r="130" ht="15.75" customHeight="1">
      <c r="H130" s="5"/>
    </row>
    <row r="131" ht="15.75" customHeight="1">
      <c r="H131" s="5"/>
    </row>
    <row r="132" ht="15.75" customHeight="1">
      <c r="H132" s="5"/>
    </row>
    <row r="133" ht="15.75" customHeight="1">
      <c r="H133" s="5"/>
    </row>
    <row r="134" ht="15.75" customHeight="1">
      <c r="H134" s="5"/>
    </row>
    <row r="135" ht="15.75" customHeight="1">
      <c r="H135" s="5"/>
    </row>
    <row r="136" ht="15.75" customHeight="1">
      <c r="H136" s="5"/>
    </row>
    <row r="137" ht="15.75" customHeight="1">
      <c r="H137" s="5"/>
    </row>
    <row r="138" ht="15.75" customHeight="1">
      <c r="H138" s="5"/>
    </row>
    <row r="139" ht="15.75" customHeight="1">
      <c r="H139" s="5"/>
    </row>
    <row r="140" ht="15.75" customHeight="1">
      <c r="H140" s="5"/>
    </row>
    <row r="141" ht="15.75" customHeight="1">
      <c r="H141" s="5"/>
    </row>
    <row r="142" ht="15.75" customHeight="1">
      <c r="H142" s="5"/>
    </row>
    <row r="143" ht="15.75" customHeight="1">
      <c r="H143" s="5"/>
    </row>
    <row r="144" ht="15.75" customHeight="1">
      <c r="H144" s="5"/>
    </row>
    <row r="145" ht="15.75" customHeight="1">
      <c r="H145" s="5"/>
    </row>
    <row r="146" ht="15.75" customHeight="1">
      <c r="H146" s="5"/>
    </row>
    <row r="147" ht="15.75" customHeight="1">
      <c r="H147" s="5"/>
    </row>
    <row r="148" ht="15.75" customHeight="1">
      <c r="H148" s="5"/>
    </row>
    <row r="149" ht="15.75" customHeight="1">
      <c r="H149" s="5"/>
    </row>
    <row r="150" ht="15.75" customHeight="1">
      <c r="H150" s="5"/>
    </row>
    <row r="151" ht="15.75" customHeight="1">
      <c r="H151" s="5"/>
    </row>
    <row r="152" ht="15.75" customHeight="1">
      <c r="H152" s="5"/>
    </row>
    <row r="153" ht="15.75" customHeight="1">
      <c r="H153" s="5"/>
    </row>
    <row r="154" ht="15.75" customHeight="1">
      <c r="H154" s="5"/>
    </row>
    <row r="155" ht="15.75" customHeight="1">
      <c r="H155" s="5"/>
    </row>
    <row r="156" ht="15.75" customHeight="1">
      <c r="H156" s="5"/>
    </row>
    <row r="157" ht="15.75" customHeight="1">
      <c r="H157" s="5"/>
    </row>
    <row r="158" ht="15.75" customHeight="1">
      <c r="H158" s="5"/>
    </row>
    <row r="159" ht="15.75" customHeight="1">
      <c r="H159" s="5"/>
    </row>
    <row r="160" ht="15.75" customHeight="1">
      <c r="H160" s="5"/>
    </row>
    <row r="161" ht="15.75" customHeight="1">
      <c r="H161" s="5"/>
    </row>
    <row r="162" ht="15.75" customHeight="1">
      <c r="H162" s="5"/>
    </row>
    <row r="163" ht="15.75" customHeight="1">
      <c r="H163" s="5"/>
    </row>
    <row r="164" ht="15.75" customHeight="1">
      <c r="H164" s="5"/>
    </row>
    <row r="165" ht="15.75" customHeight="1">
      <c r="H165" s="5"/>
    </row>
    <row r="166" ht="15.75" customHeight="1">
      <c r="H166" s="5"/>
    </row>
    <row r="167" ht="15.75" customHeight="1">
      <c r="H167" s="5"/>
    </row>
    <row r="168" ht="15.75" customHeight="1">
      <c r="H168" s="5"/>
    </row>
    <row r="169" ht="15.75" customHeight="1">
      <c r="H169" s="5"/>
    </row>
    <row r="170" ht="15.75" customHeight="1">
      <c r="H170" s="5"/>
    </row>
    <row r="171" ht="15.75" customHeight="1">
      <c r="H171" s="5"/>
    </row>
    <row r="172" ht="15.75" customHeight="1">
      <c r="H172" s="5"/>
    </row>
    <row r="173" ht="15.75" customHeight="1">
      <c r="H173" s="5"/>
    </row>
    <row r="174" ht="15.75" customHeight="1">
      <c r="H174" s="5"/>
    </row>
    <row r="175" ht="15.75" customHeight="1">
      <c r="H175" s="5"/>
    </row>
    <row r="176" ht="15.75" customHeight="1">
      <c r="H176" s="5"/>
    </row>
    <row r="177" ht="15.75" customHeight="1">
      <c r="H177" s="5"/>
    </row>
    <row r="178" ht="15.75" customHeight="1">
      <c r="H178" s="5"/>
    </row>
    <row r="179" ht="15.75" customHeight="1">
      <c r="H179" s="5"/>
    </row>
    <row r="180" ht="15.75" customHeight="1">
      <c r="H180" s="5"/>
    </row>
    <row r="181" ht="15.75" customHeight="1">
      <c r="H181" s="5"/>
    </row>
    <row r="182" ht="15.75" customHeight="1">
      <c r="H182" s="5"/>
    </row>
    <row r="183" ht="15.75" customHeight="1">
      <c r="H183" s="5"/>
    </row>
    <row r="184" ht="15.75" customHeight="1">
      <c r="H184" s="5"/>
    </row>
    <row r="185" ht="15.75" customHeight="1">
      <c r="H185" s="5"/>
    </row>
    <row r="186" ht="15.75" customHeight="1">
      <c r="H186" s="5"/>
    </row>
    <row r="187" ht="15.75" customHeight="1">
      <c r="H187" s="5"/>
    </row>
    <row r="188" ht="15.75" customHeight="1">
      <c r="H188" s="5"/>
    </row>
    <row r="189" ht="15.75" customHeight="1">
      <c r="H189" s="5"/>
    </row>
    <row r="190" ht="15.75" customHeight="1">
      <c r="H190" s="5"/>
    </row>
    <row r="191" ht="15.75" customHeight="1">
      <c r="H191" s="5"/>
    </row>
    <row r="192" ht="15.75" customHeight="1">
      <c r="H192" s="5"/>
    </row>
    <row r="193" ht="15.75" customHeight="1">
      <c r="H193" s="5"/>
    </row>
    <row r="194" ht="15.75" customHeight="1">
      <c r="H194" s="5"/>
    </row>
    <row r="195" ht="15.75" customHeight="1">
      <c r="H195" s="5"/>
    </row>
    <row r="196" ht="15.75" customHeight="1">
      <c r="H196" s="5"/>
    </row>
    <row r="197" ht="15.75" customHeight="1">
      <c r="H197" s="5"/>
    </row>
    <row r="198" ht="15.75" customHeight="1">
      <c r="H198" s="5"/>
    </row>
    <row r="199" ht="15.75" customHeight="1">
      <c r="H199" s="5"/>
    </row>
    <row r="200" ht="15.75" customHeight="1">
      <c r="H200" s="5"/>
    </row>
    <row r="201" ht="15.75" customHeight="1">
      <c r="H201" s="5"/>
    </row>
    <row r="202" ht="15.75" customHeight="1">
      <c r="H202" s="5"/>
    </row>
    <row r="203" ht="15.75" customHeight="1">
      <c r="H203" s="5"/>
    </row>
    <row r="204" ht="15.75" customHeight="1">
      <c r="H204" s="5"/>
    </row>
    <row r="205" ht="15.75" customHeight="1">
      <c r="H205" s="5"/>
    </row>
    <row r="206" ht="15.75" customHeight="1">
      <c r="H206" s="5"/>
    </row>
    <row r="207" ht="15.75" customHeight="1">
      <c r="H207" s="5"/>
    </row>
    <row r="208" ht="15.75" customHeight="1">
      <c r="H208" s="5"/>
    </row>
    <row r="209" ht="15.75" customHeight="1">
      <c r="H209" s="5"/>
    </row>
    <row r="210" ht="15.75" customHeight="1">
      <c r="H210" s="5"/>
    </row>
    <row r="211" ht="15.75" customHeight="1">
      <c r="H211" s="5"/>
    </row>
    <row r="212" ht="15.75" customHeight="1">
      <c r="H212" s="5"/>
    </row>
    <row r="213" ht="15.75" customHeight="1">
      <c r="H213" s="5"/>
    </row>
    <row r="214" ht="15.75" customHeight="1">
      <c r="H214" s="5"/>
    </row>
    <row r="215" ht="15.75" customHeight="1">
      <c r="H215" s="5"/>
    </row>
    <row r="216" ht="15.75" customHeight="1">
      <c r="H216" s="5"/>
    </row>
    <row r="217" ht="15.75" customHeight="1">
      <c r="H217" s="5"/>
    </row>
    <row r="218" ht="15.75" customHeight="1">
      <c r="H218" s="5"/>
    </row>
    <row r="219" ht="15.75" customHeight="1">
      <c r="H219" s="5"/>
    </row>
    <row r="220" ht="15.75" customHeight="1">
      <c r="H220" s="5"/>
    </row>
    <row r="221" ht="15.75" customHeight="1">
      <c r="H221" s="5"/>
    </row>
    <row r="222" ht="15.75" customHeight="1">
      <c r="H222" s="5"/>
    </row>
    <row r="223" ht="15.75" customHeight="1">
      <c r="H223" s="5"/>
    </row>
    <row r="224" ht="15.75" customHeight="1">
      <c r="H224" s="5"/>
    </row>
    <row r="225" ht="15.75" customHeight="1">
      <c r="H225" s="5"/>
    </row>
    <row r="226" ht="15.75" customHeight="1">
      <c r="H226" s="5"/>
    </row>
    <row r="227" ht="15.75" customHeight="1">
      <c r="H227" s="5"/>
    </row>
    <row r="228" ht="15.75" customHeight="1">
      <c r="H228" s="5"/>
    </row>
    <row r="229" ht="15.75" customHeight="1">
      <c r="H229" s="5"/>
    </row>
    <row r="230" ht="15.75" customHeight="1">
      <c r="H230" s="5"/>
    </row>
    <row r="231" ht="15.75" customHeight="1">
      <c r="H231" s="5"/>
    </row>
    <row r="232" ht="15.75" customHeight="1">
      <c r="H232" s="5"/>
    </row>
    <row r="233" ht="15.75" customHeight="1">
      <c r="H233" s="5"/>
    </row>
    <row r="234" ht="15.75" customHeight="1">
      <c r="H234" s="5"/>
    </row>
    <row r="235" ht="15.75" customHeight="1">
      <c r="H235" s="5"/>
    </row>
    <row r="236" ht="15.75" customHeight="1">
      <c r="H236" s="5"/>
    </row>
    <row r="237" ht="15.75" customHeight="1">
      <c r="H237" s="5"/>
    </row>
    <row r="238" ht="15.75" customHeight="1">
      <c r="H238" s="5"/>
    </row>
    <row r="239" ht="15.75" customHeight="1">
      <c r="H239" s="5"/>
    </row>
    <row r="240" ht="15.75" customHeight="1">
      <c r="H240" s="5"/>
    </row>
    <row r="241" ht="15.75" customHeight="1">
      <c r="H241" s="5"/>
    </row>
    <row r="242" ht="15.75" customHeight="1">
      <c r="H242" s="5"/>
    </row>
    <row r="243" ht="15.75" customHeight="1">
      <c r="H243" s="5"/>
    </row>
    <row r="244" ht="15.75" customHeight="1">
      <c r="H244" s="5"/>
    </row>
    <row r="245" ht="15.75" customHeight="1">
      <c r="H245" s="5"/>
    </row>
    <row r="246" ht="15.75" customHeight="1">
      <c r="H246" s="5"/>
    </row>
    <row r="247" ht="15.75" customHeight="1">
      <c r="H247" s="5"/>
    </row>
    <row r="248" ht="15.75" customHeight="1">
      <c r="H248" s="5"/>
    </row>
    <row r="249" ht="15.75" customHeight="1">
      <c r="H249" s="5"/>
    </row>
    <row r="250" ht="15.75" customHeight="1">
      <c r="H250" s="5"/>
    </row>
    <row r="251" ht="15.75" customHeight="1">
      <c r="H251" s="5"/>
    </row>
    <row r="252" ht="15.75" customHeight="1">
      <c r="H252" s="5"/>
    </row>
    <row r="253" ht="15.75" customHeight="1">
      <c r="H253" s="5"/>
    </row>
    <row r="254" ht="15.75" customHeight="1">
      <c r="H254" s="5"/>
    </row>
    <row r="255" ht="15.75" customHeight="1">
      <c r="H255" s="5"/>
    </row>
    <row r="256" ht="15.75" customHeight="1">
      <c r="H256" s="5"/>
    </row>
    <row r="257" ht="15.75" customHeight="1">
      <c r="H257" s="5"/>
    </row>
    <row r="258" ht="15.75" customHeight="1">
      <c r="H258" s="5"/>
    </row>
    <row r="259" ht="15.75" customHeight="1">
      <c r="H259" s="5"/>
    </row>
    <row r="260" ht="15.75" customHeight="1">
      <c r="H260" s="5"/>
    </row>
    <row r="261" ht="15.75" customHeight="1">
      <c r="H261" s="5"/>
    </row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G1"/>
    <mergeCell ref="A3:G3"/>
    <mergeCell ref="A36:G36"/>
    <mergeCell ref="A52:G5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7.88"/>
    <col customWidth="1" min="3" max="3" width="31.5"/>
    <col customWidth="1" min="4" max="4" width="59.75"/>
    <col customWidth="1" min="5" max="5" width="15.75"/>
    <col customWidth="1" min="6" max="6" width="15.0"/>
    <col customWidth="1" min="7" max="7" width="9.38"/>
  </cols>
  <sheetData>
    <row r="1" ht="15.75" customHeight="1">
      <c r="A1" s="2">
        <v>2026.0</v>
      </c>
    </row>
    <row r="2" ht="15.75" customHeight="1">
      <c r="A2" s="4" t="s">
        <v>2</v>
      </c>
      <c r="B2" s="4" t="s">
        <v>6</v>
      </c>
      <c r="C2" s="4" t="s">
        <v>7</v>
      </c>
      <c r="D2" s="4" t="s">
        <v>8</v>
      </c>
      <c r="E2" s="7" t="s">
        <v>9</v>
      </c>
      <c r="F2" s="7" t="s">
        <v>10</v>
      </c>
      <c r="G2" s="7" t="s">
        <v>11</v>
      </c>
      <c r="H2" s="5" t="s">
        <v>73</v>
      </c>
    </row>
    <row r="3" ht="15.75" customHeight="1">
      <c r="A3" s="9" t="s">
        <v>14</v>
      </c>
    </row>
    <row r="4" ht="15.75" customHeight="1">
      <c r="A4" s="11">
        <v>46044.0</v>
      </c>
      <c r="B4" s="12">
        <v>46058.0</v>
      </c>
      <c r="C4" s="1" t="s">
        <v>27</v>
      </c>
      <c r="D4" s="33" t="s">
        <v>24</v>
      </c>
      <c r="E4" s="14">
        <v>29.99</v>
      </c>
      <c r="F4" s="15">
        <f t="shared" ref="F4:F21" si="1">E4*(1-G4)</f>
        <v>11.996</v>
      </c>
      <c r="G4" s="16">
        <v>0.6</v>
      </c>
    </row>
    <row r="5" ht="15.75" customHeight="1">
      <c r="A5" s="11">
        <v>46044.0</v>
      </c>
      <c r="B5" s="12">
        <v>46058.0</v>
      </c>
      <c r="C5" s="1" t="s">
        <v>27</v>
      </c>
      <c r="D5" s="33" t="s">
        <v>76</v>
      </c>
      <c r="E5" s="14">
        <v>39.99</v>
      </c>
      <c r="F5" s="15">
        <f t="shared" si="1"/>
        <v>15.996</v>
      </c>
      <c r="G5" s="16">
        <v>0.6</v>
      </c>
    </row>
    <row r="6" ht="15.75" customHeight="1">
      <c r="A6" s="11">
        <v>46044.0</v>
      </c>
      <c r="B6" s="12">
        <v>46058.0</v>
      </c>
      <c r="C6" s="1" t="s">
        <v>27</v>
      </c>
      <c r="D6" s="35" t="s">
        <v>77</v>
      </c>
      <c r="E6" s="36">
        <v>64.77</v>
      </c>
      <c r="F6" s="37">
        <f t="shared" si="1"/>
        <v>34.9758</v>
      </c>
      <c r="G6" s="38">
        <v>0.46</v>
      </c>
    </row>
    <row r="7" ht="15.75" customHeight="1">
      <c r="A7" s="11">
        <v>46044.0</v>
      </c>
      <c r="B7" s="12">
        <v>46058.0</v>
      </c>
      <c r="C7" s="1" t="s">
        <v>27</v>
      </c>
      <c r="D7" s="35" t="s">
        <v>79</v>
      </c>
      <c r="E7" s="36">
        <v>84.99</v>
      </c>
      <c r="F7" s="37">
        <f t="shared" si="1"/>
        <v>50.994</v>
      </c>
      <c r="G7" s="38">
        <v>0.4</v>
      </c>
    </row>
    <row r="8" ht="15.75" customHeight="1">
      <c r="A8" s="11">
        <v>46044.0</v>
      </c>
      <c r="B8" s="12">
        <v>46058.0</v>
      </c>
      <c r="C8" s="1" t="s">
        <v>27</v>
      </c>
      <c r="D8" s="40" t="s">
        <v>80</v>
      </c>
      <c r="E8" s="36">
        <v>104.99</v>
      </c>
      <c r="F8" s="37">
        <f t="shared" si="1"/>
        <v>75.5928</v>
      </c>
      <c r="G8" s="38">
        <v>0.28</v>
      </c>
    </row>
    <row r="9" ht="15.75" customHeight="1">
      <c r="A9" s="11">
        <v>46044.0</v>
      </c>
      <c r="B9" s="12">
        <v>46058.0</v>
      </c>
      <c r="C9" s="1" t="s">
        <v>27</v>
      </c>
      <c r="D9" s="41" t="s">
        <v>81</v>
      </c>
      <c r="E9" s="14">
        <v>123.95</v>
      </c>
      <c r="F9" s="15">
        <f t="shared" si="1"/>
        <v>99.16</v>
      </c>
      <c r="G9" s="16">
        <v>0.2</v>
      </c>
    </row>
    <row r="10" ht="15.75" customHeight="1">
      <c r="A10" s="11">
        <v>46044.0</v>
      </c>
      <c r="B10" s="12">
        <v>46058.0</v>
      </c>
      <c r="C10" s="1" t="s">
        <v>27</v>
      </c>
      <c r="D10" s="33" t="s">
        <v>82</v>
      </c>
      <c r="E10" s="14">
        <v>6.99</v>
      </c>
      <c r="F10" s="15">
        <f t="shared" si="1"/>
        <v>4.5435</v>
      </c>
      <c r="G10" s="16">
        <v>0.35</v>
      </c>
    </row>
    <row r="11" ht="15.75" customHeight="1">
      <c r="A11" s="11">
        <v>46044.0</v>
      </c>
      <c r="B11" s="12">
        <v>46058.0</v>
      </c>
      <c r="C11" s="1" t="s">
        <v>27</v>
      </c>
      <c r="D11" s="41" t="s">
        <v>83</v>
      </c>
      <c r="E11" s="14">
        <v>11.99</v>
      </c>
      <c r="F11" s="15">
        <f t="shared" si="1"/>
        <v>7.7935</v>
      </c>
      <c r="G11" s="16">
        <v>0.35</v>
      </c>
    </row>
    <row r="12" ht="15.75" customHeight="1">
      <c r="A12" s="11">
        <v>46044.0</v>
      </c>
      <c r="B12" s="12">
        <v>46058.0</v>
      </c>
      <c r="C12" s="1" t="s">
        <v>27</v>
      </c>
      <c r="D12" s="41" t="s">
        <v>84</v>
      </c>
      <c r="E12" s="14">
        <v>6.99</v>
      </c>
      <c r="F12" s="15">
        <f t="shared" si="1"/>
        <v>4.5435</v>
      </c>
      <c r="G12" s="16">
        <v>0.35</v>
      </c>
    </row>
    <row r="13" ht="15.75" customHeight="1">
      <c r="A13" s="11">
        <v>46044.0</v>
      </c>
      <c r="B13" s="12">
        <v>46058.0</v>
      </c>
      <c r="C13" s="1" t="s">
        <v>27</v>
      </c>
      <c r="D13" s="41" t="s">
        <v>85</v>
      </c>
      <c r="E13" s="14">
        <v>6.99</v>
      </c>
      <c r="F13" s="15">
        <f t="shared" si="1"/>
        <v>4.893</v>
      </c>
      <c r="G13" s="16">
        <v>0.3</v>
      </c>
    </row>
    <row r="14" ht="15.75" customHeight="1">
      <c r="A14" s="11">
        <v>46044.0</v>
      </c>
      <c r="B14" s="12">
        <v>46058.0</v>
      </c>
      <c r="C14" s="1" t="s">
        <v>27</v>
      </c>
      <c r="D14" s="41" t="s">
        <v>91</v>
      </c>
      <c r="E14" s="14">
        <v>6.99</v>
      </c>
      <c r="F14" s="15">
        <f t="shared" si="1"/>
        <v>5.2425</v>
      </c>
      <c r="G14" s="16">
        <v>0.25</v>
      </c>
    </row>
    <row r="15" ht="15.75" customHeight="1">
      <c r="A15" s="11">
        <v>46044.0</v>
      </c>
      <c r="B15" s="12">
        <v>46058.0</v>
      </c>
      <c r="C15" s="1" t="s">
        <v>27</v>
      </c>
      <c r="D15" s="41" t="s">
        <v>93</v>
      </c>
      <c r="E15" s="14">
        <v>6.99</v>
      </c>
      <c r="F15" s="15">
        <f t="shared" si="1"/>
        <v>5.592</v>
      </c>
      <c r="G15" s="16">
        <v>0.2</v>
      </c>
    </row>
    <row r="16" ht="15.75" customHeight="1">
      <c r="A16" s="11">
        <v>46044.0</v>
      </c>
      <c r="B16" s="12">
        <v>46058.0</v>
      </c>
      <c r="C16" s="1" t="s">
        <v>27</v>
      </c>
      <c r="D16" s="41" t="s">
        <v>97</v>
      </c>
      <c r="E16" s="14">
        <v>3.99</v>
      </c>
      <c r="F16" s="15">
        <f t="shared" si="1"/>
        <v>3.192</v>
      </c>
      <c r="G16" s="16">
        <v>0.2</v>
      </c>
    </row>
    <row r="17" ht="15.75" customHeight="1">
      <c r="A17" s="11">
        <v>46044.0</v>
      </c>
      <c r="B17" s="12">
        <v>46058.0</v>
      </c>
      <c r="C17" s="1" t="s">
        <v>27</v>
      </c>
      <c r="D17" s="41" t="s">
        <v>99</v>
      </c>
      <c r="E17" s="15">
        <v>24.99</v>
      </c>
      <c r="F17" s="15">
        <f t="shared" si="1"/>
        <v>17.493</v>
      </c>
      <c r="G17" s="16">
        <v>0.3</v>
      </c>
    </row>
    <row r="18" ht="15.75" customHeight="1">
      <c r="A18" s="11">
        <v>46044.0</v>
      </c>
      <c r="B18" s="12">
        <v>46058.0</v>
      </c>
      <c r="C18" s="1" t="s">
        <v>27</v>
      </c>
      <c r="D18" s="41" t="s">
        <v>100</v>
      </c>
      <c r="E18" s="15">
        <v>24.99</v>
      </c>
      <c r="F18" s="15">
        <f t="shared" si="1"/>
        <v>17.493</v>
      </c>
      <c r="G18" s="16">
        <v>0.3</v>
      </c>
    </row>
    <row r="19" ht="15.75" customHeight="1">
      <c r="A19" s="11">
        <v>46044.0</v>
      </c>
      <c r="B19" s="12">
        <v>46058.0</v>
      </c>
      <c r="C19" s="1" t="s">
        <v>27</v>
      </c>
      <c r="D19" s="41" t="s">
        <v>102</v>
      </c>
      <c r="E19" s="15">
        <v>24.99</v>
      </c>
      <c r="F19" s="15">
        <f t="shared" si="1"/>
        <v>18.7425</v>
      </c>
      <c r="G19" s="16">
        <v>0.25</v>
      </c>
    </row>
    <row r="20" ht="15.75" customHeight="1">
      <c r="A20" s="11">
        <v>46044.0</v>
      </c>
      <c r="B20" s="12">
        <v>46058.0</v>
      </c>
      <c r="C20" s="1" t="s">
        <v>27</v>
      </c>
      <c r="D20" s="41" t="s">
        <v>104</v>
      </c>
      <c r="E20" s="15">
        <v>24.99</v>
      </c>
      <c r="F20" s="15">
        <f t="shared" si="1"/>
        <v>19.992</v>
      </c>
      <c r="G20" s="16">
        <v>0.2</v>
      </c>
    </row>
    <row r="21" ht="15.75" customHeight="1">
      <c r="A21" s="11">
        <v>46044.0</v>
      </c>
      <c r="B21" s="12">
        <v>46058.0</v>
      </c>
      <c r="C21" s="1" t="s">
        <v>27</v>
      </c>
      <c r="D21" s="41" t="s">
        <v>105</v>
      </c>
      <c r="E21" s="15">
        <v>24.99</v>
      </c>
      <c r="F21" s="15">
        <f t="shared" si="1"/>
        <v>24.99</v>
      </c>
      <c r="G21" s="16">
        <v>0.0</v>
      </c>
    </row>
    <row r="22" ht="15.75" customHeight="1"/>
    <row r="23" ht="15.75" customHeight="1">
      <c r="A23" s="11">
        <v>46088.0</v>
      </c>
      <c r="B23" s="12">
        <v>46100.0</v>
      </c>
      <c r="C23" s="1" t="s">
        <v>27</v>
      </c>
      <c r="D23" s="33" t="s">
        <v>24</v>
      </c>
      <c r="E23" s="14">
        <v>29.99</v>
      </c>
      <c r="F23" s="15">
        <f t="shared" ref="F23:F40" si="2">E23*(1-G23)</f>
        <v>11.996</v>
      </c>
      <c r="G23" s="16">
        <v>0.6</v>
      </c>
      <c r="H23" s="5" t="s">
        <v>108</v>
      </c>
    </row>
    <row r="24" ht="15.75" customHeight="1">
      <c r="A24" s="11">
        <v>46088.0</v>
      </c>
      <c r="B24" s="12">
        <v>46100.0</v>
      </c>
      <c r="C24" s="1" t="s">
        <v>27</v>
      </c>
      <c r="D24" s="33" t="s">
        <v>76</v>
      </c>
      <c r="E24" s="14">
        <v>39.99</v>
      </c>
      <c r="F24" s="15">
        <f t="shared" si="2"/>
        <v>15.996</v>
      </c>
      <c r="G24" s="16">
        <v>0.6</v>
      </c>
      <c r="H24" s="5" t="s">
        <v>108</v>
      </c>
    </row>
    <row r="25" ht="15.75" customHeight="1">
      <c r="A25" s="11">
        <v>46088.0</v>
      </c>
      <c r="B25" s="12">
        <v>46100.0</v>
      </c>
      <c r="C25" s="1" t="s">
        <v>27</v>
      </c>
      <c r="D25" s="35" t="s">
        <v>77</v>
      </c>
      <c r="E25" s="36">
        <v>64.77</v>
      </c>
      <c r="F25" s="37">
        <f t="shared" si="2"/>
        <v>34.9758</v>
      </c>
      <c r="G25" s="38">
        <v>0.46</v>
      </c>
      <c r="H25" s="5" t="s">
        <v>108</v>
      </c>
    </row>
    <row r="26" ht="15.75" customHeight="1">
      <c r="A26" s="11">
        <v>46088.0</v>
      </c>
      <c r="B26" s="12">
        <v>46100.0</v>
      </c>
      <c r="C26" s="1" t="s">
        <v>27</v>
      </c>
      <c r="D26" s="35" t="s">
        <v>79</v>
      </c>
      <c r="E26" s="36">
        <v>84.99</v>
      </c>
      <c r="F26" s="37">
        <f t="shared" si="2"/>
        <v>50.994</v>
      </c>
      <c r="G26" s="38">
        <v>0.4</v>
      </c>
      <c r="H26" s="5" t="s">
        <v>108</v>
      </c>
    </row>
    <row r="27" ht="15.75" customHeight="1">
      <c r="A27" s="11">
        <v>46088.0</v>
      </c>
      <c r="B27" s="12">
        <v>46100.0</v>
      </c>
      <c r="C27" s="1" t="s">
        <v>27</v>
      </c>
      <c r="D27" s="40" t="s">
        <v>80</v>
      </c>
      <c r="E27" s="36">
        <v>104.99</v>
      </c>
      <c r="F27" s="37">
        <f t="shared" si="2"/>
        <v>75.5928</v>
      </c>
      <c r="G27" s="38">
        <v>0.28</v>
      </c>
      <c r="H27" s="5" t="s">
        <v>108</v>
      </c>
    </row>
    <row r="28" ht="15.75" customHeight="1">
      <c r="A28" s="11">
        <v>46088.0</v>
      </c>
      <c r="B28" s="12">
        <v>46100.0</v>
      </c>
      <c r="C28" s="1" t="s">
        <v>27</v>
      </c>
      <c r="D28" s="41" t="s">
        <v>81</v>
      </c>
      <c r="E28" s="14">
        <v>123.95</v>
      </c>
      <c r="F28" s="15">
        <f t="shared" si="2"/>
        <v>99.16</v>
      </c>
      <c r="G28" s="16">
        <v>0.2</v>
      </c>
      <c r="H28" s="5" t="s">
        <v>108</v>
      </c>
    </row>
    <row r="29" ht="15.75" customHeight="1">
      <c r="A29" s="11">
        <v>46088.0</v>
      </c>
      <c r="B29" s="12">
        <v>46100.0</v>
      </c>
      <c r="C29" s="1" t="s">
        <v>27</v>
      </c>
      <c r="D29" s="33" t="s">
        <v>82</v>
      </c>
      <c r="E29" s="14">
        <v>6.99</v>
      </c>
      <c r="F29" s="15">
        <f t="shared" si="2"/>
        <v>4.5435</v>
      </c>
      <c r="G29" s="16">
        <v>0.35</v>
      </c>
    </row>
    <row r="30" ht="15.75" customHeight="1">
      <c r="A30" s="11">
        <v>46088.0</v>
      </c>
      <c r="B30" s="12">
        <v>46100.0</v>
      </c>
      <c r="C30" s="1" t="s">
        <v>27</v>
      </c>
      <c r="D30" s="41" t="s">
        <v>83</v>
      </c>
      <c r="E30" s="14">
        <v>11.99</v>
      </c>
      <c r="F30" s="15">
        <f t="shared" si="2"/>
        <v>7.7935</v>
      </c>
      <c r="G30" s="16">
        <v>0.35</v>
      </c>
    </row>
    <row r="31" ht="15.75" customHeight="1">
      <c r="A31" s="11">
        <v>46088.0</v>
      </c>
      <c r="B31" s="12">
        <v>46100.0</v>
      </c>
      <c r="C31" s="1" t="s">
        <v>27</v>
      </c>
      <c r="D31" s="41" t="s">
        <v>84</v>
      </c>
      <c r="E31" s="14">
        <v>6.99</v>
      </c>
      <c r="F31" s="15">
        <f t="shared" si="2"/>
        <v>4.5435</v>
      </c>
      <c r="G31" s="16">
        <v>0.35</v>
      </c>
    </row>
    <row r="32" ht="15.75" customHeight="1">
      <c r="A32" s="11">
        <v>46088.0</v>
      </c>
      <c r="B32" s="12">
        <v>46100.0</v>
      </c>
      <c r="C32" s="1" t="s">
        <v>27</v>
      </c>
      <c r="D32" s="41" t="s">
        <v>85</v>
      </c>
      <c r="E32" s="14">
        <v>6.99</v>
      </c>
      <c r="F32" s="15">
        <f t="shared" si="2"/>
        <v>4.893</v>
      </c>
      <c r="G32" s="16">
        <v>0.3</v>
      </c>
    </row>
    <row r="33" ht="15.75" customHeight="1">
      <c r="A33" s="11">
        <v>46088.0</v>
      </c>
      <c r="B33" s="12">
        <v>46100.0</v>
      </c>
      <c r="C33" s="1" t="s">
        <v>27</v>
      </c>
      <c r="D33" s="41" t="s">
        <v>91</v>
      </c>
      <c r="E33" s="14">
        <v>6.99</v>
      </c>
      <c r="F33" s="15">
        <f t="shared" si="2"/>
        <v>5.2425</v>
      </c>
      <c r="G33" s="16">
        <v>0.25</v>
      </c>
    </row>
    <row r="34" ht="15.75" customHeight="1">
      <c r="A34" s="11">
        <v>46088.0</v>
      </c>
      <c r="B34" s="12">
        <v>46100.0</v>
      </c>
      <c r="C34" s="1" t="s">
        <v>27</v>
      </c>
      <c r="D34" s="41" t="s">
        <v>93</v>
      </c>
      <c r="E34" s="14">
        <v>6.99</v>
      </c>
      <c r="F34" s="15">
        <f t="shared" si="2"/>
        <v>5.592</v>
      </c>
      <c r="G34" s="16">
        <v>0.2</v>
      </c>
    </row>
    <row r="35" ht="15.75" customHeight="1">
      <c r="A35" s="11">
        <v>46088.0</v>
      </c>
      <c r="B35" s="12">
        <v>46100.0</v>
      </c>
      <c r="C35" s="1" t="s">
        <v>27</v>
      </c>
      <c r="D35" s="41" t="s">
        <v>97</v>
      </c>
      <c r="E35" s="14">
        <v>3.99</v>
      </c>
      <c r="F35" s="15">
        <f t="shared" si="2"/>
        <v>3.192</v>
      </c>
      <c r="G35" s="16">
        <v>0.2</v>
      </c>
    </row>
    <row r="36" ht="15.75" customHeight="1">
      <c r="A36" s="11">
        <v>46088.0</v>
      </c>
      <c r="B36" s="12">
        <v>46100.0</v>
      </c>
      <c r="C36" s="1" t="s">
        <v>27</v>
      </c>
      <c r="D36" s="41" t="s">
        <v>99</v>
      </c>
      <c r="E36" s="15">
        <v>24.99</v>
      </c>
      <c r="F36" s="15">
        <f t="shared" si="2"/>
        <v>17.493</v>
      </c>
      <c r="G36" s="16">
        <v>0.3</v>
      </c>
    </row>
    <row r="37" ht="15.75" customHeight="1">
      <c r="A37" s="11">
        <v>46088.0</v>
      </c>
      <c r="B37" s="12">
        <v>46100.0</v>
      </c>
      <c r="C37" s="1" t="s">
        <v>27</v>
      </c>
      <c r="D37" s="41" t="s">
        <v>100</v>
      </c>
      <c r="E37" s="15">
        <v>24.99</v>
      </c>
      <c r="F37" s="15">
        <f t="shared" si="2"/>
        <v>17.493</v>
      </c>
      <c r="G37" s="16">
        <v>0.3</v>
      </c>
    </row>
    <row r="38" ht="15.75" customHeight="1">
      <c r="A38" s="11">
        <v>46088.0</v>
      </c>
      <c r="B38" s="12">
        <v>46100.0</v>
      </c>
      <c r="C38" s="1" t="s">
        <v>27</v>
      </c>
      <c r="D38" s="41" t="s">
        <v>102</v>
      </c>
      <c r="E38" s="15">
        <v>24.99</v>
      </c>
      <c r="F38" s="15">
        <f t="shared" si="2"/>
        <v>18.7425</v>
      </c>
      <c r="G38" s="16">
        <v>0.25</v>
      </c>
    </row>
    <row r="39" ht="15.75" customHeight="1">
      <c r="A39" s="11">
        <v>46088.0</v>
      </c>
      <c r="B39" s="12">
        <v>46100.0</v>
      </c>
      <c r="C39" s="1" t="s">
        <v>27</v>
      </c>
      <c r="D39" s="41" t="s">
        <v>104</v>
      </c>
      <c r="E39" s="15">
        <v>24.99</v>
      </c>
      <c r="F39" s="15">
        <f t="shared" si="2"/>
        <v>19.992</v>
      </c>
      <c r="G39" s="16">
        <v>0.2</v>
      </c>
    </row>
    <row r="40" ht="15.75" customHeight="1">
      <c r="A40" s="11">
        <v>46088.0</v>
      </c>
      <c r="B40" s="12">
        <v>46100.0</v>
      </c>
      <c r="C40" s="1" t="s">
        <v>27</v>
      </c>
      <c r="D40" s="41" t="s">
        <v>105</v>
      </c>
      <c r="E40" s="15">
        <v>24.99</v>
      </c>
      <c r="F40" s="15">
        <f t="shared" si="2"/>
        <v>24.99</v>
      </c>
      <c r="G40" s="16">
        <v>0.0</v>
      </c>
    </row>
    <row r="41" ht="15.75" customHeight="1"/>
    <row r="42" ht="15.75" customHeight="1">
      <c r="A42" s="11">
        <v>46100.0</v>
      </c>
      <c r="B42" s="12">
        <v>46107.0</v>
      </c>
      <c r="C42" s="1" t="s">
        <v>54</v>
      </c>
      <c r="D42" s="33" t="s">
        <v>24</v>
      </c>
      <c r="E42" s="14">
        <v>29.99</v>
      </c>
      <c r="F42" s="15">
        <f t="shared" ref="F42:F60" si="3">E42*(1-G42)</f>
        <v>11.996</v>
      </c>
      <c r="G42" s="16">
        <v>0.6</v>
      </c>
    </row>
    <row r="43" ht="15.75" customHeight="1">
      <c r="A43" s="11">
        <v>46100.0</v>
      </c>
      <c r="B43" s="12">
        <v>46107.0</v>
      </c>
      <c r="C43" s="1" t="s">
        <v>54</v>
      </c>
      <c r="D43" s="33" t="s">
        <v>76</v>
      </c>
      <c r="E43" s="14">
        <v>39.99</v>
      </c>
      <c r="F43" s="15">
        <f t="shared" si="3"/>
        <v>15.996</v>
      </c>
      <c r="G43" s="16">
        <v>0.6</v>
      </c>
    </row>
    <row r="44" ht="15.75" customHeight="1">
      <c r="A44" s="11">
        <v>46100.0</v>
      </c>
      <c r="B44" s="12">
        <v>46107.0</v>
      </c>
      <c r="C44" s="1" t="s">
        <v>54</v>
      </c>
      <c r="D44" s="35" t="s">
        <v>77</v>
      </c>
      <c r="E44" s="36">
        <v>64.77</v>
      </c>
      <c r="F44" s="37">
        <f t="shared" si="3"/>
        <v>34.9758</v>
      </c>
      <c r="G44" s="38">
        <v>0.46</v>
      </c>
    </row>
    <row r="45" ht="15.75" customHeight="1">
      <c r="A45" s="11">
        <v>46100.0</v>
      </c>
      <c r="B45" s="12">
        <v>46107.0</v>
      </c>
      <c r="C45" s="1" t="s">
        <v>54</v>
      </c>
      <c r="D45" s="35" t="s">
        <v>79</v>
      </c>
      <c r="E45" s="36">
        <v>84.99</v>
      </c>
      <c r="F45" s="37">
        <f t="shared" si="3"/>
        <v>50.994</v>
      </c>
      <c r="G45" s="38">
        <v>0.4</v>
      </c>
    </row>
    <row r="46" ht="15.75" customHeight="1">
      <c r="A46" s="11">
        <v>46100.0</v>
      </c>
      <c r="B46" s="12">
        <v>46107.0</v>
      </c>
      <c r="C46" s="1" t="s">
        <v>54</v>
      </c>
      <c r="D46" s="40" t="s">
        <v>80</v>
      </c>
      <c r="E46" s="36">
        <v>104.99</v>
      </c>
      <c r="F46" s="37">
        <f t="shared" si="3"/>
        <v>75.5928</v>
      </c>
      <c r="G46" s="38">
        <v>0.28</v>
      </c>
    </row>
    <row r="47" ht="15.75" customHeight="1">
      <c r="A47" s="11">
        <v>46100.0</v>
      </c>
      <c r="B47" s="12">
        <v>46107.0</v>
      </c>
      <c r="C47" s="1" t="s">
        <v>54</v>
      </c>
      <c r="D47" s="41" t="s">
        <v>81</v>
      </c>
      <c r="E47" s="14">
        <v>123.95</v>
      </c>
      <c r="F47" s="15">
        <f t="shared" si="3"/>
        <v>99.16</v>
      </c>
      <c r="G47" s="16">
        <v>0.2</v>
      </c>
    </row>
    <row r="48" ht="15.75" customHeight="1">
      <c r="A48" s="11">
        <v>46100.0</v>
      </c>
      <c r="B48" s="12">
        <v>46107.0</v>
      </c>
      <c r="C48" s="1" t="s">
        <v>54</v>
      </c>
      <c r="D48" s="33" t="s">
        <v>82</v>
      </c>
      <c r="E48" s="14">
        <v>6.99</v>
      </c>
      <c r="F48" s="15">
        <f t="shared" si="3"/>
        <v>4.5435</v>
      </c>
      <c r="G48" s="16">
        <v>0.35</v>
      </c>
    </row>
    <row r="49" ht="15.75" customHeight="1">
      <c r="A49" s="11">
        <v>46100.0</v>
      </c>
      <c r="B49" s="12">
        <v>46107.0</v>
      </c>
      <c r="C49" s="1" t="s">
        <v>54</v>
      </c>
      <c r="D49" s="41" t="s">
        <v>83</v>
      </c>
      <c r="E49" s="14">
        <v>11.99</v>
      </c>
      <c r="F49" s="15">
        <f t="shared" si="3"/>
        <v>7.7935</v>
      </c>
      <c r="G49" s="16">
        <v>0.35</v>
      </c>
    </row>
    <row r="50" ht="15.75" customHeight="1">
      <c r="A50" s="11">
        <v>46100.0</v>
      </c>
      <c r="B50" s="12">
        <v>46107.0</v>
      </c>
      <c r="C50" s="1" t="s">
        <v>54</v>
      </c>
      <c r="D50" s="41" t="s">
        <v>84</v>
      </c>
      <c r="E50" s="14">
        <v>6.99</v>
      </c>
      <c r="F50" s="15">
        <f t="shared" si="3"/>
        <v>4.5435</v>
      </c>
      <c r="G50" s="16">
        <v>0.35</v>
      </c>
    </row>
    <row r="51" ht="15.75" customHeight="1">
      <c r="A51" s="11">
        <v>46100.0</v>
      </c>
      <c r="B51" s="12">
        <v>46107.0</v>
      </c>
      <c r="C51" s="1" t="s">
        <v>54</v>
      </c>
      <c r="D51" s="41" t="s">
        <v>85</v>
      </c>
      <c r="E51" s="14">
        <v>6.99</v>
      </c>
      <c r="F51" s="15">
        <f t="shared" si="3"/>
        <v>4.893</v>
      </c>
      <c r="G51" s="16">
        <v>0.3</v>
      </c>
    </row>
    <row r="52" ht="15.75" customHeight="1">
      <c r="A52" s="11">
        <v>46100.0</v>
      </c>
      <c r="B52" s="12">
        <v>46107.0</v>
      </c>
      <c r="C52" s="1" t="s">
        <v>54</v>
      </c>
      <c r="D52" s="41" t="s">
        <v>91</v>
      </c>
      <c r="E52" s="14">
        <v>6.99</v>
      </c>
      <c r="F52" s="15">
        <f t="shared" si="3"/>
        <v>5.2425</v>
      </c>
      <c r="G52" s="16">
        <v>0.25</v>
      </c>
    </row>
    <row r="53" ht="15.75" customHeight="1">
      <c r="A53" s="11">
        <v>46100.0</v>
      </c>
      <c r="B53" s="12">
        <v>46107.0</v>
      </c>
      <c r="C53" s="1" t="s">
        <v>54</v>
      </c>
      <c r="D53" s="41" t="s">
        <v>93</v>
      </c>
      <c r="E53" s="14">
        <v>6.99</v>
      </c>
      <c r="F53" s="15">
        <f t="shared" si="3"/>
        <v>5.592</v>
      </c>
      <c r="G53" s="16">
        <v>0.2</v>
      </c>
    </row>
    <row r="54" ht="15.75" customHeight="1">
      <c r="A54" s="11">
        <v>46100.0</v>
      </c>
      <c r="B54" s="12">
        <v>46107.0</v>
      </c>
      <c r="C54" s="1" t="s">
        <v>54</v>
      </c>
      <c r="D54" s="41" t="s">
        <v>141</v>
      </c>
      <c r="E54" s="14">
        <v>6.99</v>
      </c>
      <c r="F54" s="15">
        <f t="shared" si="3"/>
        <v>6.99</v>
      </c>
      <c r="G54" s="16">
        <v>0.0</v>
      </c>
    </row>
    <row r="55" ht="15.75" customHeight="1">
      <c r="A55" s="11">
        <v>46100.0</v>
      </c>
      <c r="B55" s="12">
        <v>46107.0</v>
      </c>
      <c r="C55" s="1" t="s">
        <v>54</v>
      </c>
      <c r="D55" s="41" t="s">
        <v>97</v>
      </c>
      <c r="E55" s="14">
        <v>3.99</v>
      </c>
      <c r="F55" s="15">
        <f t="shared" si="3"/>
        <v>3.192</v>
      </c>
      <c r="G55" s="16">
        <v>0.2</v>
      </c>
    </row>
    <row r="56" ht="15.75" customHeight="1">
      <c r="A56" s="11">
        <v>46100.0</v>
      </c>
      <c r="B56" s="12">
        <v>46107.0</v>
      </c>
      <c r="C56" s="1" t="s">
        <v>54</v>
      </c>
      <c r="D56" s="41" t="s">
        <v>99</v>
      </c>
      <c r="E56" s="15">
        <v>24.99</v>
      </c>
      <c r="F56" s="15">
        <f t="shared" si="3"/>
        <v>17.493</v>
      </c>
      <c r="G56" s="16">
        <v>0.3</v>
      </c>
    </row>
    <row r="57" ht="15.75" customHeight="1">
      <c r="A57" s="11">
        <v>46100.0</v>
      </c>
      <c r="B57" s="12">
        <v>46107.0</v>
      </c>
      <c r="C57" s="1" t="s">
        <v>54</v>
      </c>
      <c r="D57" s="41" t="s">
        <v>100</v>
      </c>
      <c r="E57" s="15">
        <v>24.99</v>
      </c>
      <c r="F57" s="15">
        <f t="shared" si="3"/>
        <v>17.493</v>
      </c>
      <c r="G57" s="16">
        <v>0.3</v>
      </c>
    </row>
    <row r="58" ht="15.75" customHeight="1">
      <c r="A58" s="11">
        <v>46100.0</v>
      </c>
      <c r="B58" s="12">
        <v>46107.0</v>
      </c>
      <c r="C58" s="1" t="s">
        <v>54</v>
      </c>
      <c r="D58" s="41" t="s">
        <v>102</v>
      </c>
      <c r="E58" s="15">
        <v>24.99</v>
      </c>
      <c r="F58" s="15">
        <f t="shared" si="3"/>
        <v>18.7425</v>
      </c>
      <c r="G58" s="16">
        <v>0.25</v>
      </c>
    </row>
    <row r="59" ht="15.75" customHeight="1">
      <c r="A59" s="11">
        <v>46100.0</v>
      </c>
      <c r="B59" s="12">
        <v>46107.0</v>
      </c>
      <c r="C59" s="1" t="s">
        <v>54</v>
      </c>
      <c r="D59" s="41" t="s">
        <v>104</v>
      </c>
      <c r="E59" s="15">
        <v>24.99</v>
      </c>
      <c r="F59" s="15">
        <f t="shared" si="3"/>
        <v>19.992</v>
      </c>
      <c r="G59" s="16">
        <v>0.2</v>
      </c>
    </row>
    <row r="60" ht="15.75" customHeight="1">
      <c r="A60" s="11">
        <v>46100.0</v>
      </c>
      <c r="B60" s="12">
        <v>46107.0</v>
      </c>
      <c r="C60" s="1" t="s">
        <v>54</v>
      </c>
      <c r="D60" s="49" t="s">
        <v>105</v>
      </c>
      <c r="E60" s="15">
        <v>24.99</v>
      </c>
      <c r="F60" s="15">
        <f t="shared" si="3"/>
        <v>24.99</v>
      </c>
      <c r="G60" s="16">
        <v>0.0</v>
      </c>
    </row>
    <row r="61" ht="15.75" customHeight="1"/>
    <row r="62" ht="15.75" customHeight="1">
      <c r="A62" s="11">
        <v>46130.0</v>
      </c>
      <c r="B62" s="12">
        <v>46144.0</v>
      </c>
      <c r="C62" s="1" t="s">
        <v>27</v>
      </c>
      <c r="D62" s="33" t="s">
        <v>24</v>
      </c>
      <c r="E62" s="14">
        <v>29.99</v>
      </c>
      <c r="F62" s="15">
        <f t="shared" ref="F62:F77" si="4">E62*(1-G62)</f>
        <v>11.996</v>
      </c>
      <c r="G62" s="16">
        <v>0.6</v>
      </c>
    </row>
    <row r="63" ht="15.75" customHeight="1">
      <c r="A63" s="11">
        <v>46130.0</v>
      </c>
      <c r="B63" s="12">
        <v>46144.0</v>
      </c>
      <c r="C63" s="1" t="s">
        <v>27</v>
      </c>
      <c r="D63" s="33" t="s">
        <v>76</v>
      </c>
      <c r="E63" s="14">
        <v>39.99</v>
      </c>
      <c r="F63" s="15">
        <f t="shared" si="4"/>
        <v>15.996</v>
      </c>
      <c r="G63" s="16">
        <v>0.6</v>
      </c>
    </row>
    <row r="64" ht="15.75" customHeight="1">
      <c r="A64" s="11">
        <v>46130.0</v>
      </c>
      <c r="B64" s="12">
        <v>46144.0</v>
      </c>
      <c r="C64" s="1" t="s">
        <v>27</v>
      </c>
      <c r="D64" s="35" t="s">
        <v>77</v>
      </c>
      <c r="E64" s="36">
        <v>64.77</v>
      </c>
      <c r="F64" s="37">
        <f t="shared" si="4"/>
        <v>34.9758</v>
      </c>
      <c r="G64" s="38">
        <v>0.46</v>
      </c>
    </row>
    <row r="65" ht="15.75" customHeight="1">
      <c r="A65" s="11">
        <v>46130.0</v>
      </c>
      <c r="B65" s="12">
        <v>46144.0</v>
      </c>
      <c r="C65" s="1" t="s">
        <v>27</v>
      </c>
      <c r="D65" s="35" t="s">
        <v>79</v>
      </c>
      <c r="E65" s="36">
        <v>84.99</v>
      </c>
      <c r="F65" s="37">
        <f t="shared" si="4"/>
        <v>50.994</v>
      </c>
      <c r="G65" s="38">
        <v>0.4</v>
      </c>
    </row>
    <row r="66" ht="15.75" customHeight="1">
      <c r="A66" s="11">
        <v>46130.0</v>
      </c>
      <c r="B66" s="12">
        <v>46144.0</v>
      </c>
      <c r="C66" s="1" t="s">
        <v>27</v>
      </c>
      <c r="D66" s="40" t="s">
        <v>80</v>
      </c>
      <c r="E66" s="36">
        <v>104.99</v>
      </c>
      <c r="F66" s="37">
        <f t="shared" si="4"/>
        <v>75.5928</v>
      </c>
      <c r="G66" s="38">
        <v>0.28</v>
      </c>
    </row>
    <row r="67" ht="15.75" customHeight="1">
      <c r="A67" s="11">
        <v>46130.0</v>
      </c>
      <c r="B67" s="12">
        <v>46144.0</v>
      </c>
      <c r="C67" s="1" t="s">
        <v>27</v>
      </c>
      <c r="D67" s="41" t="s">
        <v>81</v>
      </c>
      <c r="E67" s="14">
        <v>123.95</v>
      </c>
      <c r="F67" s="15">
        <f t="shared" si="4"/>
        <v>99.16</v>
      </c>
      <c r="G67" s="16">
        <v>0.2</v>
      </c>
    </row>
    <row r="68" ht="15.75" customHeight="1">
      <c r="A68" s="11">
        <v>46130.0</v>
      </c>
      <c r="B68" s="12">
        <v>46144.0</v>
      </c>
      <c r="C68" s="1" t="s">
        <v>27</v>
      </c>
      <c r="D68" s="33" t="s">
        <v>154</v>
      </c>
      <c r="E68" s="14">
        <v>6.99</v>
      </c>
      <c r="F68" s="15">
        <f t="shared" si="4"/>
        <v>4.5435</v>
      </c>
      <c r="G68" s="16">
        <v>0.35</v>
      </c>
    </row>
    <row r="69" ht="15.75" customHeight="1">
      <c r="A69" s="11">
        <v>46130.0</v>
      </c>
      <c r="B69" s="12">
        <v>46144.0</v>
      </c>
      <c r="C69" s="1" t="s">
        <v>27</v>
      </c>
      <c r="D69" s="41" t="s">
        <v>91</v>
      </c>
      <c r="E69" s="14">
        <v>6.99</v>
      </c>
      <c r="F69" s="15">
        <f t="shared" si="4"/>
        <v>4.5435</v>
      </c>
      <c r="G69" s="23">
        <v>0.35</v>
      </c>
    </row>
    <row r="70" ht="15.75" customHeight="1">
      <c r="A70" s="11">
        <v>46130.0</v>
      </c>
      <c r="B70" s="12">
        <v>46144.0</v>
      </c>
      <c r="C70" s="1" t="s">
        <v>27</v>
      </c>
      <c r="D70" s="41" t="s">
        <v>93</v>
      </c>
      <c r="E70" s="14">
        <v>6.99</v>
      </c>
      <c r="F70" s="15">
        <f t="shared" si="4"/>
        <v>4.893</v>
      </c>
      <c r="G70" s="23">
        <v>0.3</v>
      </c>
    </row>
    <row r="71" ht="15.75" customHeight="1">
      <c r="A71" s="11">
        <v>46130.0</v>
      </c>
      <c r="B71" s="12">
        <v>46144.0</v>
      </c>
      <c r="C71" s="1" t="s">
        <v>27</v>
      </c>
      <c r="D71" s="41" t="s">
        <v>141</v>
      </c>
      <c r="E71" s="14">
        <v>6.99</v>
      </c>
      <c r="F71" s="15">
        <f t="shared" si="4"/>
        <v>5.2425</v>
      </c>
      <c r="G71" s="23">
        <v>0.25</v>
      </c>
    </row>
    <row r="72" ht="15.75" customHeight="1">
      <c r="A72" s="11">
        <v>46130.0</v>
      </c>
      <c r="B72" s="12">
        <v>46144.0</v>
      </c>
      <c r="C72" s="1" t="s">
        <v>27</v>
      </c>
      <c r="D72" s="41" t="s">
        <v>97</v>
      </c>
      <c r="E72" s="14">
        <v>3.99</v>
      </c>
      <c r="F72" s="15">
        <f t="shared" si="4"/>
        <v>3.192</v>
      </c>
      <c r="G72" s="16">
        <v>0.2</v>
      </c>
    </row>
    <row r="73" ht="15.75" customHeight="1">
      <c r="A73" s="11">
        <v>46130.0</v>
      </c>
      <c r="B73" s="12">
        <v>46144.0</v>
      </c>
      <c r="C73" s="1" t="s">
        <v>27</v>
      </c>
      <c r="D73" s="41" t="s">
        <v>99</v>
      </c>
      <c r="E73" s="15">
        <v>24.99</v>
      </c>
      <c r="F73" s="15">
        <f t="shared" si="4"/>
        <v>17.493</v>
      </c>
      <c r="G73" s="16">
        <v>0.3</v>
      </c>
    </row>
    <row r="74" ht="15.75" customHeight="1">
      <c r="A74" s="11">
        <v>46130.0</v>
      </c>
      <c r="B74" s="12">
        <v>46144.0</v>
      </c>
      <c r="C74" s="1" t="s">
        <v>27</v>
      </c>
      <c r="D74" s="41" t="s">
        <v>100</v>
      </c>
      <c r="E74" s="15">
        <v>24.99</v>
      </c>
      <c r="F74" s="15">
        <f t="shared" si="4"/>
        <v>17.493</v>
      </c>
      <c r="G74" s="16">
        <v>0.3</v>
      </c>
    </row>
    <row r="75" ht="15.75" customHeight="1">
      <c r="A75" s="11">
        <v>46130.0</v>
      </c>
      <c r="B75" s="12">
        <v>46144.0</v>
      </c>
      <c r="C75" s="1" t="s">
        <v>27</v>
      </c>
      <c r="D75" s="41" t="s">
        <v>102</v>
      </c>
      <c r="E75" s="15">
        <v>24.99</v>
      </c>
      <c r="F75" s="15">
        <f t="shared" si="4"/>
        <v>17.493</v>
      </c>
      <c r="G75" s="23">
        <v>0.3</v>
      </c>
    </row>
    <row r="76" ht="15.75" customHeight="1">
      <c r="A76" s="11">
        <v>46130.0</v>
      </c>
      <c r="B76" s="12">
        <v>46144.0</v>
      </c>
      <c r="C76" s="1" t="s">
        <v>27</v>
      </c>
      <c r="D76" s="41" t="s">
        <v>104</v>
      </c>
      <c r="E76" s="15">
        <v>24.99</v>
      </c>
      <c r="F76" s="15">
        <f t="shared" si="4"/>
        <v>19.992</v>
      </c>
      <c r="G76" s="16">
        <v>0.2</v>
      </c>
    </row>
    <row r="77" ht="15.75" customHeight="1">
      <c r="A77" s="11">
        <v>46130.0</v>
      </c>
      <c r="B77" s="12">
        <v>46144.0</v>
      </c>
      <c r="C77" s="1" t="s">
        <v>27</v>
      </c>
      <c r="D77" s="41" t="s">
        <v>105</v>
      </c>
      <c r="E77" s="15">
        <v>24.99</v>
      </c>
      <c r="F77" s="15">
        <f t="shared" si="4"/>
        <v>24.99</v>
      </c>
      <c r="G77" s="16">
        <v>0.0</v>
      </c>
    </row>
    <row r="78" ht="15.75" customHeight="1"/>
    <row r="79" ht="15.75" customHeight="1">
      <c r="A79" s="11">
        <v>46174.0</v>
      </c>
      <c r="B79" s="12">
        <v>46188.0</v>
      </c>
      <c r="C79" s="1" t="s">
        <v>27</v>
      </c>
      <c r="D79" s="33" t="s">
        <v>24</v>
      </c>
      <c r="E79" s="14">
        <v>29.99</v>
      </c>
      <c r="F79" s="15">
        <f t="shared" ref="F79:F95" si="5">E79*(1-G79)</f>
        <v>11.996</v>
      </c>
      <c r="G79" s="16">
        <v>0.6</v>
      </c>
    </row>
    <row r="80" ht="15.75" customHeight="1">
      <c r="A80" s="11">
        <v>46174.0</v>
      </c>
      <c r="B80" s="12">
        <v>46188.0</v>
      </c>
      <c r="C80" s="1" t="s">
        <v>27</v>
      </c>
      <c r="D80" s="33" t="s">
        <v>76</v>
      </c>
      <c r="E80" s="14">
        <v>39.99</v>
      </c>
      <c r="F80" s="15">
        <f t="shared" si="5"/>
        <v>15.996</v>
      </c>
      <c r="G80" s="16">
        <v>0.6</v>
      </c>
    </row>
    <row r="81" ht="15.75" customHeight="1">
      <c r="A81" s="11">
        <v>46174.0</v>
      </c>
      <c r="B81" s="12">
        <v>46188.0</v>
      </c>
      <c r="C81" s="1" t="s">
        <v>27</v>
      </c>
      <c r="D81" s="35" t="s">
        <v>77</v>
      </c>
      <c r="E81" s="36">
        <v>64.77</v>
      </c>
      <c r="F81" s="37">
        <f t="shared" si="5"/>
        <v>34.9758</v>
      </c>
      <c r="G81" s="38">
        <v>0.46</v>
      </c>
    </row>
    <row r="82" ht="15.75" customHeight="1">
      <c r="A82" s="11">
        <v>46174.0</v>
      </c>
      <c r="B82" s="12">
        <v>46188.0</v>
      </c>
      <c r="C82" s="1" t="s">
        <v>27</v>
      </c>
      <c r="D82" s="35" t="s">
        <v>79</v>
      </c>
      <c r="E82" s="36">
        <v>84.99</v>
      </c>
      <c r="F82" s="37">
        <f t="shared" si="5"/>
        <v>50.994</v>
      </c>
      <c r="G82" s="38">
        <v>0.4</v>
      </c>
    </row>
    <row r="83" ht="15.75" customHeight="1">
      <c r="A83" s="11">
        <v>46174.0</v>
      </c>
      <c r="B83" s="12">
        <v>46188.0</v>
      </c>
      <c r="C83" s="1" t="s">
        <v>27</v>
      </c>
      <c r="D83" s="40" t="s">
        <v>80</v>
      </c>
      <c r="E83" s="36">
        <v>104.99</v>
      </c>
      <c r="F83" s="37">
        <f t="shared" si="5"/>
        <v>75.5928</v>
      </c>
      <c r="G83" s="38">
        <v>0.28</v>
      </c>
    </row>
    <row r="84" ht="15.75" customHeight="1">
      <c r="A84" s="11">
        <v>46174.0</v>
      </c>
      <c r="B84" s="12">
        <v>46188.0</v>
      </c>
      <c r="C84" s="1" t="s">
        <v>27</v>
      </c>
      <c r="D84" s="41" t="s">
        <v>81</v>
      </c>
      <c r="E84" s="14">
        <v>123.95</v>
      </c>
      <c r="F84" s="15">
        <f t="shared" si="5"/>
        <v>99.16</v>
      </c>
      <c r="G84" s="16">
        <v>0.2</v>
      </c>
    </row>
    <row r="85" ht="15.75" customHeight="1">
      <c r="A85" s="11">
        <v>46174.0</v>
      </c>
      <c r="B85" s="12">
        <v>46188.0</v>
      </c>
      <c r="C85" s="1" t="s">
        <v>27</v>
      </c>
      <c r="D85" s="33" t="s">
        <v>156</v>
      </c>
      <c r="E85" s="14">
        <v>6.99</v>
      </c>
      <c r="F85" s="15">
        <f t="shared" si="5"/>
        <v>4.194</v>
      </c>
      <c r="G85" s="23">
        <v>0.4</v>
      </c>
    </row>
    <row r="86" ht="15.75" customHeight="1">
      <c r="A86" s="11">
        <v>46174.0</v>
      </c>
      <c r="B86" s="12">
        <v>46188.0</v>
      </c>
      <c r="C86" s="1" t="s">
        <v>27</v>
      </c>
      <c r="D86" s="33" t="s">
        <v>157</v>
      </c>
      <c r="E86" s="14">
        <v>6.99</v>
      </c>
      <c r="F86" s="15">
        <f t="shared" si="5"/>
        <v>4.5435</v>
      </c>
      <c r="G86" s="16">
        <v>0.35</v>
      </c>
    </row>
    <row r="87" ht="15.75" customHeight="1">
      <c r="A87" s="11">
        <v>46174.0</v>
      </c>
      <c r="B87" s="12">
        <v>46188.0</v>
      </c>
      <c r="C87" s="1" t="s">
        <v>27</v>
      </c>
      <c r="D87" s="41" t="s">
        <v>91</v>
      </c>
      <c r="E87" s="14">
        <v>6.99</v>
      </c>
      <c r="F87" s="15">
        <f t="shared" si="5"/>
        <v>4.893</v>
      </c>
      <c r="G87" s="16">
        <v>0.3</v>
      </c>
    </row>
    <row r="88" ht="15.75" customHeight="1">
      <c r="A88" s="11">
        <v>46174.0</v>
      </c>
      <c r="B88" s="12">
        <v>46188.0</v>
      </c>
      <c r="C88" s="1" t="s">
        <v>27</v>
      </c>
      <c r="D88" s="41" t="s">
        <v>93</v>
      </c>
      <c r="E88" s="14">
        <v>6.99</v>
      </c>
      <c r="F88" s="15">
        <f t="shared" si="5"/>
        <v>5.2425</v>
      </c>
      <c r="G88" s="16">
        <v>0.25</v>
      </c>
    </row>
    <row r="89" ht="15.75" customHeight="1">
      <c r="A89" s="11">
        <v>46174.0</v>
      </c>
      <c r="B89" s="12">
        <v>46188.0</v>
      </c>
      <c r="C89" s="1" t="s">
        <v>27</v>
      </c>
      <c r="D89" s="41" t="s">
        <v>141</v>
      </c>
      <c r="E89" s="14">
        <v>6.99</v>
      </c>
      <c r="F89" s="15">
        <f t="shared" si="5"/>
        <v>5.592</v>
      </c>
      <c r="G89" s="16">
        <v>0.2</v>
      </c>
    </row>
    <row r="90" ht="15.75" customHeight="1">
      <c r="A90" s="11">
        <v>46174.0</v>
      </c>
      <c r="B90" s="12">
        <v>46188.0</v>
      </c>
      <c r="C90" s="1" t="s">
        <v>27</v>
      </c>
      <c r="D90" s="41" t="s">
        <v>97</v>
      </c>
      <c r="E90" s="14">
        <v>3.99</v>
      </c>
      <c r="F90" s="15">
        <f t="shared" si="5"/>
        <v>3.192</v>
      </c>
      <c r="G90" s="16">
        <v>0.2</v>
      </c>
    </row>
    <row r="91" ht="15.75" customHeight="1">
      <c r="A91" s="11">
        <v>46174.0</v>
      </c>
      <c r="B91" s="12">
        <v>46188.0</v>
      </c>
      <c r="C91" s="1" t="s">
        <v>27</v>
      </c>
      <c r="D91" s="41" t="s">
        <v>99</v>
      </c>
      <c r="E91" s="15">
        <v>24.99</v>
      </c>
      <c r="F91" s="15">
        <f t="shared" si="5"/>
        <v>16.2435</v>
      </c>
      <c r="G91" s="23">
        <v>0.35</v>
      </c>
    </row>
    <row r="92" ht="15.75" customHeight="1">
      <c r="A92" s="11">
        <v>46174.0</v>
      </c>
      <c r="B92" s="12">
        <v>46188.0</v>
      </c>
      <c r="C92" s="1" t="s">
        <v>27</v>
      </c>
      <c r="D92" s="41" t="s">
        <v>100</v>
      </c>
      <c r="E92" s="15">
        <v>24.99</v>
      </c>
      <c r="F92" s="15">
        <f t="shared" si="5"/>
        <v>17.493</v>
      </c>
      <c r="G92" s="16">
        <v>0.3</v>
      </c>
    </row>
    <row r="93" ht="15.75" customHeight="1">
      <c r="A93" s="11">
        <v>46174.0</v>
      </c>
      <c r="B93" s="12">
        <v>46188.0</v>
      </c>
      <c r="C93" s="1" t="s">
        <v>27</v>
      </c>
      <c r="D93" s="41" t="s">
        <v>102</v>
      </c>
      <c r="E93" s="15">
        <v>24.99</v>
      </c>
      <c r="F93" s="15">
        <f t="shared" si="5"/>
        <v>17.493</v>
      </c>
      <c r="G93" s="16">
        <v>0.3</v>
      </c>
    </row>
    <row r="94" ht="15.75" customHeight="1">
      <c r="A94" s="11">
        <v>46174.0</v>
      </c>
      <c r="B94" s="12">
        <v>46188.0</v>
      </c>
      <c r="C94" s="1" t="s">
        <v>27</v>
      </c>
      <c r="D94" s="41" t="s">
        <v>104</v>
      </c>
      <c r="E94" s="15">
        <v>24.99</v>
      </c>
      <c r="F94" s="15">
        <f t="shared" si="5"/>
        <v>17.493</v>
      </c>
      <c r="G94" s="23">
        <v>0.3</v>
      </c>
      <c r="I94" s="52"/>
    </row>
    <row r="95" ht="15.75" customHeight="1">
      <c r="A95" s="11">
        <v>46174.0</v>
      </c>
      <c r="B95" s="12">
        <v>46188.0</v>
      </c>
      <c r="C95" s="1" t="s">
        <v>27</v>
      </c>
      <c r="D95" s="41" t="s">
        <v>105</v>
      </c>
      <c r="E95" s="15">
        <v>24.99</v>
      </c>
      <c r="F95" s="15">
        <f t="shared" si="5"/>
        <v>19.992</v>
      </c>
      <c r="G95" s="23">
        <v>0.2</v>
      </c>
    </row>
    <row r="96" ht="15.75" customHeight="1"/>
    <row r="97" ht="15.75" customHeight="1">
      <c r="A97" s="11">
        <v>46198.0</v>
      </c>
      <c r="B97" s="12">
        <v>46212.0</v>
      </c>
      <c r="C97" s="1" t="s">
        <v>56</v>
      </c>
      <c r="D97" s="33" t="s">
        <v>24</v>
      </c>
      <c r="E97" s="14">
        <v>29.99</v>
      </c>
      <c r="F97" s="15">
        <f t="shared" ref="F97:F112" si="6">E97*(1-G97)</f>
        <v>11.996</v>
      </c>
      <c r="G97" s="16">
        <v>0.6</v>
      </c>
    </row>
    <row r="98" ht="15.75" customHeight="1">
      <c r="A98" s="11">
        <v>46198.0</v>
      </c>
      <c r="B98" s="12">
        <v>46212.0</v>
      </c>
      <c r="C98" s="1" t="s">
        <v>56</v>
      </c>
      <c r="D98" s="33" t="s">
        <v>76</v>
      </c>
      <c r="E98" s="14">
        <v>39.99</v>
      </c>
      <c r="F98" s="15">
        <f t="shared" si="6"/>
        <v>15.996</v>
      </c>
      <c r="G98" s="16">
        <v>0.6</v>
      </c>
    </row>
    <row r="99" ht="15.75" customHeight="1">
      <c r="A99" s="11">
        <v>46198.0</v>
      </c>
      <c r="B99" s="12">
        <v>46212.0</v>
      </c>
      <c r="C99" s="1" t="s">
        <v>56</v>
      </c>
      <c r="D99" s="35" t="s">
        <v>77</v>
      </c>
      <c r="E99" s="36">
        <v>64.77</v>
      </c>
      <c r="F99" s="37">
        <f t="shared" si="6"/>
        <v>34.9758</v>
      </c>
      <c r="G99" s="38">
        <v>0.46</v>
      </c>
    </row>
    <row r="100" ht="15.75" customHeight="1">
      <c r="A100" s="11">
        <v>46198.0</v>
      </c>
      <c r="B100" s="12">
        <v>46212.0</v>
      </c>
      <c r="C100" s="1" t="s">
        <v>56</v>
      </c>
      <c r="D100" s="35" t="s">
        <v>79</v>
      </c>
      <c r="E100" s="36">
        <v>84.99</v>
      </c>
      <c r="F100" s="37">
        <f t="shared" si="6"/>
        <v>50.994</v>
      </c>
      <c r="G100" s="38">
        <v>0.4</v>
      </c>
    </row>
    <row r="101" ht="15.75" customHeight="1">
      <c r="A101" s="11">
        <v>46198.0</v>
      </c>
      <c r="B101" s="12">
        <v>46212.0</v>
      </c>
      <c r="C101" s="1" t="s">
        <v>56</v>
      </c>
      <c r="D101" s="40" t="s">
        <v>80</v>
      </c>
      <c r="E101" s="36">
        <v>104.99</v>
      </c>
      <c r="F101" s="37">
        <f t="shared" si="6"/>
        <v>75.5928</v>
      </c>
      <c r="G101" s="38">
        <v>0.28</v>
      </c>
    </row>
    <row r="102" ht="15.75" customHeight="1">
      <c r="A102" s="11">
        <v>46198.0</v>
      </c>
      <c r="B102" s="12">
        <v>46212.0</v>
      </c>
      <c r="C102" s="1" t="s">
        <v>56</v>
      </c>
      <c r="D102" s="41" t="s">
        <v>81</v>
      </c>
      <c r="E102" s="14">
        <v>123.95</v>
      </c>
      <c r="F102" s="15">
        <f t="shared" si="6"/>
        <v>99.16</v>
      </c>
      <c r="G102" s="16">
        <v>0.2</v>
      </c>
    </row>
    <row r="103" ht="15.75" customHeight="1">
      <c r="A103" s="11">
        <v>46198.0</v>
      </c>
      <c r="B103" s="12">
        <v>46212.0</v>
      </c>
      <c r="C103" s="1" t="s">
        <v>56</v>
      </c>
      <c r="D103" s="33" t="s">
        <v>154</v>
      </c>
      <c r="E103" s="14">
        <v>6.99</v>
      </c>
      <c r="F103" s="15">
        <f t="shared" si="6"/>
        <v>4.5435</v>
      </c>
      <c r="G103" s="16">
        <v>0.35</v>
      </c>
    </row>
    <row r="104" ht="15.75" customHeight="1">
      <c r="A104" s="11">
        <v>46198.0</v>
      </c>
      <c r="B104" s="12">
        <v>46212.0</v>
      </c>
      <c r="C104" s="1" t="s">
        <v>56</v>
      </c>
      <c r="D104" s="41" t="s">
        <v>91</v>
      </c>
      <c r="E104" s="14">
        <v>6.99</v>
      </c>
      <c r="F104" s="15">
        <f t="shared" si="6"/>
        <v>4.893</v>
      </c>
      <c r="G104" s="16">
        <v>0.3</v>
      </c>
    </row>
    <row r="105" ht="15.75" customHeight="1">
      <c r="A105" s="11">
        <v>46198.0</v>
      </c>
      <c r="B105" s="12">
        <v>46212.0</v>
      </c>
      <c r="C105" s="1" t="s">
        <v>56</v>
      </c>
      <c r="D105" s="41" t="s">
        <v>93</v>
      </c>
      <c r="E105" s="14">
        <v>6.99</v>
      </c>
      <c r="F105" s="15">
        <f t="shared" si="6"/>
        <v>5.2425</v>
      </c>
      <c r="G105" s="16">
        <v>0.25</v>
      </c>
    </row>
    <row r="106" ht="15.75" customHeight="1">
      <c r="A106" s="11">
        <v>46198.0</v>
      </c>
      <c r="B106" s="12">
        <v>46212.0</v>
      </c>
      <c r="C106" s="1" t="s">
        <v>56</v>
      </c>
      <c r="D106" s="41" t="s">
        <v>141</v>
      </c>
      <c r="E106" s="14">
        <v>6.99</v>
      </c>
      <c r="F106" s="15">
        <f t="shared" si="6"/>
        <v>5.592</v>
      </c>
      <c r="G106" s="16">
        <v>0.2</v>
      </c>
    </row>
    <row r="107" ht="15.75" customHeight="1">
      <c r="A107" s="11">
        <v>46198.0</v>
      </c>
      <c r="B107" s="12">
        <v>46212.0</v>
      </c>
      <c r="C107" s="1" t="s">
        <v>56</v>
      </c>
      <c r="D107" s="41" t="s">
        <v>97</v>
      </c>
      <c r="E107" s="14">
        <v>3.99</v>
      </c>
      <c r="F107" s="15">
        <f t="shared" si="6"/>
        <v>3.192</v>
      </c>
      <c r="G107" s="16">
        <v>0.2</v>
      </c>
    </row>
    <row r="108" ht="15.75" customHeight="1">
      <c r="A108" s="11">
        <v>46198.0</v>
      </c>
      <c r="B108" s="12">
        <v>46212.0</v>
      </c>
      <c r="C108" s="1" t="s">
        <v>56</v>
      </c>
      <c r="D108" s="41" t="s">
        <v>99</v>
      </c>
      <c r="E108" s="15">
        <v>24.99</v>
      </c>
      <c r="F108" s="15">
        <f t="shared" si="6"/>
        <v>17.493</v>
      </c>
      <c r="G108" s="16">
        <v>0.3</v>
      </c>
    </row>
    <row r="109" ht="15.75" customHeight="1">
      <c r="A109" s="11">
        <v>46198.0</v>
      </c>
      <c r="B109" s="12">
        <v>46212.0</v>
      </c>
      <c r="C109" s="1" t="s">
        <v>56</v>
      </c>
      <c r="D109" s="41" t="s">
        <v>100</v>
      </c>
      <c r="E109" s="15">
        <v>24.99</v>
      </c>
      <c r="F109" s="15">
        <f t="shared" si="6"/>
        <v>17.493</v>
      </c>
      <c r="G109" s="16">
        <v>0.3</v>
      </c>
    </row>
    <row r="110" ht="15.75" customHeight="1">
      <c r="A110" s="11">
        <v>46198.0</v>
      </c>
      <c r="B110" s="12">
        <v>46212.0</v>
      </c>
      <c r="C110" s="1" t="s">
        <v>56</v>
      </c>
      <c r="D110" s="41" t="s">
        <v>102</v>
      </c>
      <c r="E110" s="15">
        <v>24.99</v>
      </c>
      <c r="F110" s="15">
        <f t="shared" si="6"/>
        <v>17.493</v>
      </c>
      <c r="G110" s="16">
        <v>0.3</v>
      </c>
    </row>
    <row r="111" ht="15.75" customHeight="1">
      <c r="A111" s="11">
        <v>46198.0</v>
      </c>
      <c r="B111" s="12">
        <v>46212.0</v>
      </c>
      <c r="C111" s="1" t="s">
        <v>56</v>
      </c>
      <c r="D111" s="41" t="s">
        <v>104</v>
      </c>
      <c r="E111" s="15">
        <v>24.99</v>
      </c>
      <c r="F111" s="15">
        <f t="shared" si="6"/>
        <v>17.493</v>
      </c>
      <c r="G111" s="16">
        <v>0.3</v>
      </c>
    </row>
    <row r="112" ht="15.75" customHeight="1">
      <c r="A112" s="11">
        <v>46198.0</v>
      </c>
      <c r="B112" s="12">
        <v>46212.0</v>
      </c>
      <c r="C112" s="1" t="s">
        <v>56</v>
      </c>
      <c r="D112" s="41" t="s">
        <v>105</v>
      </c>
      <c r="E112" s="15">
        <v>24.99</v>
      </c>
      <c r="F112" s="15">
        <f t="shared" si="6"/>
        <v>19.992</v>
      </c>
      <c r="G112" s="16">
        <v>0.2</v>
      </c>
    </row>
    <row r="113" ht="15.75" customHeight="1">
      <c r="A113" s="24"/>
      <c r="B113" s="25"/>
      <c r="C113" s="26"/>
      <c r="D113" s="54"/>
      <c r="E113" s="29"/>
      <c r="F113" s="29"/>
      <c r="G113" s="30"/>
    </row>
    <row r="114" ht="15.75" customHeight="1">
      <c r="A114" s="11">
        <v>46219.0</v>
      </c>
      <c r="B114" s="12">
        <v>46233.0</v>
      </c>
      <c r="C114" s="1" t="s">
        <v>27</v>
      </c>
      <c r="D114" s="33" t="s">
        <v>24</v>
      </c>
      <c r="E114" s="14">
        <v>29.99</v>
      </c>
      <c r="F114" s="15">
        <f t="shared" ref="F114:F127" si="7">E114*(1-G114)</f>
        <v>11.996</v>
      </c>
      <c r="G114" s="16">
        <v>0.6</v>
      </c>
    </row>
    <row r="115" ht="15.75" customHeight="1">
      <c r="A115" s="11">
        <v>46219.0</v>
      </c>
      <c r="B115" s="12">
        <v>46233.0</v>
      </c>
      <c r="C115" s="1" t="s">
        <v>27</v>
      </c>
      <c r="D115" s="33" t="s">
        <v>76</v>
      </c>
      <c r="E115" s="14">
        <v>39.99</v>
      </c>
      <c r="F115" s="15">
        <f t="shared" si="7"/>
        <v>15.996</v>
      </c>
      <c r="G115" s="16">
        <v>0.6</v>
      </c>
    </row>
    <row r="116" ht="15.75" customHeight="1">
      <c r="A116" s="11">
        <v>46219.0</v>
      </c>
      <c r="B116" s="12">
        <v>46233.0</v>
      </c>
      <c r="C116" s="1" t="s">
        <v>27</v>
      </c>
      <c r="D116" s="41" t="s">
        <v>81</v>
      </c>
      <c r="E116" s="14">
        <v>123.95</v>
      </c>
      <c r="F116" s="15">
        <f t="shared" si="7"/>
        <v>99.16</v>
      </c>
      <c r="G116" s="16">
        <v>0.2</v>
      </c>
    </row>
    <row r="117" ht="15.75" customHeight="1">
      <c r="A117" s="11">
        <v>46219.0</v>
      </c>
      <c r="B117" s="12">
        <v>46233.0</v>
      </c>
      <c r="C117" s="1" t="s">
        <v>27</v>
      </c>
      <c r="D117" s="33" t="s">
        <v>154</v>
      </c>
      <c r="E117" s="14">
        <v>6.99</v>
      </c>
      <c r="F117" s="15">
        <f t="shared" si="7"/>
        <v>4.5435</v>
      </c>
      <c r="G117" s="16">
        <v>0.35</v>
      </c>
    </row>
    <row r="118" ht="15.75" customHeight="1">
      <c r="A118" s="11">
        <v>46219.0</v>
      </c>
      <c r="B118" s="12">
        <v>46233.0</v>
      </c>
      <c r="C118" s="1" t="s">
        <v>27</v>
      </c>
      <c r="D118" s="41" t="s">
        <v>91</v>
      </c>
      <c r="E118" s="14">
        <v>6.99</v>
      </c>
      <c r="F118" s="15">
        <f t="shared" si="7"/>
        <v>4.893</v>
      </c>
      <c r="G118" s="16">
        <v>0.3</v>
      </c>
    </row>
    <row r="119" ht="15.75" customHeight="1">
      <c r="A119" s="11">
        <v>46219.0</v>
      </c>
      <c r="B119" s="12">
        <v>46233.0</v>
      </c>
      <c r="C119" s="1" t="s">
        <v>27</v>
      </c>
      <c r="D119" s="41" t="s">
        <v>93</v>
      </c>
      <c r="E119" s="14">
        <v>6.99</v>
      </c>
      <c r="F119" s="15">
        <f t="shared" si="7"/>
        <v>5.2425</v>
      </c>
      <c r="G119" s="16">
        <v>0.25</v>
      </c>
    </row>
    <row r="120" ht="15.75" customHeight="1">
      <c r="A120" s="11">
        <v>46219.0</v>
      </c>
      <c r="B120" s="12">
        <v>46233.0</v>
      </c>
      <c r="C120" s="1" t="s">
        <v>27</v>
      </c>
      <c r="D120" s="41" t="s">
        <v>141</v>
      </c>
      <c r="E120" s="14">
        <v>6.99</v>
      </c>
      <c r="F120" s="15">
        <f t="shared" si="7"/>
        <v>5.592</v>
      </c>
      <c r="G120" s="16">
        <v>0.2</v>
      </c>
    </row>
    <row r="121" ht="15.75" customHeight="1">
      <c r="A121" s="11">
        <v>46219.0</v>
      </c>
      <c r="B121" s="12">
        <v>46233.0</v>
      </c>
      <c r="C121" s="1" t="s">
        <v>27</v>
      </c>
      <c r="D121" s="41" t="s">
        <v>163</v>
      </c>
      <c r="E121" s="14">
        <v>6.99</v>
      </c>
      <c r="F121" s="15">
        <f t="shared" si="7"/>
        <v>6.99</v>
      </c>
      <c r="G121" s="16">
        <v>0.0</v>
      </c>
    </row>
    <row r="122" ht="15.75" customHeight="1">
      <c r="A122" s="11">
        <v>46219.0</v>
      </c>
      <c r="B122" s="12">
        <v>46233.0</v>
      </c>
      <c r="C122" s="1" t="s">
        <v>27</v>
      </c>
      <c r="D122" s="41" t="s">
        <v>97</v>
      </c>
      <c r="E122" s="14">
        <v>3.99</v>
      </c>
      <c r="F122" s="15">
        <f t="shared" si="7"/>
        <v>3.192</v>
      </c>
      <c r="G122" s="16">
        <v>0.2</v>
      </c>
    </row>
    <row r="123" ht="15.75" customHeight="1">
      <c r="A123" s="11">
        <v>46219.0</v>
      </c>
      <c r="B123" s="12">
        <v>46233.0</v>
      </c>
      <c r="C123" s="1" t="s">
        <v>27</v>
      </c>
      <c r="D123" s="41" t="s">
        <v>99</v>
      </c>
      <c r="E123" s="15">
        <v>24.99</v>
      </c>
      <c r="F123" s="15">
        <f t="shared" si="7"/>
        <v>17.493</v>
      </c>
      <c r="G123" s="16">
        <v>0.3</v>
      </c>
    </row>
    <row r="124" ht="15.75" customHeight="1">
      <c r="A124" s="11">
        <v>46219.0</v>
      </c>
      <c r="B124" s="12">
        <v>46233.0</v>
      </c>
      <c r="C124" s="1" t="s">
        <v>27</v>
      </c>
      <c r="D124" s="41" t="s">
        <v>100</v>
      </c>
      <c r="E124" s="15">
        <v>24.99</v>
      </c>
      <c r="F124" s="15">
        <f t="shared" si="7"/>
        <v>17.493</v>
      </c>
      <c r="G124" s="16">
        <v>0.3</v>
      </c>
    </row>
    <row r="125" ht="15.75" customHeight="1">
      <c r="A125" s="11">
        <v>46219.0</v>
      </c>
      <c r="B125" s="12">
        <v>46233.0</v>
      </c>
      <c r="C125" s="1" t="s">
        <v>27</v>
      </c>
      <c r="D125" s="41" t="s">
        <v>102</v>
      </c>
      <c r="E125" s="15">
        <v>24.99</v>
      </c>
      <c r="F125" s="15">
        <f t="shared" si="7"/>
        <v>17.493</v>
      </c>
      <c r="G125" s="16">
        <v>0.3</v>
      </c>
    </row>
    <row r="126" ht="15.75" customHeight="1">
      <c r="A126" s="11">
        <v>46219.0</v>
      </c>
      <c r="B126" s="12">
        <v>46233.0</v>
      </c>
      <c r="C126" s="1" t="s">
        <v>27</v>
      </c>
      <c r="D126" s="41" t="s">
        <v>104</v>
      </c>
      <c r="E126" s="15">
        <v>24.99</v>
      </c>
      <c r="F126" s="15">
        <f t="shared" si="7"/>
        <v>17.493</v>
      </c>
      <c r="G126" s="16">
        <v>0.3</v>
      </c>
    </row>
    <row r="127" ht="15.75" customHeight="1">
      <c r="A127" s="11">
        <v>46219.0</v>
      </c>
      <c r="B127" s="12">
        <v>46233.0</v>
      </c>
      <c r="C127" s="1" t="s">
        <v>27</v>
      </c>
      <c r="D127" s="41" t="s">
        <v>105</v>
      </c>
      <c r="E127" s="15">
        <v>24.99</v>
      </c>
      <c r="F127" s="15">
        <f t="shared" si="7"/>
        <v>19.992</v>
      </c>
      <c r="G127" s="16">
        <v>0.2</v>
      </c>
    </row>
    <row r="128" ht="15.75" customHeight="1">
      <c r="A128" s="24"/>
      <c r="B128" s="25"/>
      <c r="C128" s="26"/>
      <c r="D128" s="54"/>
      <c r="E128" s="29"/>
      <c r="F128" s="29"/>
      <c r="G128" s="30"/>
    </row>
    <row r="129" ht="15.75" customHeight="1">
      <c r="A129" s="11">
        <v>46268.0</v>
      </c>
      <c r="B129" s="12">
        <v>46279.0</v>
      </c>
      <c r="C129" s="1" t="s">
        <v>72</v>
      </c>
      <c r="D129" s="33" t="s">
        <v>24</v>
      </c>
      <c r="E129" s="14">
        <v>29.99</v>
      </c>
      <c r="F129" s="15">
        <f t="shared" ref="F129:F142" si="8">E129*(1-G129)</f>
        <v>11.996</v>
      </c>
      <c r="G129" s="16">
        <v>0.6</v>
      </c>
    </row>
    <row r="130" ht="15.75" customHeight="1">
      <c r="A130" s="11">
        <v>46268.0</v>
      </c>
      <c r="B130" s="12">
        <v>46279.0</v>
      </c>
      <c r="C130" s="1" t="s">
        <v>72</v>
      </c>
      <c r="D130" s="33" t="s">
        <v>76</v>
      </c>
      <c r="E130" s="14">
        <v>39.99</v>
      </c>
      <c r="F130" s="15">
        <f t="shared" si="8"/>
        <v>15.996</v>
      </c>
      <c r="G130" s="16">
        <v>0.6</v>
      </c>
    </row>
    <row r="131" ht="15.75" customHeight="1">
      <c r="A131" s="11">
        <v>46268.0</v>
      </c>
      <c r="B131" s="12">
        <v>46279.0</v>
      </c>
      <c r="C131" s="1" t="s">
        <v>72</v>
      </c>
      <c r="D131" s="41" t="s">
        <v>81</v>
      </c>
      <c r="E131" s="14">
        <v>123.95</v>
      </c>
      <c r="F131" s="15">
        <f t="shared" si="8"/>
        <v>99.16</v>
      </c>
      <c r="G131" s="16">
        <v>0.2</v>
      </c>
    </row>
    <row r="132" ht="15.75" customHeight="1">
      <c r="A132" s="11">
        <v>46268.0</v>
      </c>
      <c r="B132" s="12">
        <v>46279.0</v>
      </c>
      <c r="C132" s="1" t="s">
        <v>72</v>
      </c>
      <c r="D132" s="33" t="s">
        <v>154</v>
      </c>
      <c r="E132" s="14">
        <v>6.99</v>
      </c>
      <c r="F132" s="15">
        <f t="shared" si="8"/>
        <v>4.5435</v>
      </c>
      <c r="G132" s="16">
        <v>0.35</v>
      </c>
    </row>
    <row r="133" ht="15.75" customHeight="1">
      <c r="A133" s="11">
        <v>46268.0</v>
      </c>
      <c r="B133" s="12">
        <v>46279.0</v>
      </c>
      <c r="C133" s="1" t="s">
        <v>72</v>
      </c>
      <c r="D133" s="41" t="s">
        <v>91</v>
      </c>
      <c r="E133" s="14">
        <v>6.99</v>
      </c>
      <c r="F133" s="15">
        <f t="shared" si="8"/>
        <v>4.5435</v>
      </c>
      <c r="G133" s="23">
        <v>0.35</v>
      </c>
    </row>
    <row r="134" ht="15.75" customHeight="1">
      <c r="A134" s="11">
        <v>46268.0</v>
      </c>
      <c r="B134" s="12">
        <v>46279.0</v>
      </c>
      <c r="C134" s="1" t="s">
        <v>72</v>
      </c>
      <c r="D134" s="41" t="s">
        <v>93</v>
      </c>
      <c r="E134" s="14">
        <v>6.99</v>
      </c>
      <c r="F134" s="15">
        <f t="shared" si="8"/>
        <v>4.893</v>
      </c>
      <c r="G134" s="23">
        <v>0.3</v>
      </c>
    </row>
    <row r="135" ht="15.75" customHeight="1">
      <c r="A135" s="11">
        <v>46268.0</v>
      </c>
      <c r="B135" s="12">
        <v>46279.0</v>
      </c>
      <c r="C135" s="1" t="s">
        <v>72</v>
      </c>
      <c r="D135" s="41" t="s">
        <v>141</v>
      </c>
      <c r="E135" s="14">
        <v>6.99</v>
      </c>
      <c r="F135" s="15">
        <f t="shared" si="8"/>
        <v>5.2425</v>
      </c>
      <c r="G135" s="23">
        <v>0.25</v>
      </c>
    </row>
    <row r="136" ht="15.75" customHeight="1">
      <c r="A136" s="11">
        <v>46268.0</v>
      </c>
      <c r="B136" s="12">
        <v>46279.0</v>
      </c>
      <c r="C136" s="1" t="s">
        <v>72</v>
      </c>
      <c r="D136" s="41" t="s">
        <v>163</v>
      </c>
      <c r="E136" s="14">
        <v>6.99</v>
      </c>
      <c r="F136" s="15">
        <f t="shared" si="8"/>
        <v>6.99</v>
      </c>
      <c r="G136" s="16">
        <v>0.0</v>
      </c>
    </row>
    <row r="137" ht="15.75" customHeight="1">
      <c r="A137" s="11">
        <v>46268.0</v>
      </c>
      <c r="B137" s="12">
        <v>46279.0</v>
      </c>
      <c r="C137" s="1" t="s">
        <v>72</v>
      </c>
      <c r="D137" s="41" t="s">
        <v>97</v>
      </c>
      <c r="E137" s="14">
        <v>3.99</v>
      </c>
      <c r="F137" s="15">
        <f t="shared" si="8"/>
        <v>3.192</v>
      </c>
      <c r="G137" s="16">
        <v>0.2</v>
      </c>
    </row>
    <row r="138" ht="15.75" customHeight="1">
      <c r="A138" s="11">
        <v>46268.0</v>
      </c>
      <c r="B138" s="12">
        <v>46279.0</v>
      </c>
      <c r="C138" s="1" t="s">
        <v>72</v>
      </c>
      <c r="D138" s="41" t="s">
        <v>99</v>
      </c>
      <c r="E138" s="15">
        <v>24.99</v>
      </c>
      <c r="F138" s="15">
        <f t="shared" si="8"/>
        <v>17.493</v>
      </c>
      <c r="G138" s="16">
        <v>0.3</v>
      </c>
    </row>
    <row r="139" ht="15.75" customHeight="1">
      <c r="A139" s="11">
        <v>46268.0</v>
      </c>
      <c r="B139" s="12">
        <v>46279.0</v>
      </c>
      <c r="C139" s="1" t="s">
        <v>72</v>
      </c>
      <c r="D139" s="41" t="s">
        <v>100</v>
      </c>
      <c r="E139" s="15">
        <v>24.99</v>
      </c>
      <c r="F139" s="15">
        <f t="shared" si="8"/>
        <v>17.493</v>
      </c>
      <c r="G139" s="16">
        <v>0.3</v>
      </c>
    </row>
    <row r="140" ht="15.75" customHeight="1">
      <c r="A140" s="11">
        <v>46268.0</v>
      </c>
      <c r="B140" s="12">
        <v>46279.0</v>
      </c>
      <c r="C140" s="1" t="s">
        <v>72</v>
      </c>
      <c r="D140" s="41" t="s">
        <v>102</v>
      </c>
      <c r="E140" s="15">
        <v>24.99</v>
      </c>
      <c r="F140" s="15">
        <f t="shared" si="8"/>
        <v>17.493</v>
      </c>
      <c r="G140" s="16">
        <v>0.3</v>
      </c>
    </row>
    <row r="141" ht="15.75" customHeight="1">
      <c r="A141" s="11">
        <v>46268.0</v>
      </c>
      <c r="B141" s="12">
        <v>46279.0</v>
      </c>
      <c r="C141" s="1" t="s">
        <v>72</v>
      </c>
      <c r="D141" s="41" t="s">
        <v>104</v>
      </c>
      <c r="E141" s="15">
        <v>24.99</v>
      </c>
      <c r="F141" s="15">
        <f t="shared" si="8"/>
        <v>17.493</v>
      </c>
      <c r="G141" s="16">
        <v>0.3</v>
      </c>
    </row>
    <row r="142" ht="15.75" customHeight="1">
      <c r="A142" s="11">
        <v>46268.0</v>
      </c>
      <c r="B142" s="12">
        <v>46279.0</v>
      </c>
      <c r="C142" s="1" t="s">
        <v>72</v>
      </c>
      <c r="D142" s="41" t="s">
        <v>105</v>
      </c>
      <c r="E142" s="15">
        <v>24.99</v>
      </c>
      <c r="F142" s="15">
        <f t="shared" si="8"/>
        <v>19.992</v>
      </c>
      <c r="G142" s="16">
        <v>0.2</v>
      </c>
    </row>
    <row r="143" ht="15.75" customHeight="1">
      <c r="A143" s="24"/>
      <c r="B143" s="25"/>
      <c r="C143" s="26"/>
      <c r="D143" s="54"/>
      <c r="E143" s="29"/>
      <c r="F143" s="29"/>
      <c r="G143" s="30"/>
    </row>
    <row r="144" ht="15.75" customHeight="1">
      <c r="A144" s="11">
        <v>46296.0</v>
      </c>
      <c r="B144" s="12">
        <v>46303.0</v>
      </c>
      <c r="C144" s="1" t="s">
        <v>75</v>
      </c>
      <c r="D144" s="33" t="s">
        <v>24</v>
      </c>
      <c r="E144" s="14">
        <v>29.99</v>
      </c>
      <c r="F144" s="15">
        <f t="shared" ref="F144:F157" si="9">E144*(1-G144)</f>
        <v>11.996</v>
      </c>
      <c r="G144" s="16">
        <v>0.6</v>
      </c>
    </row>
    <row r="145" ht="15.75" customHeight="1">
      <c r="A145" s="11">
        <v>46296.0</v>
      </c>
      <c r="B145" s="12">
        <v>46303.0</v>
      </c>
      <c r="C145" s="1" t="s">
        <v>75</v>
      </c>
      <c r="D145" s="33" t="s">
        <v>76</v>
      </c>
      <c r="E145" s="14">
        <v>39.99</v>
      </c>
      <c r="F145" s="15">
        <f t="shared" si="9"/>
        <v>15.996</v>
      </c>
      <c r="G145" s="16">
        <v>0.6</v>
      </c>
    </row>
    <row r="146" ht="15.75" customHeight="1">
      <c r="A146" s="11">
        <v>46296.0</v>
      </c>
      <c r="B146" s="12">
        <v>46303.0</v>
      </c>
      <c r="C146" s="1" t="s">
        <v>75</v>
      </c>
      <c r="D146" s="41" t="s">
        <v>81</v>
      </c>
      <c r="E146" s="14">
        <v>123.95</v>
      </c>
      <c r="F146" s="15">
        <f t="shared" si="9"/>
        <v>99.16</v>
      </c>
      <c r="G146" s="16">
        <v>0.2</v>
      </c>
    </row>
    <row r="147" ht="15.75" customHeight="1">
      <c r="A147" s="11">
        <v>46296.0</v>
      </c>
      <c r="B147" s="12">
        <v>46303.0</v>
      </c>
      <c r="C147" s="1" t="s">
        <v>75</v>
      </c>
      <c r="D147" s="33" t="s">
        <v>154</v>
      </c>
      <c r="E147" s="14">
        <v>6.99</v>
      </c>
      <c r="F147" s="15">
        <f t="shared" si="9"/>
        <v>4.5435</v>
      </c>
      <c r="G147" s="16">
        <v>0.35</v>
      </c>
    </row>
    <row r="148" ht="15.75" customHeight="1">
      <c r="A148" s="11">
        <v>46296.0</v>
      </c>
      <c r="B148" s="12">
        <v>46303.0</v>
      </c>
      <c r="C148" s="1" t="s">
        <v>75</v>
      </c>
      <c r="D148" s="41" t="s">
        <v>91</v>
      </c>
      <c r="E148" s="14">
        <v>6.99</v>
      </c>
      <c r="F148" s="15">
        <f t="shared" si="9"/>
        <v>4.5435</v>
      </c>
      <c r="G148" s="16">
        <v>0.35</v>
      </c>
    </row>
    <row r="149" ht="15.75" customHeight="1">
      <c r="A149" s="11">
        <v>46296.0</v>
      </c>
      <c r="B149" s="12">
        <v>46303.0</v>
      </c>
      <c r="C149" s="1" t="s">
        <v>75</v>
      </c>
      <c r="D149" s="41" t="s">
        <v>93</v>
      </c>
      <c r="E149" s="14">
        <v>6.99</v>
      </c>
      <c r="F149" s="15">
        <f t="shared" si="9"/>
        <v>4.893</v>
      </c>
      <c r="G149" s="16">
        <v>0.3</v>
      </c>
    </row>
    <row r="150" ht="15.75" customHeight="1">
      <c r="A150" s="11">
        <v>46296.0</v>
      </c>
      <c r="B150" s="12">
        <v>46303.0</v>
      </c>
      <c r="C150" s="1" t="s">
        <v>75</v>
      </c>
      <c r="D150" s="41" t="s">
        <v>141</v>
      </c>
      <c r="E150" s="14">
        <v>6.99</v>
      </c>
      <c r="F150" s="15">
        <f t="shared" si="9"/>
        <v>5.2425</v>
      </c>
      <c r="G150" s="16">
        <v>0.25</v>
      </c>
    </row>
    <row r="151" ht="15.75" customHeight="1">
      <c r="A151" s="11">
        <v>46296.0</v>
      </c>
      <c r="B151" s="12">
        <v>46303.0</v>
      </c>
      <c r="C151" s="1" t="s">
        <v>75</v>
      </c>
      <c r="D151" s="41" t="s">
        <v>163</v>
      </c>
      <c r="E151" s="14">
        <v>6.99</v>
      </c>
      <c r="F151" s="15">
        <f t="shared" si="9"/>
        <v>6.99</v>
      </c>
      <c r="G151" s="16">
        <v>0.0</v>
      </c>
    </row>
    <row r="152" ht="15.75" customHeight="1">
      <c r="A152" s="11">
        <v>46296.0</v>
      </c>
      <c r="B152" s="12">
        <v>46303.0</v>
      </c>
      <c r="C152" s="1" t="s">
        <v>75</v>
      </c>
      <c r="D152" s="41" t="s">
        <v>97</v>
      </c>
      <c r="E152" s="14">
        <v>3.99</v>
      </c>
      <c r="F152" s="15">
        <f t="shared" si="9"/>
        <v>3.192</v>
      </c>
      <c r="G152" s="16">
        <v>0.2</v>
      </c>
    </row>
    <row r="153" ht="15.75" customHeight="1">
      <c r="A153" s="11">
        <v>46296.0</v>
      </c>
      <c r="B153" s="12">
        <v>46303.0</v>
      </c>
      <c r="C153" s="1" t="s">
        <v>75</v>
      </c>
      <c r="D153" s="41" t="s">
        <v>99</v>
      </c>
      <c r="E153" s="15">
        <v>24.99</v>
      </c>
      <c r="F153" s="15">
        <f t="shared" si="9"/>
        <v>17.493</v>
      </c>
      <c r="G153" s="16">
        <v>0.3</v>
      </c>
    </row>
    <row r="154" ht="15.75" customHeight="1">
      <c r="A154" s="11">
        <v>46296.0</v>
      </c>
      <c r="B154" s="12">
        <v>46303.0</v>
      </c>
      <c r="C154" s="1" t="s">
        <v>75</v>
      </c>
      <c r="D154" s="41" t="s">
        <v>100</v>
      </c>
      <c r="E154" s="15">
        <v>24.99</v>
      </c>
      <c r="F154" s="15">
        <f t="shared" si="9"/>
        <v>17.493</v>
      </c>
      <c r="G154" s="16">
        <v>0.3</v>
      </c>
    </row>
    <row r="155" ht="15.75" customHeight="1">
      <c r="A155" s="11">
        <v>46296.0</v>
      </c>
      <c r="B155" s="12">
        <v>46303.0</v>
      </c>
      <c r="C155" s="1" t="s">
        <v>75</v>
      </c>
      <c r="D155" s="41" t="s">
        <v>102</v>
      </c>
      <c r="E155" s="15">
        <v>24.99</v>
      </c>
      <c r="F155" s="15">
        <f t="shared" si="9"/>
        <v>17.493</v>
      </c>
      <c r="G155" s="16">
        <v>0.3</v>
      </c>
    </row>
    <row r="156" ht="15.75" customHeight="1">
      <c r="A156" s="11">
        <v>46296.0</v>
      </c>
      <c r="B156" s="12">
        <v>46303.0</v>
      </c>
      <c r="C156" s="1" t="s">
        <v>75</v>
      </c>
      <c r="D156" s="41" t="s">
        <v>104</v>
      </c>
      <c r="E156" s="15">
        <v>24.99</v>
      </c>
      <c r="F156" s="15">
        <f t="shared" si="9"/>
        <v>17.493</v>
      </c>
      <c r="G156" s="16">
        <v>0.3</v>
      </c>
    </row>
    <row r="157" ht="15.75" customHeight="1">
      <c r="A157" s="11">
        <v>46296.0</v>
      </c>
      <c r="B157" s="12">
        <v>46303.0</v>
      </c>
      <c r="C157" s="1" t="s">
        <v>75</v>
      </c>
      <c r="D157" s="41" t="s">
        <v>105</v>
      </c>
      <c r="E157" s="15">
        <v>24.99</v>
      </c>
      <c r="F157" s="15">
        <f t="shared" si="9"/>
        <v>19.992</v>
      </c>
      <c r="G157" s="16">
        <v>0.2</v>
      </c>
    </row>
    <row r="158" ht="15.75" customHeight="1"/>
    <row r="159" ht="15.75" customHeight="1"/>
    <row r="160" ht="15.75" customHeight="1">
      <c r="A160" s="39" t="s">
        <v>78</v>
      </c>
    </row>
    <row r="161" ht="15.75" customHeight="1">
      <c r="A161" s="43">
        <v>46030.0</v>
      </c>
      <c r="B161" s="43">
        <v>46043.0</v>
      </c>
      <c r="C161" s="44" t="s">
        <v>164</v>
      </c>
      <c r="D161" s="6" t="s">
        <v>195</v>
      </c>
      <c r="E161" s="8" t="s">
        <v>196</v>
      </c>
      <c r="F161" s="13" t="s">
        <v>198</v>
      </c>
      <c r="G161" s="46">
        <v>0.35</v>
      </c>
    </row>
    <row r="162" ht="15.75" customHeight="1">
      <c r="A162" s="43">
        <v>46030.0</v>
      </c>
      <c r="B162" s="43">
        <v>46043.0</v>
      </c>
      <c r="C162" s="44" t="s">
        <v>164</v>
      </c>
      <c r="D162" s="6" t="s">
        <v>201</v>
      </c>
      <c r="E162" s="8" t="s">
        <v>196</v>
      </c>
      <c r="F162" s="13" t="s">
        <v>198</v>
      </c>
      <c r="G162" s="46">
        <v>0.35</v>
      </c>
    </row>
    <row r="163" ht="15.75" customHeight="1">
      <c r="A163" s="43">
        <v>46030.0</v>
      </c>
      <c r="B163" s="43">
        <v>46043.0</v>
      </c>
      <c r="C163" s="44" t="s">
        <v>164</v>
      </c>
      <c r="D163" s="6" t="s">
        <v>203</v>
      </c>
      <c r="E163" s="8" t="s">
        <v>196</v>
      </c>
      <c r="F163" s="13" t="s">
        <v>198</v>
      </c>
      <c r="G163" s="46">
        <v>0.35</v>
      </c>
    </row>
    <row r="164" ht="15.75" customHeight="1">
      <c r="A164" s="43">
        <v>46030.0</v>
      </c>
      <c r="B164" s="43">
        <v>46043.0</v>
      </c>
      <c r="C164" s="44" t="s">
        <v>164</v>
      </c>
      <c r="D164" s="6" t="s">
        <v>205</v>
      </c>
      <c r="E164" s="8" t="s">
        <v>131</v>
      </c>
      <c r="F164" s="13" t="s">
        <v>207</v>
      </c>
      <c r="G164" s="46">
        <v>0.35</v>
      </c>
    </row>
    <row r="165" ht="15.75" customHeight="1">
      <c r="A165" s="43">
        <v>46030.0</v>
      </c>
      <c r="B165" s="43">
        <v>46043.0</v>
      </c>
      <c r="C165" s="44" t="s">
        <v>164</v>
      </c>
      <c r="D165" s="6" t="s">
        <v>209</v>
      </c>
      <c r="E165" s="8" t="s">
        <v>196</v>
      </c>
      <c r="F165" s="13" t="s">
        <v>198</v>
      </c>
      <c r="G165" s="46">
        <v>0.35</v>
      </c>
    </row>
    <row r="166" ht="15.75" customHeight="1">
      <c r="A166" s="43">
        <v>46030.0</v>
      </c>
      <c r="B166" s="43">
        <v>46043.0</v>
      </c>
      <c r="C166" s="44" t="s">
        <v>164</v>
      </c>
      <c r="D166" s="6" t="s">
        <v>210</v>
      </c>
      <c r="E166" s="8" t="s">
        <v>196</v>
      </c>
      <c r="F166" s="13" t="s">
        <v>198</v>
      </c>
      <c r="G166" s="46">
        <v>0.35</v>
      </c>
    </row>
    <row r="167" ht="15.75" customHeight="1">
      <c r="A167" s="43">
        <v>46030.0</v>
      </c>
      <c r="B167" s="43">
        <v>46043.0</v>
      </c>
      <c r="C167" s="44" t="s">
        <v>164</v>
      </c>
      <c r="D167" s="6" t="s">
        <v>211</v>
      </c>
      <c r="E167" s="8" t="s">
        <v>196</v>
      </c>
      <c r="F167" s="13" t="s">
        <v>198</v>
      </c>
      <c r="G167" s="46">
        <v>0.35</v>
      </c>
    </row>
    <row r="168" ht="15.75" customHeight="1">
      <c r="A168" s="43">
        <v>46030.0</v>
      </c>
      <c r="B168" s="43">
        <v>46043.0</v>
      </c>
      <c r="C168" s="44" t="s">
        <v>164</v>
      </c>
      <c r="D168" s="6" t="s">
        <v>214</v>
      </c>
      <c r="E168" s="8" t="s">
        <v>196</v>
      </c>
      <c r="F168" s="13" t="s">
        <v>198</v>
      </c>
      <c r="G168" s="46">
        <v>0.35</v>
      </c>
    </row>
    <row r="169" ht="15.75" customHeight="1">
      <c r="A169" s="43">
        <v>46030.0</v>
      </c>
      <c r="B169" s="43">
        <v>46043.0</v>
      </c>
      <c r="C169" s="44" t="s">
        <v>164</v>
      </c>
      <c r="D169" s="6" t="s">
        <v>217</v>
      </c>
      <c r="E169" s="8" t="s">
        <v>196</v>
      </c>
      <c r="F169" s="13" t="s">
        <v>198</v>
      </c>
      <c r="G169" s="46">
        <v>0.35</v>
      </c>
    </row>
    <row r="170" ht="15.75" customHeight="1">
      <c r="A170" s="43">
        <v>46030.0</v>
      </c>
      <c r="B170" s="43">
        <v>46043.0</v>
      </c>
      <c r="C170" s="44" t="s">
        <v>164</v>
      </c>
      <c r="D170" s="6" t="s">
        <v>220</v>
      </c>
      <c r="E170" s="8" t="s">
        <v>196</v>
      </c>
      <c r="F170" s="13" t="s">
        <v>198</v>
      </c>
      <c r="G170" s="46">
        <v>0.35</v>
      </c>
    </row>
    <row r="171" ht="15.75" customHeight="1">
      <c r="A171" s="43">
        <v>46030.0</v>
      </c>
      <c r="B171" s="43">
        <v>46043.0</v>
      </c>
      <c r="C171" s="44" t="s">
        <v>164</v>
      </c>
      <c r="D171" s="6" t="s">
        <v>221</v>
      </c>
      <c r="E171" s="8" t="s">
        <v>196</v>
      </c>
      <c r="F171" s="13" t="s">
        <v>198</v>
      </c>
      <c r="G171" s="46">
        <v>0.35</v>
      </c>
    </row>
    <row r="172" ht="15.75" customHeight="1">
      <c r="A172" s="43">
        <v>46030.0</v>
      </c>
      <c r="B172" s="43">
        <v>46043.0</v>
      </c>
      <c r="C172" s="44" t="s">
        <v>164</v>
      </c>
      <c r="D172" s="6" t="s">
        <v>224</v>
      </c>
      <c r="E172" s="8" t="s">
        <v>131</v>
      </c>
      <c r="F172" s="13" t="s">
        <v>225</v>
      </c>
      <c r="G172" s="46">
        <v>0.3</v>
      </c>
    </row>
    <row r="173" ht="15.75" customHeight="1">
      <c r="A173" s="43">
        <v>46030.0</v>
      </c>
      <c r="B173" s="43">
        <v>46043.0</v>
      </c>
      <c r="C173" s="44" t="s">
        <v>164</v>
      </c>
      <c r="D173" s="6" t="s">
        <v>226</v>
      </c>
      <c r="E173" s="8" t="s">
        <v>196</v>
      </c>
      <c r="F173" s="13" t="s">
        <v>228</v>
      </c>
      <c r="G173" s="46">
        <v>0.3</v>
      </c>
    </row>
    <row r="174" ht="15.75" customHeight="1">
      <c r="A174" s="43">
        <v>46030.0</v>
      </c>
      <c r="B174" s="43">
        <v>46043.0</v>
      </c>
      <c r="C174" s="44" t="s">
        <v>164</v>
      </c>
      <c r="D174" s="6" t="s">
        <v>229</v>
      </c>
      <c r="E174" s="8" t="s">
        <v>196</v>
      </c>
      <c r="F174" s="13" t="s">
        <v>230</v>
      </c>
      <c r="G174" s="46">
        <v>0.25</v>
      </c>
    </row>
    <row r="175" ht="15.75" customHeight="1">
      <c r="A175" s="43">
        <v>46030.0</v>
      </c>
      <c r="B175" s="43">
        <v>46043.0</v>
      </c>
      <c r="C175" s="44" t="s">
        <v>164</v>
      </c>
      <c r="D175" s="6" t="s">
        <v>195</v>
      </c>
      <c r="E175" s="8" t="s">
        <v>196</v>
      </c>
      <c r="F175" s="13" t="s">
        <v>198</v>
      </c>
      <c r="G175" s="46">
        <v>0.35</v>
      </c>
    </row>
    <row r="176" ht="15.75" customHeight="1">
      <c r="A176" s="43">
        <v>46030.0</v>
      </c>
      <c r="B176" s="43">
        <v>46043.0</v>
      </c>
      <c r="C176" s="44" t="s">
        <v>164</v>
      </c>
      <c r="D176" s="6" t="s">
        <v>201</v>
      </c>
      <c r="E176" s="8" t="s">
        <v>196</v>
      </c>
      <c r="F176" s="13" t="s">
        <v>198</v>
      </c>
      <c r="G176" s="46">
        <v>0.35</v>
      </c>
    </row>
    <row r="177" ht="15.75" customHeight="1">
      <c r="A177" s="43">
        <v>46030.0</v>
      </c>
      <c r="B177" s="43">
        <v>46043.0</v>
      </c>
      <c r="C177" s="44" t="s">
        <v>164</v>
      </c>
      <c r="D177" s="6" t="s">
        <v>203</v>
      </c>
      <c r="E177" s="8" t="s">
        <v>196</v>
      </c>
      <c r="F177" s="13" t="s">
        <v>198</v>
      </c>
      <c r="G177" s="46">
        <v>0.35</v>
      </c>
    </row>
    <row r="178" ht="15.75" customHeight="1">
      <c r="A178" s="43">
        <v>46030.0</v>
      </c>
      <c r="B178" s="43">
        <v>46043.0</v>
      </c>
      <c r="C178" s="44" t="s">
        <v>164</v>
      </c>
      <c r="D178" s="6" t="s">
        <v>205</v>
      </c>
      <c r="E178" s="8" t="s">
        <v>131</v>
      </c>
      <c r="F178" s="13" t="s">
        <v>207</v>
      </c>
      <c r="G178" s="46">
        <v>0.35</v>
      </c>
    </row>
    <row r="179" ht="15.75" customHeight="1">
      <c r="A179" s="43">
        <v>46030.0</v>
      </c>
      <c r="B179" s="43">
        <v>46043.0</v>
      </c>
      <c r="C179" s="44" t="s">
        <v>164</v>
      </c>
      <c r="D179" s="6" t="s">
        <v>209</v>
      </c>
      <c r="E179" s="8" t="s">
        <v>196</v>
      </c>
      <c r="F179" s="13" t="s">
        <v>198</v>
      </c>
      <c r="G179" s="46">
        <v>0.35</v>
      </c>
    </row>
    <row r="180" ht="15.75" customHeight="1">
      <c r="A180" s="43">
        <v>46030.0</v>
      </c>
      <c r="B180" s="43">
        <v>46043.0</v>
      </c>
      <c r="C180" s="44" t="s">
        <v>164</v>
      </c>
      <c r="D180" s="6" t="s">
        <v>210</v>
      </c>
      <c r="E180" s="8" t="s">
        <v>196</v>
      </c>
      <c r="F180" s="13" t="s">
        <v>198</v>
      </c>
      <c r="G180" s="46">
        <v>0.35</v>
      </c>
    </row>
    <row r="181" ht="15.75" customHeight="1">
      <c r="A181" s="43">
        <v>46030.0</v>
      </c>
      <c r="B181" s="43">
        <v>46043.0</v>
      </c>
      <c r="C181" s="44" t="s">
        <v>164</v>
      </c>
      <c r="D181" s="6" t="s">
        <v>211</v>
      </c>
      <c r="E181" s="8" t="s">
        <v>196</v>
      </c>
      <c r="F181" s="13" t="s">
        <v>198</v>
      </c>
      <c r="G181" s="46">
        <v>0.35</v>
      </c>
    </row>
    <row r="182" ht="15.75" customHeight="1">
      <c r="A182" s="43">
        <v>46030.0</v>
      </c>
      <c r="B182" s="43">
        <v>46043.0</v>
      </c>
      <c r="C182" s="44" t="s">
        <v>164</v>
      </c>
      <c r="D182" s="6" t="s">
        <v>214</v>
      </c>
      <c r="E182" s="8" t="s">
        <v>196</v>
      </c>
      <c r="F182" s="13" t="s">
        <v>198</v>
      </c>
      <c r="G182" s="46">
        <v>0.35</v>
      </c>
    </row>
    <row r="183" ht="15.75" customHeight="1">
      <c r="A183" s="43">
        <v>46030.0</v>
      </c>
      <c r="B183" s="43">
        <v>46043.0</v>
      </c>
      <c r="C183" s="44" t="s">
        <v>164</v>
      </c>
      <c r="D183" s="6" t="s">
        <v>217</v>
      </c>
      <c r="E183" s="8" t="s">
        <v>196</v>
      </c>
      <c r="F183" s="13" t="s">
        <v>198</v>
      </c>
      <c r="G183" s="46">
        <v>0.35</v>
      </c>
    </row>
    <row r="184" ht="15.75" customHeight="1">
      <c r="A184" s="43">
        <v>46030.0</v>
      </c>
      <c r="B184" s="43">
        <v>46043.0</v>
      </c>
      <c r="C184" s="44" t="s">
        <v>164</v>
      </c>
      <c r="D184" s="6" t="s">
        <v>220</v>
      </c>
      <c r="E184" s="8" t="s">
        <v>196</v>
      </c>
      <c r="F184" s="13" t="s">
        <v>198</v>
      </c>
      <c r="G184" s="46">
        <v>0.35</v>
      </c>
    </row>
    <row r="185" ht="15.75" customHeight="1">
      <c r="A185" s="43">
        <v>46030.0</v>
      </c>
      <c r="B185" s="43">
        <v>46043.0</v>
      </c>
      <c r="C185" s="44" t="s">
        <v>164</v>
      </c>
      <c r="D185" s="6" t="s">
        <v>221</v>
      </c>
      <c r="E185" s="8" t="s">
        <v>196</v>
      </c>
      <c r="F185" s="13" t="s">
        <v>198</v>
      </c>
      <c r="G185" s="46">
        <v>0.35</v>
      </c>
    </row>
    <row r="186" ht="15.75" customHeight="1">
      <c r="A186" s="43">
        <v>46030.0</v>
      </c>
      <c r="B186" s="43">
        <v>46043.0</v>
      </c>
      <c r="C186" s="44" t="s">
        <v>164</v>
      </c>
      <c r="D186" s="6" t="s">
        <v>224</v>
      </c>
      <c r="E186" s="8" t="s">
        <v>240</v>
      </c>
      <c r="F186" s="13" t="s">
        <v>241</v>
      </c>
      <c r="G186" s="46">
        <v>0.3</v>
      </c>
    </row>
    <row r="187" ht="15.75" customHeight="1">
      <c r="A187" s="43">
        <v>46030.0</v>
      </c>
      <c r="B187" s="43">
        <v>46043.0</v>
      </c>
      <c r="C187" s="44" t="s">
        <v>164</v>
      </c>
      <c r="D187" s="6" t="s">
        <v>226</v>
      </c>
      <c r="E187" s="8" t="s">
        <v>196</v>
      </c>
      <c r="F187" s="13" t="s">
        <v>230</v>
      </c>
      <c r="G187" s="46">
        <v>0.25</v>
      </c>
    </row>
    <row r="188" ht="15.75" customHeight="1">
      <c r="A188" s="43">
        <v>46030.0</v>
      </c>
      <c r="B188" s="43">
        <v>46043.0</v>
      </c>
      <c r="C188" s="44" t="s">
        <v>164</v>
      </c>
      <c r="D188" s="6" t="s">
        <v>229</v>
      </c>
      <c r="E188" s="8" t="s">
        <v>196</v>
      </c>
      <c r="F188" s="13" t="s">
        <v>242</v>
      </c>
      <c r="G188" s="46">
        <v>0.2</v>
      </c>
    </row>
    <row r="189" ht="15.75" customHeight="1">
      <c r="A189" s="43">
        <v>46030.0</v>
      </c>
      <c r="B189" s="43">
        <v>46043.0</v>
      </c>
      <c r="C189" s="44" t="s">
        <v>164</v>
      </c>
      <c r="D189" s="6" t="s">
        <v>99</v>
      </c>
      <c r="E189" s="8" t="s">
        <v>244</v>
      </c>
      <c r="F189" s="13" t="s">
        <v>245</v>
      </c>
      <c r="G189" s="46">
        <v>0.35</v>
      </c>
    </row>
    <row r="190" ht="15.75" customHeight="1">
      <c r="A190" s="43">
        <v>46030.0</v>
      </c>
      <c r="B190" s="43">
        <v>46043.0</v>
      </c>
      <c r="C190" s="44" t="s">
        <v>164</v>
      </c>
      <c r="D190" s="6" t="s">
        <v>100</v>
      </c>
      <c r="E190" s="8" t="s">
        <v>244</v>
      </c>
      <c r="F190" s="13" t="s">
        <v>245</v>
      </c>
      <c r="G190" s="46">
        <v>0.35</v>
      </c>
    </row>
    <row r="191" ht="15.75" customHeight="1">
      <c r="A191" s="43">
        <v>46030.0</v>
      </c>
      <c r="B191" s="43">
        <v>46043.0</v>
      </c>
      <c r="C191" s="44" t="s">
        <v>164</v>
      </c>
      <c r="D191" s="6" t="s">
        <v>102</v>
      </c>
      <c r="E191" s="8" t="s">
        <v>244</v>
      </c>
      <c r="F191" s="13" t="s">
        <v>250</v>
      </c>
      <c r="G191" s="46">
        <v>0.33</v>
      </c>
    </row>
    <row r="192" ht="15.75" customHeight="1">
      <c r="A192" s="43">
        <v>46030.0</v>
      </c>
      <c r="B192" s="43">
        <v>46043.0</v>
      </c>
      <c r="C192" s="44" t="s">
        <v>164</v>
      </c>
      <c r="D192" s="6" t="s">
        <v>251</v>
      </c>
      <c r="E192" s="8" t="s">
        <v>244</v>
      </c>
      <c r="F192" s="13" t="s">
        <v>252</v>
      </c>
      <c r="G192" s="46">
        <v>0.2</v>
      </c>
    </row>
    <row r="193" ht="15.75" customHeight="1">
      <c r="A193" s="43">
        <v>46030.0</v>
      </c>
      <c r="B193" s="43">
        <v>46043.0</v>
      </c>
      <c r="C193" s="44" t="s">
        <v>164</v>
      </c>
      <c r="D193" s="6" t="s">
        <v>99</v>
      </c>
      <c r="E193" s="8" t="s">
        <v>244</v>
      </c>
      <c r="F193" s="13" t="s">
        <v>254</v>
      </c>
      <c r="G193" s="46">
        <v>0.3</v>
      </c>
    </row>
    <row r="194" ht="15.75" customHeight="1">
      <c r="A194" s="43">
        <v>46030.0</v>
      </c>
      <c r="B194" s="43">
        <v>46043.0</v>
      </c>
      <c r="C194" s="44" t="s">
        <v>164</v>
      </c>
      <c r="D194" s="6" t="s">
        <v>100</v>
      </c>
      <c r="E194" s="8" t="s">
        <v>244</v>
      </c>
      <c r="F194" s="13" t="s">
        <v>254</v>
      </c>
      <c r="G194" s="46">
        <v>0.3</v>
      </c>
    </row>
    <row r="195" ht="15.75" customHeight="1">
      <c r="A195" s="43">
        <v>46030.0</v>
      </c>
      <c r="B195" s="43">
        <v>46043.0</v>
      </c>
      <c r="C195" s="44" t="s">
        <v>164</v>
      </c>
      <c r="D195" s="6" t="s">
        <v>102</v>
      </c>
      <c r="E195" s="8" t="s">
        <v>244</v>
      </c>
      <c r="F195" s="13" t="s">
        <v>254</v>
      </c>
      <c r="G195" s="46">
        <v>0.3</v>
      </c>
    </row>
    <row r="196" ht="15.75" customHeight="1">
      <c r="A196" s="43">
        <v>46030.0</v>
      </c>
      <c r="B196" s="43">
        <v>46043.0</v>
      </c>
      <c r="C196" s="44" t="s">
        <v>164</v>
      </c>
      <c r="D196" s="6" t="s">
        <v>251</v>
      </c>
      <c r="E196" s="8" t="s">
        <v>244</v>
      </c>
      <c r="F196" s="13" t="s">
        <v>252</v>
      </c>
      <c r="G196" s="46">
        <v>0.2</v>
      </c>
    </row>
    <row r="197" ht="15.75" customHeight="1">
      <c r="A197" s="43">
        <v>46049.0</v>
      </c>
      <c r="B197" s="43">
        <v>46055.0</v>
      </c>
      <c r="C197" s="44" t="s">
        <v>191</v>
      </c>
      <c r="D197" s="6" t="s">
        <v>261</v>
      </c>
      <c r="E197" s="8" t="s">
        <v>88</v>
      </c>
      <c r="F197" s="13" t="s">
        <v>262</v>
      </c>
      <c r="G197" s="46">
        <v>0.33</v>
      </c>
    </row>
    <row r="198" ht="15.75" customHeight="1">
      <c r="A198" s="43">
        <v>46049.0</v>
      </c>
      <c r="B198" s="43">
        <v>46055.0</v>
      </c>
      <c r="C198" s="44" t="s">
        <v>191</v>
      </c>
      <c r="D198" s="6" t="s">
        <v>265</v>
      </c>
      <c r="E198" s="8" t="s">
        <v>132</v>
      </c>
      <c r="F198" s="13" t="s">
        <v>267</v>
      </c>
      <c r="G198" s="46">
        <v>0.33</v>
      </c>
    </row>
    <row r="199" ht="15.75" customHeight="1">
      <c r="A199" s="43">
        <v>46049.0</v>
      </c>
      <c r="B199" s="43">
        <v>46055.0</v>
      </c>
      <c r="C199" s="44" t="s">
        <v>191</v>
      </c>
      <c r="D199" s="6" t="s">
        <v>268</v>
      </c>
      <c r="E199" s="8" t="s">
        <v>269</v>
      </c>
      <c r="F199" s="13" t="s">
        <v>132</v>
      </c>
      <c r="G199" s="46">
        <v>0.25</v>
      </c>
    </row>
    <row r="200" ht="15.75" customHeight="1">
      <c r="A200" s="43">
        <v>46049.0</v>
      </c>
      <c r="B200" s="43">
        <v>46055.0</v>
      </c>
      <c r="C200" s="44" t="s">
        <v>191</v>
      </c>
      <c r="D200" s="6" t="s">
        <v>261</v>
      </c>
      <c r="E200" s="8" t="s">
        <v>88</v>
      </c>
      <c r="F200" s="13" t="s">
        <v>262</v>
      </c>
      <c r="G200" s="46">
        <v>0.33</v>
      </c>
    </row>
    <row r="201" ht="15.75" customHeight="1">
      <c r="A201" s="43">
        <v>46049.0</v>
      </c>
      <c r="B201" s="43">
        <v>46055.0</v>
      </c>
      <c r="C201" s="44" t="s">
        <v>191</v>
      </c>
      <c r="D201" s="6" t="s">
        <v>265</v>
      </c>
      <c r="E201" s="8" t="s">
        <v>132</v>
      </c>
      <c r="F201" s="13" t="s">
        <v>267</v>
      </c>
      <c r="G201" s="46">
        <v>0.33</v>
      </c>
    </row>
    <row r="202" ht="15.75" customHeight="1">
      <c r="A202" s="43">
        <v>46049.0</v>
      </c>
      <c r="B202" s="43">
        <v>46055.0</v>
      </c>
      <c r="C202" s="44" t="s">
        <v>191</v>
      </c>
      <c r="D202" s="6" t="s">
        <v>268</v>
      </c>
      <c r="E202" s="8" t="s">
        <v>269</v>
      </c>
      <c r="F202" s="13" t="s">
        <v>273</v>
      </c>
      <c r="G202" s="46">
        <v>0.2</v>
      </c>
    </row>
    <row r="203" ht="15.75" customHeight="1">
      <c r="A203" s="43">
        <v>46049.0</v>
      </c>
      <c r="B203" s="43">
        <v>46055.0</v>
      </c>
      <c r="C203" s="44" t="s">
        <v>191</v>
      </c>
      <c r="D203" s="6" t="s">
        <v>275</v>
      </c>
      <c r="E203" s="8" t="s">
        <v>183</v>
      </c>
      <c r="F203" s="13" t="s">
        <v>276</v>
      </c>
      <c r="G203" s="46">
        <v>0.25</v>
      </c>
    </row>
    <row r="204" ht="15.75" customHeight="1">
      <c r="A204" s="43">
        <v>46049.0</v>
      </c>
      <c r="B204" s="43">
        <v>46055.0</v>
      </c>
      <c r="C204" s="44" t="s">
        <v>191</v>
      </c>
      <c r="D204" s="6" t="s">
        <v>275</v>
      </c>
      <c r="E204" s="8" t="s">
        <v>183</v>
      </c>
      <c r="F204" s="13" t="s">
        <v>276</v>
      </c>
      <c r="G204" s="46">
        <v>0.25</v>
      </c>
    </row>
    <row r="205" ht="15.75" customHeight="1">
      <c r="A205" s="43">
        <v>46051.0</v>
      </c>
      <c r="B205" s="43">
        <v>46057.0</v>
      </c>
      <c r="C205" s="44" t="s">
        <v>258</v>
      </c>
      <c r="D205" s="6" t="s">
        <v>17</v>
      </c>
      <c r="E205" s="8" t="s">
        <v>95</v>
      </c>
      <c r="F205" s="13" t="s">
        <v>137</v>
      </c>
      <c r="G205" s="46">
        <v>0.6</v>
      </c>
    </row>
    <row r="206" ht="15.75" customHeight="1">
      <c r="A206" s="43">
        <v>46051.0</v>
      </c>
      <c r="B206" s="43">
        <v>46057.0</v>
      </c>
      <c r="C206" s="44" t="s">
        <v>258</v>
      </c>
      <c r="D206" s="6" t="s">
        <v>17</v>
      </c>
      <c r="E206" s="8" t="s">
        <v>88</v>
      </c>
      <c r="F206" s="13" t="s">
        <v>137</v>
      </c>
      <c r="G206" s="46">
        <v>0.5</v>
      </c>
    </row>
    <row r="207" ht="15.75" customHeight="1">
      <c r="A207" s="43">
        <v>46056.0</v>
      </c>
      <c r="B207" s="43">
        <v>46069.0</v>
      </c>
      <c r="C207" s="44" t="s">
        <v>114</v>
      </c>
      <c r="D207" s="6" t="s">
        <v>24</v>
      </c>
      <c r="E207" s="8" t="s">
        <v>88</v>
      </c>
      <c r="F207" s="13" t="s">
        <v>280</v>
      </c>
      <c r="G207" s="46">
        <v>0.6</v>
      </c>
    </row>
    <row r="208" ht="15.75" customHeight="1">
      <c r="A208" s="43">
        <v>46056.0</v>
      </c>
      <c r="B208" s="43">
        <v>46069.0</v>
      </c>
      <c r="C208" s="44" t="s">
        <v>114</v>
      </c>
      <c r="D208" s="6" t="s">
        <v>24</v>
      </c>
      <c r="E208" s="8" t="s">
        <v>89</v>
      </c>
      <c r="F208" s="13" t="s">
        <v>281</v>
      </c>
      <c r="G208" s="46">
        <v>0.5</v>
      </c>
    </row>
    <row r="209" ht="15.75" customHeight="1">
      <c r="A209" s="43">
        <v>46065.0</v>
      </c>
      <c r="B209" s="43">
        <v>46071.0</v>
      </c>
      <c r="C209" s="44" t="s">
        <v>186</v>
      </c>
      <c r="D209" s="6" t="s">
        <v>282</v>
      </c>
      <c r="E209" s="8" t="s">
        <v>188</v>
      </c>
      <c r="F209" s="13" t="s">
        <v>283</v>
      </c>
      <c r="G209" s="46">
        <v>0.3</v>
      </c>
    </row>
    <row r="210" ht="15.75" customHeight="1">
      <c r="A210" s="43">
        <v>46065.0</v>
      </c>
      <c r="B210" s="43">
        <v>46071.0</v>
      </c>
      <c r="C210" s="44" t="s">
        <v>186</v>
      </c>
      <c r="D210" s="6" t="s">
        <v>282</v>
      </c>
      <c r="E210" s="8" t="s">
        <v>284</v>
      </c>
      <c r="F210" s="13" t="s">
        <v>285</v>
      </c>
      <c r="G210" s="46">
        <v>0.3</v>
      </c>
    </row>
    <row r="211" ht="15.75" customHeight="1">
      <c r="A211" s="43">
        <v>46077.0</v>
      </c>
      <c r="B211" s="43">
        <v>46083.0</v>
      </c>
      <c r="C211" s="44" t="s">
        <v>191</v>
      </c>
      <c r="D211" s="6" t="s">
        <v>195</v>
      </c>
      <c r="E211" s="8" t="s">
        <v>196</v>
      </c>
      <c r="F211" s="13" t="s">
        <v>286</v>
      </c>
      <c r="G211" s="46">
        <v>0.4</v>
      </c>
    </row>
    <row r="212" ht="15.75" customHeight="1">
      <c r="A212" s="43">
        <v>46077.0</v>
      </c>
      <c r="B212" s="43">
        <v>46083.0</v>
      </c>
      <c r="C212" s="44" t="s">
        <v>191</v>
      </c>
      <c r="D212" s="6" t="s">
        <v>201</v>
      </c>
      <c r="E212" s="8" t="s">
        <v>196</v>
      </c>
      <c r="F212" s="13" t="s">
        <v>286</v>
      </c>
      <c r="G212" s="46">
        <v>0.4</v>
      </c>
    </row>
    <row r="213" ht="15.75" customHeight="1">
      <c r="A213" s="43">
        <v>46077.0</v>
      </c>
      <c r="B213" s="43">
        <v>46083.0</v>
      </c>
      <c r="C213" s="44" t="s">
        <v>191</v>
      </c>
      <c r="D213" s="6" t="s">
        <v>203</v>
      </c>
      <c r="E213" s="8" t="s">
        <v>196</v>
      </c>
      <c r="F213" s="13" t="s">
        <v>286</v>
      </c>
      <c r="G213" s="46">
        <v>0.4</v>
      </c>
    </row>
    <row r="214" ht="15.75" customHeight="1">
      <c r="A214" s="43">
        <v>46077.0</v>
      </c>
      <c r="B214" s="43">
        <v>46083.0</v>
      </c>
      <c r="C214" s="44" t="s">
        <v>191</v>
      </c>
      <c r="D214" s="6" t="s">
        <v>205</v>
      </c>
      <c r="E214" s="8" t="s">
        <v>131</v>
      </c>
      <c r="F214" s="13" t="s">
        <v>288</v>
      </c>
      <c r="G214" s="46">
        <v>0.4</v>
      </c>
    </row>
    <row r="215" ht="15.75" customHeight="1">
      <c r="A215" s="43">
        <v>46077.0</v>
      </c>
      <c r="B215" s="43">
        <v>46083.0</v>
      </c>
      <c r="C215" s="44" t="s">
        <v>191</v>
      </c>
      <c r="D215" s="6" t="s">
        <v>209</v>
      </c>
      <c r="E215" s="8" t="s">
        <v>196</v>
      </c>
      <c r="F215" s="13" t="s">
        <v>286</v>
      </c>
      <c r="G215" s="46">
        <v>0.4</v>
      </c>
    </row>
    <row r="216" ht="15.75" customHeight="1">
      <c r="A216" s="43">
        <v>46077.0</v>
      </c>
      <c r="B216" s="43">
        <v>46083.0</v>
      </c>
      <c r="C216" s="44" t="s">
        <v>191</v>
      </c>
      <c r="D216" s="6" t="s">
        <v>291</v>
      </c>
      <c r="E216" s="8" t="s">
        <v>196</v>
      </c>
      <c r="F216" s="13" t="s">
        <v>286</v>
      </c>
      <c r="G216" s="46">
        <v>0.4</v>
      </c>
    </row>
    <row r="217" ht="15.75" customHeight="1">
      <c r="A217" s="43">
        <v>46077.0</v>
      </c>
      <c r="B217" s="43">
        <v>46083.0</v>
      </c>
      <c r="C217" s="44" t="s">
        <v>191</v>
      </c>
      <c r="D217" s="6" t="s">
        <v>292</v>
      </c>
      <c r="E217" s="8" t="s">
        <v>196</v>
      </c>
      <c r="F217" s="13" t="s">
        <v>286</v>
      </c>
      <c r="G217" s="46">
        <v>0.4</v>
      </c>
    </row>
    <row r="218" ht="15.75" customHeight="1">
      <c r="A218" s="43">
        <v>46077.0</v>
      </c>
      <c r="B218" s="43">
        <v>46083.0</v>
      </c>
      <c r="C218" s="44" t="s">
        <v>191</v>
      </c>
      <c r="D218" s="6" t="s">
        <v>293</v>
      </c>
      <c r="E218" s="8" t="s">
        <v>196</v>
      </c>
      <c r="F218" s="13" t="s">
        <v>286</v>
      </c>
      <c r="G218" s="46">
        <v>0.4</v>
      </c>
    </row>
    <row r="219" ht="15.75" customHeight="1">
      <c r="A219" s="43">
        <v>46077.0</v>
      </c>
      <c r="B219" s="43">
        <v>46083.0</v>
      </c>
      <c r="C219" s="44" t="s">
        <v>191</v>
      </c>
      <c r="D219" s="6" t="s">
        <v>295</v>
      </c>
      <c r="E219" s="8" t="s">
        <v>196</v>
      </c>
      <c r="F219" s="13" t="s">
        <v>286</v>
      </c>
      <c r="G219" s="46">
        <v>0.4</v>
      </c>
    </row>
    <row r="220" ht="15.75" customHeight="1">
      <c r="A220" s="43">
        <v>46077.0</v>
      </c>
      <c r="B220" s="43">
        <v>46083.0</v>
      </c>
      <c r="C220" s="44" t="s">
        <v>191</v>
      </c>
      <c r="D220" s="6" t="s">
        <v>296</v>
      </c>
      <c r="E220" s="8" t="s">
        <v>196</v>
      </c>
      <c r="F220" s="13" t="s">
        <v>286</v>
      </c>
      <c r="G220" s="46">
        <v>0.4</v>
      </c>
    </row>
    <row r="221" ht="15.75" customHeight="1">
      <c r="A221" s="43">
        <v>46077.0</v>
      </c>
      <c r="B221" s="43">
        <v>46083.0</v>
      </c>
      <c r="C221" s="44" t="s">
        <v>191</v>
      </c>
      <c r="D221" s="6" t="s">
        <v>221</v>
      </c>
      <c r="E221" s="8" t="s">
        <v>196</v>
      </c>
      <c r="F221" s="13" t="s">
        <v>286</v>
      </c>
      <c r="G221" s="46">
        <v>0.4</v>
      </c>
    </row>
    <row r="222" ht="15.75" customHeight="1">
      <c r="A222" s="43">
        <v>46077.0</v>
      </c>
      <c r="B222" s="43">
        <v>46083.0</v>
      </c>
      <c r="C222" s="44" t="s">
        <v>191</v>
      </c>
      <c r="D222" s="6" t="s">
        <v>224</v>
      </c>
      <c r="E222" s="8" t="s">
        <v>131</v>
      </c>
      <c r="F222" s="13" t="s">
        <v>207</v>
      </c>
      <c r="G222" s="46">
        <v>0.35</v>
      </c>
    </row>
    <row r="223" ht="15.75" customHeight="1">
      <c r="A223" s="43">
        <v>46077.0</v>
      </c>
      <c r="B223" s="43">
        <v>46083.0</v>
      </c>
      <c r="C223" s="44" t="s">
        <v>191</v>
      </c>
      <c r="D223" s="6" t="s">
        <v>226</v>
      </c>
      <c r="E223" s="8" t="s">
        <v>196</v>
      </c>
      <c r="F223" s="13" t="s">
        <v>198</v>
      </c>
      <c r="G223" s="46">
        <v>0.35</v>
      </c>
    </row>
    <row r="224" ht="15.75" customHeight="1">
      <c r="A224" s="43">
        <v>46077.0</v>
      </c>
      <c r="B224" s="43">
        <v>46083.0</v>
      </c>
      <c r="C224" s="44" t="s">
        <v>191</v>
      </c>
      <c r="D224" s="6" t="s">
        <v>229</v>
      </c>
      <c r="E224" s="8" t="s">
        <v>196</v>
      </c>
      <c r="F224" s="13" t="s">
        <v>228</v>
      </c>
      <c r="G224" s="46">
        <v>0.3</v>
      </c>
    </row>
    <row r="225" ht="15.75" customHeight="1">
      <c r="A225" s="43">
        <v>46077.0</v>
      </c>
      <c r="B225" s="43">
        <v>46083.0</v>
      </c>
      <c r="C225" s="44" t="s">
        <v>191</v>
      </c>
      <c r="D225" s="6" t="s">
        <v>195</v>
      </c>
      <c r="E225" s="8" t="s">
        <v>196</v>
      </c>
      <c r="F225" s="13" t="s">
        <v>286</v>
      </c>
      <c r="G225" s="46">
        <v>0.4</v>
      </c>
    </row>
    <row r="226" ht="15.75" customHeight="1">
      <c r="A226" s="43">
        <v>46077.0</v>
      </c>
      <c r="B226" s="43">
        <v>46083.0</v>
      </c>
      <c r="C226" s="44" t="s">
        <v>191</v>
      </c>
      <c r="D226" s="6" t="s">
        <v>201</v>
      </c>
      <c r="E226" s="8" t="s">
        <v>196</v>
      </c>
      <c r="F226" s="13" t="s">
        <v>286</v>
      </c>
      <c r="G226" s="46">
        <v>0.4</v>
      </c>
    </row>
    <row r="227" ht="15.75" customHeight="1">
      <c r="A227" s="43">
        <v>46077.0</v>
      </c>
      <c r="B227" s="43">
        <v>46083.0</v>
      </c>
      <c r="C227" s="44" t="s">
        <v>191</v>
      </c>
      <c r="D227" s="6" t="s">
        <v>203</v>
      </c>
      <c r="E227" s="8" t="s">
        <v>196</v>
      </c>
      <c r="F227" s="13" t="s">
        <v>286</v>
      </c>
      <c r="G227" s="46">
        <v>0.4</v>
      </c>
    </row>
    <row r="228" ht="15.75" customHeight="1">
      <c r="A228" s="43">
        <v>46077.0</v>
      </c>
      <c r="B228" s="43">
        <v>46083.0</v>
      </c>
      <c r="C228" s="44" t="s">
        <v>191</v>
      </c>
      <c r="D228" s="6" t="s">
        <v>205</v>
      </c>
      <c r="E228" s="8" t="s">
        <v>131</v>
      </c>
      <c r="F228" s="13" t="s">
        <v>288</v>
      </c>
      <c r="G228" s="46">
        <v>0.4</v>
      </c>
    </row>
    <row r="229" ht="15.75" customHeight="1">
      <c r="A229" s="43">
        <v>46077.0</v>
      </c>
      <c r="B229" s="43">
        <v>46083.0</v>
      </c>
      <c r="C229" s="44" t="s">
        <v>191</v>
      </c>
      <c r="D229" s="6" t="s">
        <v>209</v>
      </c>
      <c r="E229" s="8" t="s">
        <v>196</v>
      </c>
      <c r="F229" s="13" t="s">
        <v>286</v>
      </c>
      <c r="G229" s="46">
        <v>0.4</v>
      </c>
    </row>
    <row r="230" ht="15.75" customHeight="1">
      <c r="A230" s="43">
        <v>46077.0</v>
      </c>
      <c r="B230" s="43">
        <v>46083.0</v>
      </c>
      <c r="C230" s="44" t="s">
        <v>191</v>
      </c>
      <c r="D230" s="6" t="s">
        <v>291</v>
      </c>
      <c r="E230" s="8" t="s">
        <v>196</v>
      </c>
      <c r="F230" s="13" t="s">
        <v>286</v>
      </c>
      <c r="G230" s="46">
        <v>0.4</v>
      </c>
    </row>
    <row r="231" ht="15.75" customHeight="1">
      <c r="A231" s="43">
        <v>46077.0</v>
      </c>
      <c r="B231" s="43">
        <v>46083.0</v>
      </c>
      <c r="C231" s="44" t="s">
        <v>191</v>
      </c>
      <c r="D231" s="6" t="s">
        <v>292</v>
      </c>
      <c r="E231" s="8" t="s">
        <v>196</v>
      </c>
      <c r="F231" s="13" t="s">
        <v>286</v>
      </c>
      <c r="G231" s="46">
        <v>0.4</v>
      </c>
    </row>
    <row r="232" ht="15.75" customHeight="1">
      <c r="A232" s="43">
        <v>46077.0</v>
      </c>
      <c r="B232" s="43">
        <v>46083.0</v>
      </c>
      <c r="C232" s="44" t="s">
        <v>191</v>
      </c>
      <c r="D232" s="6" t="s">
        <v>293</v>
      </c>
      <c r="E232" s="8" t="s">
        <v>196</v>
      </c>
      <c r="F232" s="13" t="s">
        <v>286</v>
      </c>
      <c r="G232" s="46">
        <v>0.4</v>
      </c>
    </row>
    <row r="233" ht="15.75" customHeight="1">
      <c r="A233" s="43">
        <v>46077.0</v>
      </c>
      <c r="B233" s="43">
        <v>46083.0</v>
      </c>
      <c r="C233" s="44" t="s">
        <v>191</v>
      </c>
      <c r="D233" s="6" t="s">
        <v>295</v>
      </c>
      <c r="E233" s="8" t="s">
        <v>196</v>
      </c>
      <c r="F233" s="13" t="s">
        <v>286</v>
      </c>
      <c r="G233" s="46">
        <v>0.4</v>
      </c>
    </row>
    <row r="234" ht="15.75" customHeight="1">
      <c r="A234" s="43">
        <v>46077.0</v>
      </c>
      <c r="B234" s="43">
        <v>46083.0</v>
      </c>
      <c r="C234" s="44" t="s">
        <v>191</v>
      </c>
      <c r="D234" s="6" t="s">
        <v>296</v>
      </c>
      <c r="E234" s="8" t="s">
        <v>196</v>
      </c>
      <c r="F234" s="13" t="s">
        <v>286</v>
      </c>
      <c r="G234" s="46">
        <v>0.4</v>
      </c>
    </row>
    <row r="235" ht="15.75" customHeight="1">
      <c r="A235" s="43">
        <v>46077.0</v>
      </c>
      <c r="B235" s="43">
        <v>46083.0</v>
      </c>
      <c r="C235" s="44" t="s">
        <v>191</v>
      </c>
      <c r="D235" s="6" t="s">
        <v>221</v>
      </c>
      <c r="E235" s="8" t="s">
        <v>196</v>
      </c>
      <c r="F235" s="13" t="s">
        <v>286</v>
      </c>
      <c r="G235" s="46">
        <v>0.4</v>
      </c>
    </row>
    <row r="236" ht="15.75" customHeight="1">
      <c r="A236" s="43">
        <v>46077.0</v>
      </c>
      <c r="B236" s="43">
        <v>46083.0</v>
      </c>
      <c r="C236" s="44" t="s">
        <v>191</v>
      </c>
      <c r="D236" s="6" t="s">
        <v>224</v>
      </c>
      <c r="E236" s="8" t="s">
        <v>240</v>
      </c>
      <c r="F236" s="13" t="s">
        <v>303</v>
      </c>
      <c r="G236" s="46">
        <v>0.35</v>
      </c>
    </row>
    <row r="237" ht="15.75" customHeight="1">
      <c r="A237" s="43">
        <v>46077.0</v>
      </c>
      <c r="B237" s="43">
        <v>46083.0</v>
      </c>
      <c r="C237" s="44" t="s">
        <v>191</v>
      </c>
      <c r="D237" s="6" t="s">
        <v>226</v>
      </c>
      <c r="E237" s="8" t="s">
        <v>196</v>
      </c>
      <c r="F237" s="13" t="s">
        <v>198</v>
      </c>
      <c r="G237" s="46">
        <v>0.35</v>
      </c>
    </row>
    <row r="238" ht="15.75" customHeight="1">
      <c r="A238" s="43">
        <v>46077.0</v>
      </c>
      <c r="B238" s="43">
        <v>46083.0</v>
      </c>
      <c r="C238" s="44" t="s">
        <v>191</v>
      </c>
      <c r="D238" s="6" t="s">
        <v>229</v>
      </c>
      <c r="E238" s="8" t="s">
        <v>196</v>
      </c>
      <c r="F238" s="13" t="s">
        <v>228</v>
      </c>
      <c r="G238" s="46">
        <v>0.3</v>
      </c>
    </row>
    <row r="239" ht="15.75" customHeight="1">
      <c r="A239" s="43">
        <v>46077.0</v>
      </c>
      <c r="B239" s="43">
        <v>46083.0</v>
      </c>
      <c r="C239" s="44" t="s">
        <v>191</v>
      </c>
      <c r="D239" s="6" t="s">
        <v>18</v>
      </c>
      <c r="E239" s="8" t="s">
        <v>244</v>
      </c>
      <c r="F239" s="13" t="s">
        <v>130</v>
      </c>
      <c r="G239" s="46">
        <v>0.4</v>
      </c>
    </row>
    <row r="240" ht="15.75" customHeight="1">
      <c r="A240" s="43">
        <v>46077.0</v>
      </c>
      <c r="B240" s="43">
        <v>46083.0</v>
      </c>
      <c r="C240" s="44" t="s">
        <v>191</v>
      </c>
      <c r="D240" s="6" t="s">
        <v>32</v>
      </c>
      <c r="E240" s="8" t="s">
        <v>244</v>
      </c>
      <c r="F240" s="13" t="s">
        <v>130</v>
      </c>
      <c r="G240" s="46">
        <v>0.4</v>
      </c>
    </row>
    <row r="241" ht="15.75" customHeight="1">
      <c r="A241" s="43">
        <v>46077.0</v>
      </c>
      <c r="B241" s="43">
        <v>46083.0</v>
      </c>
      <c r="C241" s="44" t="s">
        <v>191</v>
      </c>
      <c r="D241" s="6" t="s">
        <v>34</v>
      </c>
      <c r="E241" s="8" t="s">
        <v>244</v>
      </c>
      <c r="F241" s="13" t="s">
        <v>130</v>
      </c>
      <c r="G241" s="46">
        <v>0.4</v>
      </c>
    </row>
    <row r="242" ht="15.75" customHeight="1">
      <c r="A242" s="43">
        <v>46077.0</v>
      </c>
      <c r="B242" s="43">
        <v>46083.0</v>
      </c>
      <c r="C242" s="44" t="s">
        <v>191</v>
      </c>
      <c r="D242" s="6" t="s">
        <v>307</v>
      </c>
      <c r="E242" s="8" t="s">
        <v>244</v>
      </c>
      <c r="F242" s="13" t="s">
        <v>254</v>
      </c>
      <c r="G242" s="46">
        <v>0.3</v>
      </c>
    </row>
    <row r="243" ht="15.75" customHeight="1">
      <c r="A243" s="43">
        <v>46077.0</v>
      </c>
      <c r="B243" s="43">
        <v>46083.0</v>
      </c>
      <c r="C243" s="44" t="s">
        <v>191</v>
      </c>
      <c r="D243" s="6" t="s">
        <v>18</v>
      </c>
      <c r="E243" s="8" t="s">
        <v>244</v>
      </c>
      <c r="F243" s="13" t="s">
        <v>130</v>
      </c>
      <c r="G243" s="46">
        <v>0.4</v>
      </c>
    </row>
    <row r="244" ht="15.75" customHeight="1">
      <c r="A244" s="43">
        <v>46077.0</v>
      </c>
      <c r="B244" s="43">
        <v>46083.0</v>
      </c>
      <c r="C244" s="44" t="s">
        <v>191</v>
      </c>
      <c r="D244" s="6" t="s">
        <v>32</v>
      </c>
      <c r="E244" s="8" t="s">
        <v>244</v>
      </c>
      <c r="F244" s="13" t="s">
        <v>130</v>
      </c>
      <c r="G244" s="46">
        <v>0.4</v>
      </c>
    </row>
    <row r="245" ht="15.75" customHeight="1">
      <c r="A245" s="43">
        <v>46077.0</v>
      </c>
      <c r="B245" s="43">
        <v>46083.0</v>
      </c>
      <c r="C245" s="44" t="s">
        <v>191</v>
      </c>
      <c r="D245" s="6" t="s">
        <v>34</v>
      </c>
      <c r="E245" s="8" t="s">
        <v>244</v>
      </c>
      <c r="F245" s="13" t="s">
        <v>130</v>
      </c>
      <c r="G245" s="46">
        <v>0.4</v>
      </c>
    </row>
    <row r="246" ht="15.75" customHeight="1">
      <c r="A246" s="43">
        <v>46077.0</v>
      </c>
      <c r="B246" s="43">
        <v>46083.0</v>
      </c>
      <c r="C246" s="44" t="s">
        <v>191</v>
      </c>
      <c r="D246" s="6" t="s">
        <v>307</v>
      </c>
      <c r="E246" s="8" t="s">
        <v>244</v>
      </c>
      <c r="F246" s="13" t="s">
        <v>254</v>
      </c>
      <c r="G246" s="46">
        <v>0.3</v>
      </c>
    </row>
    <row r="247" ht="15.75" customHeight="1">
      <c r="A247" s="43">
        <v>46084.0</v>
      </c>
      <c r="B247" s="43">
        <v>46090.0</v>
      </c>
      <c r="C247" s="44" t="s">
        <v>111</v>
      </c>
      <c r="D247" s="6" t="s">
        <v>17</v>
      </c>
      <c r="E247" s="8" t="s">
        <v>95</v>
      </c>
      <c r="F247" s="13" t="s">
        <v>304</v>
      </c>
      <c r="G247" s="46">
        <v>0.65</v>
      </c>
    </row>
    <row r="248" ht="15.75" customHeight="1">
      <c r="A248" s="43">
        <v>46084.0</v>
      </c>
      <c r="B248" s="43">
        <v>46090.0</v>
      </c>
      <c r="C248" s="44" t="s">
        <v>111</v>
      </c>
      <c r="D248" s="6" t="s">
        <v>17</v>
      </c>
      <c r="E248" s="8" t="s">
        <v>88</v>
      </c>
      <c r="F248" s="13" t="s">
        <v>280</v>
      </c>
      <c r="G248" s="46">
        <v>0.6</v>
      </c>
    </row>
    <row r="249" ht="15.75" customHeight="1">
      <c r="A249" s="43">
        <v>46084.0</v>
      </c>
      <c r="B249" s="43">
        <v>46090.0</v>
      </c>
      <c r="C249" s="44" t="s">
        <v>191</v>
      </c>
      <c r="D249" s="6" t="s">
        <v>261</v>
      </c>
      <c r="E249" s="8" t="s">
        <v>88</v>
      </c>
      <c r="F249" s="13" t="s">
        <v>134</v>
      </c>
      <c r="G249" s="46">
        <v>0.4</v>
      </c>
    </row>
    <row r="250" ht="15.75" customHeight="1">
      <c r="A250" s="43">
        <v>46084.0</v>
      </c>
      <c r="B250" s="43">
        <v>46090.0</v>
      </c>
      <c r="C250" s="44" t="s">
        <v>191</v>
      </c>
      <c r="D250" s="6" t="s">
        <v>265</v>
      </c>
      <c r="E250" s="8" t="s">
        <v>132</v>
      </c>
      <c r="F250" s="13" t="s">
        <v>308</v>
      </c>
      <c r="G250" s="46">
        <v>0.4</v>
      </c>
    </row>
    <row r="251" ht="15.75" customHeight="1">
      <c r="A251" s="43">
        <v>46084.0</v>
      </c>
      <c r="B251" s="43">
        <v>46090.0</v>
      </c>
      <c r="C251" s="44" t="s">
        <v>191</v>
      </c>
      <c r="D251" s="6" t="s">
        <v>268</v>
      </c>
      <c r="E251" s="8" t="s">
        <v>269</v>
      </c>
      <c r="F251" s="13" t="s">
        <v>309</v>
      </c>
      <c r="G251" s="46">
        <v>0.33</v>
      </c>
    </row>
    <row r="252" ht="15.75" customHeight="1">
      <c r="A252" s="43">
        <v>46084.0</v>
      </c>
      <c r="B252" s="43">
        <v>46090.0</v>
      </c>
      <c r="C252" s="44" t="s">
        <v>191</v>
      </c>
      <c r="D252" s="6" t="s">
        <v>261</v>
      </c>
      <c r="E252" s="8" t="s">
        <v>88</v>
      </c>
      <c r="F252" s="13" t="s">
        <v>134</v>
      </c>
      <c r="G252" s="46">
        <v>0.4</v>
      </c>
    </row>
    <row r="253" ht="15.75" customHeight="1">
      <c r="A253" s="43">
        <v>46084.0</v>
      </c>
      <c r="B253" s="43">
        <v>46090.0</v>
      </c>
      <c r="C253" s="44" t="s">
        <v>191</v>
      </c>
      <c r="D253" s="6" t="s">
        <v>265</v>
      </c>
      <c r="E253" s="8" t="s">
        <v>132</v>
      </c>
      <c r="F253" s="13" t="s">
        <v>308</v>
      </c>
      <c r="G253" s="46">
        <v>0.4</v>
      </c>
    </row>
    <row r="254" ht="15.75" customHeight="1">
      <c r="A254" s="43">
        <v>46084.0</v>
      </c>
      <c r="B254" s="43">
        <v>46090.0</v>
      </c>
      <c r="C254" s="44" t="s">
        <v>191</v>
      </c>
      <c r="D254" s="6" t="s">
        <v>268</v>
      </c>
      <c r="E254" s="8" t="s">
        <v>269</v>
      </c>
      <c r="F254" s="13" t="s">
        <v>309</v>
      </c>
      <c r="G254" s="46">
        <v>0.33</v>
      </c>
    </row>
    <row r="255" ht="15.75" customHeight="1">
      <c r="A255" s="43">
        <v>46084.0</v>
      </c>
      <c r="B255" s="43">
        <v>46090.0</v>
      </c>
      <c r="C255" s="44" t="s">
        <v>191</v>
      </c>
      <c r="D255" s="6" t="s">
        <v>275</v>
      </c>
      <c r="E255" s="8" t="s">
        <v>183</v>
      </c>
      <c r="F255" s="13" t="s">
        <v>311</v>
      </c>
      <c r="G255" s="46">
        <v>0.33</v>
      </c>
    </row>
    <row r="256" ht="15.75" customHeight="1">
      <c r="A256" s="43">
        <v>46084.0</v>
      </c>
      <c r="B256" s="43">
        <v>46090.0</v>
      </c>
      <c r="C256" s="44" t="s">
        <v>191</v>
      </c>
      <c r="D256" s="6" t="s">
        <v>275</v>
      </c>
      <c r="E256" s="8" t="s">
        <v>183</v>
      </c>
      <c r="F256" s="13" t="s">
        <v>311</v>
      </c>
      <c r="G256" s="46">
        <v>0.33</v>
      </c>
    </row>
    <row r="257" ht="15.75" customHeight="1">
      <c r="A257" s="43">
        <v>46098.0</v>
      </c>
      <c r="B257" s="43">
        <v>46104.0</v>
      </c>
      <c r="C257" s="44" t="s">
        <v>92</v>
      </c>
      <c r="D257" s="6" t="s">
        <v>312</v>
      </c>
      <c r="E257" s="8" t="s">
        <v>188</v>
      </c>
      <c r="F257" s="13" t="s">
        <v>313</v>
      </c>
      <c r="G257" s="46">
        <v>0.35</v>
      </c>
    </row>
    <row r="258" ht="15.75" customHeight="1">
      <c r="A258" s="43">
        <v>46098.0</v>
      </c>
      <c r="B258" s="43">
        <v>46104.0</v>
      </c>
      <c r="C258" s="44" t="s">
        <v>92</v>
      </c>
      <c r="D258" s="6" t="s">
        <v>312</v>
      </c>
      <c r="E258" s="8" t="s">
        <v>284</v>
      </c>
      <c r="F258" s="13" t="s">
        <v>314</v>
      </c>
      <c r="G258" s="46">
        <v>0.35</v>
      </c>
    </row>
    <row r="259" ht="15.75" customHeight="1">
      <c r="A259" s="43">
        <v>46107.0</v>
      </c>
      <c r="B259" s="43">
        <v>46113.0</v>
      </c>
      <c r="C259" s="44" t="s">
        <v>119</v>
      </c>
      <c r="D259" s="6" t="s">
        <v>24</v>
      </c>
      <c r="E259" s="8" t="s">
        <v>88</v>
      </c>
      <c r="F259" s="13" t="s">
        <v>315</v>
      </c>
      <c r="G259" s="46">
        <v>0.65</v>
      </c>
    </row>
    <row r="260" ht="15.75" customHeight="1">
      <c r="A260" s="43">
        <v>46107.0</v>
      </c>
      <c r="B260" s="43">
        <v>46113.0</v>
      </c>
      <c r="C260" s="44" t="s">
        <v>119</v>
      </c>
      <c r="D260" s="6" t="s">
        <v>24</v>
      </c>
      <c r="E260" s="8" t="s">
        <v>89</v>
      </c>
      <c r="F260" s="13" t="s">
        <v>240</v>
      </c>
      <c r="G260" s="46">
        <v>0.6</v>
      </c>
    </row>
    <row r="261" ht="15.75" customHeight="1">
      <c r="A261" s="43">
        <v>46114.0</v>
      </c>
      <c r="B261" s="43">
        <v>46127.0</v>
      </c>
      <c r="C261" s="44" t="s">
        <v>122</v>
      </c>
      <c r="D261" s="6" t="s">
        <v>24</v>
      </c>
      <c r="E261" s="8" t="s">
        <v>88</v>
      </c>
      <c r="F261" s="13" t="s">
        <v>315</v>
      </c>
      <c r="G261" s="46">
        <v>0.65</v>
      </c>
    </row>
    <row r="262" ht="15.75" customHeight="1">
      <c r="A262" s="43">
        <v>46114.0</v>
      </c>
      <c r="B262" s="43">
        <v>46127.0</v>
      </c>
      <c r="C262" s="44" t="s">
        <v>122</v>
      </c>
      <c r="D262" s="6" t="s">
        <v>24</v>
      </c>
      <c r="E262" s="8" t="s">
        <v>89</v>
      </c>
      <c r="F262" s="13" t="s">
        <v>240</v>
      </c>
      <c r="G262" s="46">
        <v>0.6</v>
      </c>
    </row>
    <row r="263" ht="15.75" customHeight="1">
      <c r="A263" s="43">
        <v>46128.0</v>
      </c>
      <c r="B263" s="43">
        <v>46141.0</v>
      </c>
      <c r="C263" s="44" t="s">
        <v>213</v>
      </c>
      <c r="D263" s="6" t="s">
        <v>195</v>
      </c>
      <c r="E263" s="8" t="s">
        <v>196</v>
      </c>
      <c r="F263" s="13" t="s">
        <v>286</v>
      </c>
      <c r="G263" s="46">
        <v>0.4</v>
      </c>
    </row>
    <row r="264" ht="15.75" customHeight="1">
      <c r="A264" s="43">
        <v>46128.0</v>
      </c>
      <c r="B264" s="43">
        <v>46141.0</v>
      </c>
      <c r="C264" s="44" t="s">
        <v>213</v>
      </c>
      <c r="D264" s="6" t="s">
        <v>201</v>
      </c>
      <c r="E264" s="8" t="s">
        <v>196</v>
      </c>
      <c r="F264" s="13" t="s">
        <v>286</v>
      </c>
      <c r="G264" s="46">
        <v>0.4</v>
      </c>
    </row>
    <row r="265" ht="15.75" customHeight="1">
      <c r="A265" s="43">
        <v>46128.0</v>
      </c>
      <c r="B265" s="43">
        <v>46141.0</v>
      </c>
      <c r="C265" s="44" t="s">
        <v>213</v>
      </c>
      <c r="D265" s="6" t="s">
        <v>203</v>
      </c>
      <c r="E265" s="8" t="s">
        <v>196</v>
      </c>
      <c r="F265" s="13" t="s">
        <v>286</v>
      </c>
      <c r="G265" s="46">
        <v>0.4</v>
      </c>
    </row>
    <row r="266" ht="15.75" customHeight="1">
      <c r="A266" s="43">
        <v>46128.0</v>
      </c>
      <c r="B266" s="43">
        <v>46141.0</v>
      </c>
      <c r="C266" s="44" t="s">
        <v>213</v>
      </c>
      <c r="D266" s="6" t="s">
        <v>205</v>
      </c>
      <c r="E266" s="8" t="s">
        <v>131</v>
      </c>
      <c r="F266" s="13" t="s">
        <v>288</v>
      </c>
      <c r="G266" s="46">
        <v>0.4</v>
      </c>
    </row>
    <row r="267" ht="15.75" customHeight="1">
      <c r="A267" s="43">
        <v>46128.0</v>
      </c>
      <c r="B267" s="43">
        <v>46141.0</v>
      </c>
      <c r="C267" s="44" t="s">
        <v>213</v>
      </c>
      <c r="D267" s="6" t="s">
        <v>209</v>
      </c>
      <c r="E267" s="8" t="s">
        <v>196</v>
      </c>
      <c r="F267" s="13" t="s">
        <v>286</v>
      </c>
      <c r="G267" s="46">
        <v>0.4</v>
      </c>
    </row>
    <row r="268" ht="15.75" customHeight="1">
      <c r="A268" s="43">
        <v>46128.0</v>
      </c>
      <c r="B268" s="43">
        <v>46141.0</v>
      </c>
      <c r="C268" s="44" t="s">
        <v>213</v>
      </c>
      <c r="D268" s="6" t="s">
        <v>291</v>
      </c>
      <c r="E268" s="8" t="s">
        <v>196</v>
      </c>
      <c r="F268" s="13" t="s">
        <v>286</v>
      </c>
      <c r="G268" s="46">
        <v>0.4</v>
      </c>
    </row>
    <row r="269" ht="15.75" customHeight="1">
      <c r="A269" s="43">
        <v>46128.0</v>
      </c>
      <c r="B269" s="43">
        <v>46141.0</v>
      </c>
      <c r="C269" s="44" t="s">
        <v>213</v>
      </c>
      <c r="D269" s="6" t="s">
        <v>292</v>
      </c>
      <c r="E269" s="8" t="s">
        <v>196</v>
      </c>
      <c r="F269" s="13" t="s">
        <v>286</v>
      </c>
      <c r="G269" s="46">
        <v>0.4</v>
      </c>
    </row>
    <row r="270" ht="15.75" customHeight="1">
      <c r="A270" s="43">
        <v>46128.0</v>
      </c>
      <c r="B270" s="43">
        <v>46141.0</v>
      </c>
      <c r="C270" s="44" t="s">
        <v>213</v>
      </c>
      <c r="D270" s="6" t="s">
        <v>293</v>
      </c>
      <c r="E270" s="8" t="s">
        <v>196</v>
      </c>
      <c r="F270" s="13" t="s">
        <v>286</v>
      </c>
      <c r="G270" s="46">
        <v>0.4</v>
      </c>
    </row>
    <row r="271" ht="15.75" customHeight="1">
      <c r="A271" s="43">
        <v>46128.0</v>
      </c>
      <c r="B271" s="43">
        <v>46141.0</v>
      </c>
      <c r="C271" s="44" t="s">
        <v>213</v>
      </c>
      <c r="D271" s="6" t="s">
        <v>295</v>
      </c>
      <c r="E271" s="8" t="s">
        <v>196</v>
      </c>
      <c r="F271" s="13" t="s">
        <v>286</v>
      </c>
      <c r="G271" s="46">
        <v>0.4</v>
      </c>
    </row>
    <row r="272" ht="15.75" customHeight="1">
      <c r="A272" s="43">
        <v>46128.0</v>
      </c>
      <c r="B272" s="43">
        <v>46141.0</v>
      </c>
      <c r="C272" s="44" t="s">
        <v>213</v>
      </c>
      <c r="D272" s="6" t="s">
        <v>296</v>
      </c>
      <c r="E272" s="8" t="s">
        <v>196</v>
      </c>
      <c r="F272" s="13" t="s">
        <v>286</v>
      </c>
      <c r="G272" s="46">
        <v>0.4</v>
      </c>
    </row>
    <row r="273" ht="15.75" customHeight="1">
      <c r="A273" s="43">
        <v>46128.0</v>
      </c>
      <c r="B273" s="43">
        <v>46141.0</v>
      </c>
      <c r="C273" s="44" t="s">
        <v>213</v>
      </c>
      <c r="D273" s="6" t="s">
        <v>221</v>
      </c>
      <c r="E273" s="8" t="s">
        <v>196</v>
      </c>
      <c r="F273" s="13" t="s">
        <v>286</v>
      </c>
      <c r="G273" s="46">
        <v>0.4</v>
      </c>
    </row>
    <row r="274" ht="15.75" customHeight="1">
      <c r="A274" s="43">
        <v>46128.0</v>
      </c>
      <c r="B274" s="43">
        <v>46141.0</v>
      </c>
      <c r="C274" s="44" t="s">
        <v>213</v>
      </c>
      <c r="D274" s="6" t="s">
        <v>224</v>
      </c>
      <c r="E274" s="8" t="s">
        <v>131</v>
      </c>
      <c r="F274" s="13" t="s">
        <v>207</v>
      </c>
      <c r="G274" s="46">
        <v>0.35</v>
      </c>
    </row>
    <row r="275" ht="15.75" customHeight="1">
      <c r="A275" s="43">
        <v>46128.0</v>
      </c>
      <c r="B275" s="43">
        <v>46141.0</v>
      </c>
      <c r="C275" s="44" t="s">
        <v>213</v>
      </c>
      <c r="D275" s="6" t="s">
        <v>226</v>
      </c>
      <c r="E275" s="8" t="s">
        <v>196</v>
      </c>
      <c r="F275" s="13" t="s">
        <v>198</v>
      </c>
      <c r="G275" s="46">
        <v>0.35</v>
      </c>
    </row>
    <row r="276" ht="15.75" customHeight="1">
      <c r="A276" s="43">
        <v>46128.0</v>
      </c>
      <c r="B276" s="43">
        <v>46141.0</v>
      </c>
      <c r="C276" s="44" t="s">
        <v>213</v>
      </c>
      <c r="D276" s="6" t="s">
        <v>229</v>
      </c>
      <c r="E276" s="8" t="s">
        <v>196</v>
      </c>
      <c r="F276" s="13" t="s">
        <v>228</v>
      </c>
      <c r="G276" s="46">
        <v>0.3</v>
      </c>
    </row>
    <row r="277" ht="15.75" customHeight="1">
      <c r="A277" s="43">
        <v>46128.0</v>
      </c>
      <c r="B277" s="43">
        <v>46141.0</v>
      </c>
      <c r="C277" s="44" t="s">
        <v>213</v>
      </c>
      <c r="D277" s="6" t="s">
        <v>195</v>
      </c>
      <c r="E277" s="8" t="s">
        <v>196</v>
      </c>
      <c r="F277" s="13" t="s">
        <v>286</v>
      </c>
      <c r="G277" s="46">
        <v>0.4</v>
      </c>
    </row>
    <row r="278" ht="15.75" customHeight="1">
      <c r="A278" s="43">
        <v>46128.0</v>
      </c>
      <c r="B278" s="43">
        <v>46141.0</v>
      </c>
      <c r="C278" s="44" t="s">
        <v>213</v>
      </c>
      <c r="D278" s="6" t="s">
        <v>201</v>
      </c>
      <c r="E278" s="8" t="s">
        <v>196</v>
      </c>
      <c r="F278" s="13" t="s">
        <v>286</v>
      </c>
      <c r="G278" s="46">
        <v>0.4</v>
      </c>
    </row>
    <row r="279" ht="15.75" customHeight="1">
      <c r="A279" s="43">
        <v>46128.0</v>
      </c>
      <c r="B279" s="43">
        <v>46141.0</v>
      </c>
      <c r="C279" s="44" t="s">
        <v>213</v>
      </c>
      <c r="D279" s="6" t="s">
        <v>203</v>
      </c>
      <c r="E279" s="8" t="s">
        <v>196</v>
      </c>
      <c r="F279" s="13" t="s">
        <v>286</v>
      </c>
      <c r="G279" s="46">
        <v>0.4</v>
      </c>
    </row>
    <row r="280" ht="15.75" customHeight="1">
      <c r="A280" s="43">
        <v>46128.0</v>
      </c>
      <c r="B280" s="43">
        <v>46141.0</v>
      </c>
      <c r="C280" s="44" t="s">
        <v>213</v>
      </c>
      <c r="D280" s="6" t="s">
        <v>205</v>
      </c>
      <c r="E280" s="8" t="s">
        <v>131</v>
      </c>
      <c r="F280" s="13" t="s">
        <v>288</v>
      </c>
      <c r="G280" s="46">
        <v>0.4</v>
      </c>
    </row>
    <row r="281" ht="15.75" customHeight="1">
      <c r="A281" s="43">
        <v>46128.0</v>
      </c>
      <c r="B281" s="43">
        <v>46141.0</v>
      </c>
      <c r="C281" s="44" t="s">
        <v>213</v>
      </c>
      <c r="D281" s="6" t="s">
        <v>209</v>
      </c>
      <c r="E281" s="8" t="s">
        <v>196</v>
      </c>
      <c r="F281" s="13" t="s">
        <v>286</v>
      </c>
      <c r="G281" s="46">
        <v>0.4</v>
      </c>
    </row>
    <row r="282" ht="15.75" customHeight="1">
      <c r="A282" s="43">
        <v>46128.0</v>
      </c>
      <c r="B282" s="43">
        <v>46141.0</v>
      </c>
      <c r="C282" s="44" t="s">
        <v>213</v>
      </c>
      <c r="D282" s="6" t="s">
        <v>291</v>
      </c>
      <c r="E282" s="8" t="s">
        <v>196</v>
      </c>
      <c r="F282" s="13" t="s">
        <v>286</v>
      </c>
      <c r="G282" s="46">
        <v>0.4</v>
      </c>
    </row>
    <row r="283" ht="15.75" customHeight="1">
      <c r="A283" s="43">
        <v>46128.0</v>
      </c>
      <c r="B283" s="43">
        <v>46141.0</v>
      </c>
      <c r="C283" s="44" t="s">
        <v>213</v>
      </c>
      <c r="D283" s="6" t="s">
        <v>292</v>
      </c>
      <c r="E283" s="8" t="s">
        <v>196</v>
      </c>
      <c r="F283" s="13" t="s">
        <v>286</v>
      </c>
      <c r="G283" s="46">
        <v>0.4</v>
      </c>
    </row>
    <row r="284" ht="15.75" customHeight="1">
      <c r="A284" s="43">
        <v>46128.0</v>
      </c>
      <c r="B284" s="43">
        <v>46141.0</v>
      </c>
      <c r="C284" s="44" t="s">
        <v>213</v>
      </c>
      <c r="D284" s="6" t="s">
        <v>293</v>
      </c>
      <c r="E284" s="8" t="s">
        <v>196</v>
      </c>
      <c r="F284" s="13" t="s">
        <v>286</v>
      </c>
      <c r="G284" s="46">
        <v>0.4</v>
      </c>
    </row>
    <row r="285" ht="15.75" customHeight="1">
      <c r="A285" s="43">
        <v>46128.0</v>
      </c>
      <c r="B285" s="43">
        <v>46141.0</v>
      </c>
      <c r="C285" s="44" t="s">
        <v>213</v>
      </c>
      <c r="D285" s="6" t="s">
        <v>295</v>
      </c>
      <c r="E285" s="8" t="s">
        <v>196</v>
      </c>
      <c r="F285" s="13" t="s">
        <v>286</v>
      </c>
      <c r="G285" s="46">
        <v>0.4</v>
      </c>
    </row>
    <row r="286" ht="15.75" customHeight="1">
      <c r="A286" s="43">
        <v>46128.0</v>
      </c>
      <c r="B286" s="43">
        <v>46141.0</v>
      </c>
      <c r="C286" s="44" t="s">
        <v>213</v>
      </c>
      <c r="D286" s="6" t="s">
        <v>296</v>
      </c>
      <c r="E286" s="8" t="s">
        <v>196</v>
      </c>
      <c r="F286" s="13" t="s">
        <v>286</v>
      </c>
      <c r="G286" s="46">
        <v>0.4</v>
      </c>
    </row>
    <row r="287" ht="15.75" customHeight="1">
      <c r="A287" s="43">
        <v>46128.0</v>
      </c>
      <c r="B287" s="43">
        <v>46141.0</v>
      </c>
      <c r="C287" s="44" t="s">
        <v>213</v>
      </c>
      <c r="D287" s="6" t="s">
        <v>221</v>
      </c>
      <c r="E287" s="8" t="s">
        <v>196</v>
      </c>
      <c r="F287" s="13" t="s">
        <v>286</v>
      </c>
      <c r="G287" s="46">
        <v>0.4</v>
      </c>
    </row>
    <row r="288" ht="15.75" customHeight="1">
      <c r="A288" s="43">
        <v>46128.0</v>
      </c>
      <c r="B288" s="43">
        <v>46141.0</v>
      </c>
      <c r="C288" s="44" t="s">
        <v>213</v>
      </c>
      <c r="D288" s="6" t="s">
        <v>224</v>
      </c>
      <c r="E288" s="8" t="s">
        <v>240</v>
      </c>
      <c r="F288" s="13" t="s">
        <v>303</v>
      </c>
      <c r="G288" s="46">
        <v>0.35</v>
      </c>
    </row>
    <row r="289" ht="15.75" customHeight="1">
      <c r="A289" s="43">
        <v>46128.0</v>
      </c>
      <c r="B289" s="43">
        <v>46141.0</v>
      </c>
      <c r="C289" s="44" t="s">
        <v>213</v>
      </c>
      <c r="D289" s="6" t="s">
        <v>226</v>
      </c>
      <c r="E289" s="8" t="s">
        <v>196</v>
      </c>
      <c r="F289" s="13" t="s">
        <v>198</v>
      </c>
      <c r="G289" s="46">
        <v>0.35</v>
      </c>
    </row>
    <row r="290" ht="15.75" customHeight="1">
      <c r="A290" s="43">
        <v>46128.0</v>
      </c>
      <c r="B290" s="43">
        <v>46141.0</v>
      </c>
      <c r="C290" s="44" t="s">
        <v>213</v>
      </c>
      <c r="D290" s="6" t="s">
        <v>229</v>
      </c>
      <c r="E290" s="8" t="s">
        <v>196</v>
      </c>
      <c r="F290" s="13" t="s">
        <v>228</v>
      </c>
      <c r="G290" s="46">
        <v>0.3</v>
      </c>
    </row>
    <row r="291" ht="15.75" customHeight="1">
      <c r="A291" s="43">
        <v>46128.0</v>
      </c>
      <c r="B291" s="43">
        <v>46141.0</v>
      </c>
      <c r="C291" s="44" t="s">
        <v>213</v>
      </c>
      <c r="D291" s="6" t="s">
        <v>18</v>
      </c>
      <c r="E291" s="8" t="s">
        <v>244</v>
      </c>
      <c r="F291" s="13" t="s">
        <v>130</v>
      </c>
      <c r="G291" s="46">
        <v>0.4</v>
      </c>
    </row>
    <row r="292" ht="15.75" customHeight="1">
      <c r="A292" s="43">
        <v>46128.0</v>
      </c>
      <c r="B292" s="43">
        <v>46141.0</v>
      </c>
      <c r="C292" s="44" t="s">
        <v>213</v>
      </c>
      <c r="D292" s="6" t="s">
        <v>32</v>
      </c>
      <c r="E292" s="8" t="s">
        <v>244</v>
      </c>
      <c r="F292" s="13" t="s">
        <v>130</v>
      </c>
      <c r="G292" s="46">
        <v>0.4</v>
      </c>
    </row>
    <row r="293" ht="15.75" customHeight="1">
      <c r="A293" s="43">
        <v>46128.0</v>
      </c>
      <c r="B293" s="43">
        <v>46141.0</v>
      </c>
      <c r="C293" s="44" t="s">
        <v>213</v>
      </c>
      <c r="D293" s="6" t="s">
        <v>34</v>
      </c>
      <c r="E293" s="8" t="s">
        <v>244</v>
      </c>
      <c r="F293" s="13" t="s">
        <v>130</v>
      </c>
      <c r="G293" s="46">
        <v>0.4</v>
      </c>
    </row>
    <row r="294" ht="15.75" customHeight="1">
      <c r="A294" s="43">
        <v>46128.0</v>
      </c>
      <c r="B294" s="43">
        <v>46141.0</v>
      </c>
      <c r="C294" s="44" t="s">
        <v>213</v>
      </c>
      <c r="D294" s="6" t="s">
        <v>307</v>
      </c>
      <c r="E294" s="8" t="s">
        <v>244</v>
      </c>
      <c r="F294" s="13" t="s">
        <v>254</v>
      </c>
      <c r="G294" s="46">
        <v>0.3</v>
      </c>
    </row>
    <row r="295" ht="15.75" customHeight="1">
      <c r="A295" s="43">
        <v>46128.0</v>
      </c>
      <c r="B295" s="43">
        <v>46141.0</v>
      </c>
      <c r="C295" s="44" t="s">
        <v>213</v>
      </c>
      <c r="D295" s="6" t="s">
        <v>18</v>
      </c>
      <c r="E295" s="8" t="s">
        <v>244</v>
      </c>
      <c r="F295" s="13" t="s">
        <v>130</v>
      </c>
      <c r="G295" s="46">
        <v>0.4</v>
      </c>
    </row>
    <row r="296" ht="15.75" customHeight="1">
      <c r="A296" s="43">
        <v>46128.0</v>
      </c>
      <c r="B296" s="43">
        <v>46141.0</v>
      </c>
      <c r="C296" s="44" t="s">
        <v>213</v>
      </c>
      <c r="D296" s="6" t="s">
        <v>32</v>
      </c>
      <c r="E296" s="8" t="s">
        <v>244</v>
      </c>
      <c r="F296" s="13" t="s">
        <v>130</v>
      </c>
      <c r="G296" s="46">
        <v>0.4</v>
      </c>
    </row>
    <row r="297" ht="15.75" customHeight="1">
      <c r="A297" s="43">
        <v>46128.0</v>
      </c>
      <c r="B297" s="43">
        <v>46141.0</v>
      </c>
      <c r="C297" s="44" t="s">
        <v>213</v>
      </c>
      <c r="D297" s="6" t="s">
        <v>34</v>
      </c>
      <c r="E297" s="8" t="s">
        <v>244</v>
      </c>
      <c r="F297" s="13" t="s">
        <v>130</v>
      </c>
      <c r="G297" s="46">
        <v>0.4</v>
      </c>
    </row>
    <row r="298" ht="15.75" customHeight="1">
      <c r="A298" s="43">
        <v>46128.0</v>
      </c>
      <c r="B298" s="43">
        <v>46141.0</v>
      </c>
      <c r="C298" s="44" t="s">
        <v>213</v>
      </c>
      <c r="D298" s="6" t="s">
        <v>307</v>
      </c>
      <c r="E298" s="8" t="s">
        <v>244</v>
      </c>
      <c r="F298" s="13" t="s">
        <v>254</v>
      </c>
      <c r="G298" s="46">
        <v>0.3</v>
      </c>
    </row>
    <row r="299" ht="15.75" customHeight="1">
      <c r="A299" s="43">
        <v>46126.0</v>
      </c>
      <c r="B299" s="43">
        <v>46132.0</v>
      </c>
      <c r="C299" s="44" t="s">
        <v>92</v>
      </c>
      <c r="D299" s="6" t="s">
        <v>17</v>
      </c>
      <c r="E299" s="8" t="s">
        <v>95</v>
      </c>
      <c r="F299" s="13" t="s">
        <v>304</v>
      </c>
      <c r="G299" s="46">
        <v>0.65</v>
      </c>
    </row>
    <row r="300" ht="15.75" customHeight="1">
      <c r="A300" s="43">
        <v>46126.0</v>
      </c>
      <c r="B300" s="43">
        <v>46132.0</v>
      </c>
      <c r="C300" s="44" t="s">
        <v>92</v>
      </c>
      <c r="D300" s="6" t="s">
        <v>17</v>
      </c>
      <c r="E300" s="8" t="s">
        <v>88</v>
      </c>
      <c r="F300" s="13" t="s">
        <v>280</v>
      </c>
      <c r="G300" s="46">
        <v>0.6</v>
      </c>
    </row>
    <row r="301" ht="15.75" customHeight="1">
      <c r="A301" s="43">
        <v>46126.0</v>
      </c>
      <c r="B301" s="43">
        <v>46132.0</v>
      </c>
      <c r="C301" s="44" t="s">
        <v>191</v>
      </c>
      <c r="D301" s="6" t="s">
        <v>324</v>
      </c>
      <c r="E301" s="8" t="s">
        <v>325</v>
      </c>
      <c r="F301" s="13" t="s">
        <v>326</v>
      </c>
      <c r="G301" s="46">
        <v>0.2</v>
      </c>
    </row>
    <row r="302" ht="15.75" customHeight="1">
      <c r="A302" s="43">
        <v>46126.0</v>
      </c>
      <c r="B302" s="43">
        <v>46132.0</v>
      </c>
      <c r="C302" s="44" t="s">
        <v>191</v>
      </c>
      <c r="D302" s="6" t="s">
        <v>327</v>
      </c>
      <c r="E302" s="8" t="s">
        <v>223</v>
      </c>
      <c r="F302" s="13" t="s">
        <v>328</v>
      </c>
      <c r="G302" s="46">
        <v>0.2</v>
      </c>
    </row>
    <row r="303" ht="15.75" customHeight="1">
      <c r="A303" s="43">
        <v>46126.0</v>
      </c>
      <c r="B303" s="43">
        <v>46132.0</v>
      </c>
      <c r="C303" s="44" t="s">
        <v>191</v>
      </c>
      <c r="D303" s="6" t="s">
        <v>329</v>
      </c>
      <c r="E303" s="8" t="s">
        <v>128</v>
      </c>
      <c r="F303" s="13" t="s">
        <v>129</v>
      </c>
      <c r="G303" s="46">
        <v>0.2</v>
      </c>
    </row>
    <row r="304" ht="15.75" customHeight="1">
      <c r="A304" s="43">
        <v>46126.0</v>
      </c>
      <c r="B304" s="43">
        <v>46132.0</v>
      </c>
      <c r="C304" s="44" t="s">
        <v>191</v>
      </c>
      <c r="D304" s="6" t="s">
        <v>330</v>
      </c>
      <c r="E304" s="8" t="s">
        <v>223</v>
      </c>
      <c r="F304" s="13" t="s">
        <v>328</v>
      </c>
      <c r="G304" s="46">
        <v>0.2</v>
      </c>
    </row>
    <row r="305" ht="15.75" customHeight="1">
      <c r="A305" s="43">
        <v>46126.0</v>
      </c>
      <c r="B305" s="43">
        <v>46132.0</v>
      </c>
      <c r="C305" s="44" t="s">
        <v>191</v>
      </c>
      <c r="D305" s="6" t="s">
        <v>331</v>
      </c>
      <c r="E305" s="8" t="s">
        <v>223</v>
      </c>
      <c r="F305" s="13" t="s">
        <v>328</v>
      </c>
      <c r="G305" s="46">
        <v>0.2</v>
      </c>
    </row>
    <row r="306" ht="15.75" customHeight="1">
      <c r="A306" s="43">
        <v>46126.0</v>
      </c>
      <c r="B306" s="43">
        <v>46132.0</v>
      </c>
      <c r="C306" s="44" t="s">
        <v>191</v>
      </c>
      <c r="D306" s="6" t="s">
        <v>332</v>
      </c>
      <c r="E306" s="8" t="s">
        <v>128</v>
      </c>
      <c r="F306" s="13" t="s">
        <v>129</v>
      </c>
      <c r="G306" s="46">
        <v>0.2</v>
      </c>
    </row>
    <row r="307" ht="15.75" customHeight="1">
      <c r="A307" s="43">
        <v>46126.0</v>
      </c>
      <c r="B307" s="43">
        <v>46132.0</v>
      </c>
      <c r="C307" s="44" t="s">
        <v>191</v>
      </c>
      <c r="D307" s="6" t="s">
        <v>334</v>
      </c>
      <c r="E307" s="8" t="s">
        <v>223</v>
      </c>
      <c r="F307" s="13" t="s">
        <v>328</v>
      </c>
      <c r="G307" s="46">
        <v>0.2</v>
      </c>
    </row>
    <row r="308" ht="15.75" customHeight="1">
      <c r="A308" s="43">
        <v>46126.0</v>
      </c>
      <c r="B308" s="43">
        <v>46132.0</v>
      </c>
      <c r="C308" s="44" t="s">
        <v>191</v>
      </c>
      <c r="D308" s="6" t="s">
        <v>335</v>
      </c>
      <c r="E308" s="8" t="s">
        <v>128</v>
      </c>
      <c r="F308" s="13" t="s">
        <v>129</v>
      </c>
      <c r="G308" s="46">
        <v>0.2</v>
      </c>
    </row>
    <row r="309" ht="15.75" customHeight="1">
      <c r="A309" s="43">
        <v>46126.0</v>
      </c>
      <c r="B309" s="43">
        <v>46132.0</v>
      </c>
      <c r="C309" s="44" t="s">
        <v>191</v>
      </c>
      <c r="D309" s="6" t="s">
        <v>336</v>
      </c>
      <c r="E309" s="8" t="s">
        <v>223</v>
      </c>
      <c r="F309" s="13" t="s">
        <v>328</v>
      </c>
      <c r="G309" s="46">
        <v>0.2</v>
      </c>
    </row>
    <row r="310" ht="15.75" customHeight="1">
      <c r="A310" s="43">
        <v>46126.0</v>
      </c>
      <c r="B310" s="43">
        <v>46132.0</v>
      </c>
      <c r="C310" s="44" t="s">
        <v>191</v>
      </c>
      <c r="D310" s="6" t="s">
        <v>337</v>
      </c>
      <c r="E310" s="8" t="s">
        <v>338</v>
      </c>
      <c r="F310" s="13" t="s">
        <v>339</v>
      </c>
      <c r="G310" s="46">
        <v>0.2</v>
      </c>
    </row>
    <row r="311" ht="15.75" customHeight="1">
      <c r="A311" s="43">
        <v>46126.0</v>
      </c>
      <c r="B311" s="43">
        <v>46132.0</v>
      </c>
      <c r="C311" s="44" t="s">
        <v>191</v>
      </c>
      <c r="D311" s="6" t="s">
        <v>340</v>
      </c>
      <c r="E311" s="8" t="s">
        <v>128</v>
      </c>
      <c r="F311" s="13" t="s">
        <v>129</v>
      </c>
      <c r="G311" s="46">
        <v>0.2</v>
      </c>
    </row>
    <row r="312" ht="15.75" customHeight="1">
      <c r="A312" s="43">
        <v>46126.0</v>
      </c>
      <c r="B312" s="43">
        <v>46132.0</v>
      </c>
      <c r="C312" s="44" t="s">
        <v>191</v>
      </c>
      <c r="D312" s="6" t="s">
        <v>341</v>
      </c>
      <c r="E312" s="8" t="s">
        <v>128</v>
      </c>
      <c r="F312" s="13" t="s">
        <v>129</v>
      </c>
      <c r="G312" s="46">
        <v>0.2</v>
      </c>
    </row>
    <row r="313" ht="15.75" customHeight="1">
      <c r="A313" s="43">
        <v>46126.0</v>
      </c>
      <c r="B313" s="43">
        <v>46132.0</v>
      </c>
      <c r="C313" s="44" t="s">
        <v>191</v>
      </c>
      <c r="D313" s="6" t="s">
        <v>342</v>
      </c>
      <c r="E313" s="8" t="s">
        <v>128</v>
      </c>
      <c r="F313" s="13" t="s">
        <v>129</v>
      </c>
      <c r="G313" s="46">
        <v>0.2</v>
      </c>
    </row>
    <row r="314" ht="15.75" customHeight="1">
      <c r="A314" s="43">
        <v>46126.0</v>
      </c>
      <c r="B314" s="43">
        <v>46132.0</v>
      </c>
      <c r="C314" s="44" t="s">
        <v>191</v>
      </c>
      <c r="D314" s="6" t="s">
        <v>343</v>
      </c>
      <c r="E314" s="8" t="s">
        <v>128</v>
      </c>
      <c r="F314" s="13" t="s">
        <v>129</v>
      </c>
      <c r="G314" s="46">
        <v>0.2</v>
      </c>
    </row>
    <row r="315" ht="15.75" customHeight="1">
      <c r="A315" s="43">
        <v>46126.0</v>
      </c>
      <c r="B315" s="43">
        <v>46132.0</v>
      </c>
      <c r="C315" s="44" t="s">
        <v>191</v>
      </c>
      <c r="D315" s="6" t="s">
        <v>344</v>
      </c>
      <c r="E315" s="8" t="s">
        <v>128</v>
      </c>
      <c r="F315" s="13" t="s">
        <v>129</v>
      </c>
      <c r="G315" s="46">
        <v>0.2</v>
      </c>
    </row>
    <row r="316" ht="15.75" customHeight="1">
      <c r="A316" s="43">
        <v>46126.0</v>
      </c>
      <c r="B316" s="43">
        <v>46132.0</v>
      </c>
      <c r="C316" s="44" t="s">
        <v>191</v>
      </c>
      <c r="D316" s="6" t="s">
        <v>345</v>
      </c>
      <c r="E316" s="8" t="s">
        <v>128</v>
      </c>
      <c r="F316" s="13" t="s">
        <v>129</v>
      </c>
      <c r="G316" s="46">
        <v>0.2</v>
      </c>
    </row>
    <row r="317" ht="15.75" customHeight="1">
      <c r="A317" s="43">
        <v>46126.0</v>
      </c>
      <c r="B317" s="43">
        <v>46132.0</v>
      </c>
      <c r="C317" s="44" t="s">
        <v>191</v>
      </c>
      <c r="D317" s="6" t="s">
        <v>346</v>
      </c>
      <c r="E317" s="8" t="s">
        <v>128</v>
      </c>
      <c r="F317" s="13" t="s">
        <v>129</v>
      </c>
      <c r="G317" s="46">
        <v>0.2</v>
      </c>
    </row>
    <row r="318" ht="15.75" customHeight="1">
      <c r="A318" s="43">
        <v>46126.0</v>
      </c>
      <c r="B318" s="43">
        <v>46132.0</v>
      </c>
      <c r="C318" s="44" t="s">
        <v>191</v>
      </c>
      <c r="D318" s="6" t="s">
        <v>347</v>
      </c>
      <c r="E318" s="8" t="s">
        <v>223</v>
      </c>
      <c r="F318" s="13" t="s">
        <v>328</v>
      </c>
      <c r="G318" s="46">
        <v>0.2</v>
      </c>
    </row>
    <row r="319" ht="15.75" customHeight="1">
      <c r="A319" s="43">
        <v>46126.0</v>
      </c>
      <c r="B319" s="43">
        <v>46132.0</v>
      </c>
      <c r="C319" s="44" t="s">
        <v>191</v>
      </c>
      <c r="D319" s="6" t="s">
        <v>348</v>
      </c>
      <c r="E319" s="8" t="s">
        <v>223</v>
      </c>
      <c r="F319" s="13" t="s">
        <v>328</v>
      </c>
      <c r="G319" s="46">
        <v>0.2</v>
      </c>
    </row>
    <row r="320" ht="15.75" customHeight="1">
      <c r="A320" s="43">
        <v>46126.0</v>
      </c>
      <c r="B320" s="43">
        <v>46132.0</v>
      </c>
      <c r="C320" s="44" t="s">
        <v>191</v>
      </c>
      <c r="D320" s="6" t="s">
        <v>350</v>
      </c>
      <c r="E320" s="8" t="s">
        <v>325</v>
      </c>
      <c r="F320" s="13" t="s">
        <v>326</v>
      </c>
      <c r="G320" s="46">
        <v>0.2</v>
      </c>
    </row>
    <row r="321" ht="15.75" customHeight="1">
      <c r="A321" s="43">
        <v>46126.0</v>
      </c>
      <c r="B321" s="43">
        <v>46132.0</v>
      </c>
      <c r="C321" s="44" t="s">
        <v>191</v>
      </c>
      <c r="D321" s="6" t="s">
        <v>351</v>
      </c>
      <c r="E321" s="8" t="s">
        <v>325</v>
      </c>
      <c r="F321" s="13" t="s">
        <v>326</v>
      </c>
      <c r="G321" s="46">
        <v>0.2</v>
      </c>
    </row>
    <row r="322" ht="15.75" customHeight="1">
      <c r="A322" s="43">
        <v>46126.0</v>
      </c>
      <c r="B322" s="43">
        <v>46132.0</v>
      </c>
      <c r="C322" s="44" t="s">
        <v>191</v>
      </c>
      <c r="D322" s="6" t="s">
        <v>353</v>
      </c>
      <c r="E322" s="8" t="s">
        <v>325</v>
      </c>
      <c r="F322" s="13" t="s">
        <v>326</v>
      </c>
      <c r="G322" s="46">
        <v>0.2</v>
      </c>
    </row>
    <row r="323" ht="15.75" customHeight="1">
      <c r="A323" s="43">
        <v>46126.0</v>
      </c>
      <c r="B323" s="43">
        <v>46132.0</v>
      </c>
      <c r="C323" s="44" t="s">
        <v>191</v>
      </c>
      <c r="D323" s="6" t="s">
        <v>324</v>
      </c>
      <c r="E323" s="8" t="s">
        <v>325</v>
      </c>
      <c r="F323" s="13" t="s">
        <v>326</v>
      </c>
      <c r="G323" s="46">
        <v>0.2</v>
      </c>
    </row>
    <row r="324" ht="15.75" customHeight="1">
      <c r="A324" s="43">
        <v>46126.0</v>
      </c>
      <c r="B324" s="43">
        <v>46132.0</v>
      </c>
      <c r="C324" s="44" t="s">
        <v>191</v>
      </c>
      <c r="D324" s="6" t="s">
        <v>327</v>
      </c>
      <c r="E324" s="8" t="s">
        <v>223</v>
      </c>
      <c r="F324" s="13" t="s">
        <v>328</v>
      </c>
      <c r="G324" s="46">
        <v>0.2</v>
      </c>
    </row>
    <row r="325" ht="15.75" customHeight="1">
      <c r="A325" s="43">
        <v>46126.0</v>
      </c>
      <c r="B325" s="43">
        <v>46132.0</v>
      </c>
      <c r="C325" s="44" t="s">
        <v>191</v>
      </c>
      <c r="D325" s="6" t="s">
        <v>329</v>
      </c>
      <c r="E325" s="8" t="s">
        <v>128</v>
      </c>
      <c r="F325" s="13" t="s">
        <v>129</v>
      </c>
      <c r="G325" s="46">
        <v>0.2</v>
      </c>
    </row>
    <row r="326" ht="15.75" customHeight="1">
      <c r="A326" s="43">
        <v>46126.0</v>
      </c>
      <c r="B326" s="43">
        <v>46132.0</v>
      </c>
      <c r="C326" s="44" t="s">
        <v>191</v>
      </c>
      <c r="D326" s="6" t="s">
        <v>330</v>
      </c>
      <c r="E326" s="8" t="s">
        <v>223</v>
      </c>
      <c r="F326" s="13" t="s">
        <v>328</v>
      </c>
      <c r="G326" s="46">
        <v>0.2</v>
      </c>
    </row>
    <row r="327" ht="15.75" customHeight="1">
      <c r="A327" s="43">
        <v>46126.0</v>
      </c>
      <c r="B327" s="43">
        <v>46132.0</v>
      </c>
      <c r="C327" s="44" t="s">
        <v>191</v>
      </c>
      <c r="D327" s="6" t="s">
        <v>331</v>
      </c>
      <c r="E327" s="8" t="s">
        <v>223</v>
      </c>
      <c r="F327" s="13" t="s">
        <v>328</v>
      </c>
      <c r="G327" s="46">
        <v>0.2</v>
      </c>
    </row>
    <row r="328" ht="15.75" customHeight="1">
      <c r="A328" s="43">
        <v>46126.0</v>
      </c>
      <c r="B328" s="43">
        <v>46132.0</v>
      </c>
      <c r="C328" s="44" t="s">
        <v>191</v>
      </c>
      <c r="D328" s="6" t="s">
        <v>332</v>
      </c>
      <c r="E328" s="8" t="s">
        <v>128</v>
      </c>
      <c r="F328" s="13" t="s">
        <v>129</v>
      </c>
      <c r="G328" s="46">
        <v>0.2</v>
      </c>
    </row>
    <row r="329" ht="15.75" customHeight="1">
      <c r="A329" s="43">
        <v>46126.0</v>
      </c>
      <c r="B329" s="43">
        <v>46132.0</v>
      </c>
      <c r="C329" s="44" t="s">
        <v>191</v>
      </c>
      <c r="D329" s="6" t="s">
        <v>334</v>
      </c>
      <c r="E329" s="8" t="s">
        <v>223</v>
      </c>
      <c r="F329" s="13" t="s">
        <v>328</v>
      </c>
      <c r="G329" s="46">
        <v>0.2</v>
      </c>
    </row>
    <row r="330" ht="15.75" customHeight="1">
      <c r="A330" s="43">
        <v>46126.0</v>
      </c>
      <c r="B330" s="43">
        <v>46132.0</v>
      </c>
      <c r="C330" s="44" t="s">
        <v>191</v>
      </c>
      <c r="D330" s="6" t="s">
        <v>335</v>
      </c>
      <c r="E330" s="8" t="s">
        <v>128</v>
      </c>
      <c r="F330" s="13" t="s">
        <v>129</v>
      </c>
      <c r="G330" s="46">
        <v>0.2</v>
      </c>
    </row>
    <row r="331" ht="15.75" customHeight="1">
      <c r="A331" s="43">
        <v>46126.0</v>
      </c>
      <c r="B331" s="43">
        <v>46132.0</v>
      </c>
      <c r="C331" s="44" t="s">
        <v>191</v>
      </c>
      <c r="D331" s="6" t="s">
        <v>336</v>
      </c>
      <c r="E331" s="8" t="s">
        <v>223</v>
      </c>
      <c r="F331" s="13" t="s">
        <v>328</v>
      </c>
      <c r="G331" s="46">
        <v>0.2</v>
      </c>
    </row>
    <row r="332" ht="15.75" customHeight="1">
      <c r="A332" s="43">
        <v>46126.0</v>
      </c>
      <c r="B332" s="43">
        <v>46132.0</v>
      </c>
      <c r="C332" s="44" t="s">
        <v>191</v>
      </c>
      <c r="D332" s="6" t="s">
        <v>337</v>
      </c>
      <c r="E332" s="8" t="s">
        <v>338</v>
      </c>
      <c r="F332" s="13" t="s">
        <v>339</v>
      </c>
      <c r="G332" s="46">
        <v>0.2</v>
      </c>
    </row>
    <row r="333" ht="15.75" customHeight="1">
      <c r="A333" s="43">
        <v>46126.0</v>
      </c>
      <c r="B333" s="43">
        <v>46132.0</v>
      </c>
      <c r="C333" s="44" t="s">
        <v>191</v>
      </c>
      <c r="D333" s="6" t="s">
        <v>340</v>
      </c>
      <c r="E333" s="8" t="s">
        <v>128</v>
      </c>
      <c r="F333" s="13" t="s">
        <v>129</v>
      </c>
      <c r="G333" s="46">
        <v>0.2</v>
      </c>
    </row>
    <row r="334" ht="15.75" customHeight="1">
      <c r="A334" s="43">
        <v>46126.0</v>
      </c>
      <c r="B334" s="43">
        <v>46132.0</v>
      </c>
      <c r="C334" s="44" t="s">
        <v>191</v>
      </c>
      <c r="D334" s="6" t="s">
        <v>341</v>
      </c>
      <c r="E334" s="8" t="s">
        <v>128</v>
      </c>
      <c r="F334" s="13" t="s">
        <v>129</v>
      </c>
      <c r="G334" s="46">
        <v>0.2</v>
      </c>
    </row>
    <row r="335" ht="15.75" customHeight="1">
      <c r="A335" s="43">
        <v>46126.0</v>
      </c>
      <c r="B335" s="43">
        <v>46132.0</v>
      </c>
      <c r="C335" s="44" t="s">
        <v>191</v>
      </c>
      <c r="D335" s="6" t="s">
        <v>342</v>
      </c>
      <c r="E335" s="8" t="s">
        <v>128</v>
      </c>
      <c r="F335" s="13" t="s">
        <v>129</v>
      </c>
      <c r="G335" s="46">
        <v>0.2</v>
      </c>
    </row>
    <row r="336" ht="15.75" customHeight="1">
      <c r="A336" s="43">
        <v>46126.0</v>
      </c>
      <c r="B336" s="43">
        <v>46132.0</v>
      </c>
      <c r="C336" s="44" t="s">
        <v>191</v>
      </c>
      <c r="D336" s="6" t="s">
        <v>343</v>
      </c>
      <c r="E336" s="8" t="s">
        <v>128</v>
      </c>
      <c r="F336" s="13" t="s">
        <v>129</v>
      </c>
      <c r="G336" s="46">
        <v>0.2</v>
      </c>
    </row>
    <row r="337" ht="15.75" customHeight="1">
      <c r="A337" s="43">
        <v>46126.0</v>
      </c>
      <c r="B337" s="43">
        <v>46132.0</v>
      </c>
      <c r="C337" s="44" t="s">
        <v>191</v>
      </c>
      <c r="D337" s="6" t="s">
        <v>344</v>
      </c>
      <c r="E337" s="8" t="s">
        <v>128</v>
      </c>
      <c r="F337" s="13" t="s">
        <v>129</v>
      </c>
      <c r="G337" s="46">
        <v>0.2</v>
      </c>
    </row>
    <row r="338" ht="15.75" customHeight="1">
      <c r="A338" s="43">
        <v>46126.0</v>
      </c>
      <c r="B338" s="43">
        <v>46132.0</v>
      </c>
      <c r="C338" s="44" t="s">
        <v>191</v>
      </c>
      <c r="D338" s="6" t="s">
        <v>345</v>
      </c>
      <c r="E338" s="8" t="s">
        <v>128</v>
      </c>
      <c r="F338" s="13" t="s">
        <v>129</v>
      </c>
      <c r="G338" s="46">
        <v>0.2</v>
      </c>
    </row>
    <row r="339" ht="15.75" customHeight="1">
      <c r="A339" s="43">
        <v>46126.0</v>
      </c>
      <c r="B339" s="43">
        <v>46132.0</v>
      </c>
      <c r="C339" s="44" t="s">
        <v>191</v>
      </c>
      <c r="D339" s="6" t="s">
        <v>346</v>
      </c>
      <c r="E339" s="8" t="s">
        <v>128</v>
      </c>
      <c r="F339" s="13" t="s">
        <v>129</v>
      </c>
      <c r="G339" s="46">
        <v>0.2</v>
      </c>
    </row>
    <row r="340" ht="15.75" customHeight="1">
      <c r="A340" s="43">
        <v>46126.0</v>
      </c>
      <c r="B340" s="43">
        <v>46132.0</v>
      </c>
      <c r="C340" s="44" t="s">
        <v>191</v>
      </c>
      <c r="D340" s="6" t="s">
        <v>347</v>
      </c>
      <c r="E340" s="8" t="s">
        <v>223</v>
      </c>
      <c r="F340" s="13" t="s">
        <v>328</v>
      </c>
      <c r="G340" s="46">
        <v>0.2</v>
      </c>
    </row>
    <row r="341" ht="15.75" customHeight="1">
      <c r="A341" s="43">
        <v>46126.0</v>
      </c>
      <c r="B341" s="43">
        <v>46132.0</v>
      </c>
      <c r="C341" s="44" t="s">
        <v>191</v>
      </c>
      <c r="D341" s="6" t="s">
        <v>348</v>
      </c>
      <c r="E341" s="8" t="s">
        <v>223</v>
      </c>
      <c r="F341" s="13" t="s">
        <v>328</v>
      </c>
      <c r="G341" s="46">
        <v>0.2</v>
      </c>
    </row>
    <row r="342" ht="15.75" customHeight="1">
      <c r="A342" s="43">
        <v>46126.0</v>
      </c>
      <c r="B342" s="43">
        <v>46132.0</v>
      </c>
      <c r="C342" s="44" t="s">
        <v>191</v>
      </c>
      <c r="D342" s="6" t="s">
        <v>350</v>
      </c>
      <c r="E342" s="8" t="s">
        <v>325</v>
      </c>
      <c r="F342" s="13" t="s">
        <v>326</v>
      </c>
      <c r="G342" s="46">
        <v>0.2</v>
      </c>
    </row>
    <row r="343" ht="15.75" customHeight="1">
      <c r="A343" s="43">
        <v>46126.0</v>
      </c>
      <c r="B343" s="43">
        <v>46132.0</v>
      </c>
      <c r="C343" s="44" t="s">
        <v>191</v>
      </c>
      <c r="D343" s="6" t="s">
        <v>351</v>
      </c>
      <c r="E343" s="8" t="s">
        <v>325</v>
      </c>
      <c r="F343" s="13" t="s">
        <v>326</v>
      </c>
      <c r="G343" s="46">
        <v>0.2</v>
      </c>
    </row>
    <row r="344" ht="15.75" customHeight="1">
      <c r="A344" s="43">
        <v>46126.0</v>
      </c>
      <c r="B344" s="43">
        <v>46132.0</v>
      </c>
      <c r="C344" s="44" t="s">
        <v>191</v>
      </c>
      <c r="D344" s="6" t="s">
        <v>353</v>
      </c>
      <c r="E344" s="8" t="s">
        <v>325</v>
      </c>
      <c r="F344" s="13" t="s">
        <v>326</v>
      </c>
      <c r="G344" s="46">
        <v>0.2</v>
      </c>
    </row>
    <row r="345" ht="15.75" customHeight="1">
      <c r="A345" s="43">
        <v>46126.0</v>
      </c>
      <c r="B345" s="43">
        <v>46132.0</v>
      </c>
      <c r="C345" s="44" t="s">
        <v>191</v>
      </c>
      <c r="D345" s="6" t="s">
        <v>268</v>
      </c>
      <c r="E345" s="8" t="s">
        <v>269</v>
      </c>
      <c r="F345" s="13" t="s">
        <v>309</v>
      </c>
      <c r="G345" s="46">
        <v>0.33</v>
      </c>
    </row>
    <row r="346" ht="15.75" customHeight="1">
      <c r="A346" s="43">
        <v>46126.0</v>
      </c>
      <c r="B346" s="43">
        <v>46132.0</v>
      </c>
      <c r="C346" s="44" t="s">
        <v>191</v>
      </c>
      <c r="D346" s="6" t="s">
        <v>268</v>
      </c>
      <c r="E346" s="8" t="s">
        <v>269</v>
      </c>
      <c r="F346" s="13" t="s">
        <v>309</v>
      </c>
      <c r="G346" s="46">
        <v>0.33</v>
      </c>
    </row>
    <row r="347" ht="15.75" customHeight="1">
      <c r="A347" s="43">
        <v>46126.0</v>
      </c>
      <c r="B347" s="43">
        <v>46132.0</v>
      </c>
      <c r="C347" s="44" t="s">
        <v>191</v>
      </c>
      <c r="D347" s="6" t="s">
        <v>275</v>
      </c>
      <c r="E347" s="8" t="s">
        <v>183</v>
      </c>
      <c r="F347" s="13" t="s">
        <v>311</v>
      </c>
      <c r="G347" s="46">
        <v>0.33</v>
      </c>
    </row>
    <row r="348" ht="15.75" customHeight="1">
      <c r="A348" s="43">
        <v>46126.0</v>
      </c>
      <c r="B348" s="43">
        <v>46132.0</v>
      </c>
      <c r="C348" s="44" t="s">
        <v>191</v>
      </c>
      <c r="D348" s="6" t="s">
        <v>275</v>
      </c>
      <c r="E348" s="8" t="s">
        <v>183</v>
      </c>
      <c r="F348" s="13" t="s">
        <v>311</v>
      </c>
      <c r="G348" s="46">
        <v>0.33</v>
      </c>
    </row>
    <row r="349" ht="15.75" customHeight="1">
      <c r="A349" s="43">
        <v>46140.0</v>
      </c>
      <c r="B349" s="43">
        <v>46146.0</v>
      </c>
      <c r="C349" s="44" t="s">
        <v>92</v>
      </c>
      <c r="D349" s="6" t="s">
        <v>312</v>
      </c>
      <c r="E349" s="8" t="s">
        <v>188</v>
      </c>
      <c r="F349" s="13" t="s">
        <v>313</v>
      </c>
      <c r="G349" s="46">
        <v>0.35</v>
      </c>
    </row>
    <row r="350" ht="15.75" customHeight="1">
      <c r="A350" s="43">
        <v>46140.0</v>
      </c>
      <c r="B350" s="43">
        <v>46146.0</v>
      </c>
      <c r="C350" s="44" t="s">
        <v>92</v>
      </c>
      <c r="D350" s="6" t="s">
        <v>312</v>
      </c>
      <c r="E350" s="8" t="s">
        <v>284</v>
      </c>
      <c r="F350" s="13" t="s">
        <v>314</v>
      </c>
      <c r="G350" s="46">
        <v>0.35</v>
      </c>
    </row>
    <row r="351" ht="15.75" customHeight="1">
      <c r="A351" s="43">
        <v>46168.0</v>
      </c>
      <c r="B351" s="43">
        <v>46174.0</v>
      </c>
      <c r="C351" s="44" t="s">
        <v>191</v>
      </c>
      <c r="D351" s="6" t="s">
        <v>268</v>
      </c>
      <c r="E351" s="8" t="s">
        <v>269</v>
      </c>
      <c r="F351" s="13" t="s">
        <v>132</v>
      </c>
      <c r="G351" s="46">
        <v>0.25</v>
      </c>
    </row>
    <row r="352" ht="15.75" customHeight="1">
      <c r="A352" s="43">
        <v>46168.0</v>
      </c>
      <c r="B352" s="43">
        <v>46174.0</v>
      </c>
      <c r="C352" s="44" t="s">
        <v>191</v>
      </c>
      <c r="D352" s="6" t="s">
        <v>268</v>
      </c>
      <c r="E352" s="8" t="s">
        <v>269</v>
      </c>
      <c r="F352" s="13" t="s">
        <v>273</v>
      </c>
      <c r="G352" s="46">
        <v>0.25</v>
      </c>
    </row>
    <row r="353" ht="15.75" customHeight="1">
      <c r="A353" s="43">
        <v>46168.0</v>
      </c>
      <c r="B353" s="43">
        <v>46174.0</v>
      </c>
      <c r="C353" s="44" t="s">
        <v>191</v>
      </c>
      <c r="D353" s="6" t="s">
        <v>275</v>
      </c>
      <c r="E353" s="8" t="s">
        <v>183</v>
      </c>
      <c r="F353" s="13" t="s">
        <v>276</v>
      </c>
      <c r="G353" s="46">
        <v>0.2</v>
      </c>
    </row>
    <row r="354" ht="15.75" customHeight="1">
      <c r="A354" s="43">
        <v>46168.0</v>
      </c>
      <c r="B354" s="43">
        <v>46174.0</v>
      </c>
      <c r="C354" s="44" t="s">
        <v>191</v>
      </c>
      <c r="D354" s="6" t="s">
        <v>275</v>
      </c>
      <c r="E354" s="8" t="s">
        <v>183</v>
      </c>
      <c r="F354" s="13" t="s">
        <v>276</v>
      </c>
      <c r="G354" s="46">
        <v>0.2</v>
      </c>
    </row>
    <row r="355" ht="15.75" customHeight="1">
      <c r="A355" s="43">
        <v>46170.0</v>
      </c>
      <c r="B355" s="43">
        <v>46183.0</v>
      </c>
      <c r="C355" s="44" t="s">
        <v>125</v>
      </c>
      <c r="D355" s="6" t="s">
        <v>24</v>
      </c>
      <c r="E355" s="8" t="s">
        <v>88</v>
      </c>
      <c r="F355" s="13" t="s">
        <v>315</v>
      </c>
      <c r="G355" s="46">
        <v>0.6</v>
      </c>
    </row>
    <row r="356" ht="15.75" customHeight="1">
      <c r="A356" s="43">
        <v>46170.0</v>
      </c>
      <c r="B356" s="43">
        <v>46183.0</v>
      </c>
      <c r="C356" s="44" t="s">
        <v>125</v>
      </c>
      <c r="D356" s="6" t="s">
        <v>24</v>
      </c>
      <c r="E356" s="8" t="s">
        <v>89</v>
      </c>
      <c r="F356" s="13" t="s">
        <v>240</v>
      </c>
      <c r="G356" s="46">
        <v>0.6</v>
      </c>
    </row>
    <row r="357" ht="15.75" customHeight="1">
      <c r="A357" s="43">
        <v>46175.0</v>
      </c>
      <c r="B357" s="43">
        <v>46181.0</v>
      </c>
      <c r="C357" s="44" t="s">
        <v>191</v>
      </c>
      <c r="D357" s="6" t="s">
        <v>195</v>
      </c>
      <c r="E357" s="8" t="s">
        <v>196</v>
      </c>
      <c r="F357" s="13" t="s">
        <v>286</v>
      </c>
      <c r="G357" s="46">
        <v>0.4</v>
      </c>
    </row>
    <row r="358" ht="15.75" customHeight="1">
      <c r="A358" s="43">
        <v>46175.0</v>
      </c>
      <c r="B358" s="43">
        <v>46181.0</v>
      </c>
      <c r="C358" s="44" t="s">
        <v>191</v>
      </c>
      <c r="D358" s="6" t="s">
        <v>201</v>
      </c>
      <c r="E358" s="8" t="s">
        <v>196</v>
      </c>
      <c r="F358" s="13" t="s">
        <v>286</v>
      </c>
      <c r="G358" s="46">
        <v>0.4</v>
      </c>
    </row>
    <row r="359" ht="15.75" customHeight="1">
      <c r="A359" s="43">
        <v>46175.0</v>
      </c>
      <c r="B359" s="43">
        <v>46181.0</v>
      </c>
      <c r="C359" s="44" t="s">
        <v>191</v>
      </c>
      <c r="D359" s="6" t="s">
        <v>203</v>
      </c>
      <c r="E359" s="8" t="s">
        <v>196</v>
      </c>
      <c r="F359" s="13" t="s">
        <v>286</v>
      </c>
      <c r="G359" s="46">
        <v>0.4</v>
      </c>
    </row>
    <row r="360" ht="15.75" customHeight="1">
      <c r="A360" s="43">
        <v>46175.0</v>
      </c>
      <c r="B360" s="43">
        <v>46181.0</v>
      </c>
      <c r="C360" s="44" t="s">
        <v>191</v>
      </c>
      <c r="D360" s="6" t="s">
        <v>205</v>
      </c>
      <c r="E360" s="8" t="s">
        <v>131</v>
      </c>
      <c r="F360" s="13" t="s">
        <v>288</v>
      </c>
      <c r="G360" s="46">
        <v>0.4</v>
      </c>
    </row>
    <row r="361" ht="15.75" customHeight="1">
      <c r="A361" s="43">
        <v>46175.0</v>
      </c>
      <c r="B361" s="43">
        <v>46181.0</v>
      </c>
      <c r="C361" s="44" t="s">
        <v>191</v>
      </c>
      <c r="D361" s="6" t="s">
        <v>209</v>
      </c>
      <c r="E361" s="8" t="s">
        <v>196</v>
      </c>
      <c r="F361" s="13" t="s">
        <v>286</v>
      </c>
      <c r="G361" s="46">
        <v>0.35</v>
      </c>
    </row>
    <row r="362" ht="15.75" customHeight="1">
      <c r="A362" s="43">
        <v>46175.0</v>
      </c>
      <c r="B362" s="43">
        <v>46181.0</v>
      </c>
      <c r="C362" s="44" t="s">
        <v>191</v>
      </c>
      <c r="D362" s="6" t="s">
        <v>291</v>
      </c>
      <c r="E362" s="8" t="s">
        <v>196</v>
      </c>
      <c r="F362" s="13" t="s">
        <v>286</v>
      </c>
      <c r="G362" s="46">
        <v>0.35</v>
      </c>
    </row>
    <row r="363" ht="15.75" customHeight="1">
      <c r="A363" s="43">
        <v>46175.0</v>
      </c>
      <c r="B363" s="43">
        <v>46181.0</v>
      </c>
      <c r="C363" s="44" t="s">
        <v>191</v>
      </c>
      <c r="D363" s="6" t="s">
        <v>292</v>
      </c>
      <c r="E363" s="8" t="s">
        <v>196</v>
      </c>
      <c r="F363" s="13" t="s">
        <v>286</v>
      </c>
      <c r="G363" s="46">
        <v>0.35</v>
      </c>
    </row>
    <row r="364" ht="15.75" customHeight="1">
      <c r="A364" s="43">
        <v>46175.0</v>
      </c>
      <c r="B364" s="43">
        <v>46181.0</v>
      </c>
      <c r="C364" s="44" t="s">
        <v>191</v>
      </c>
      <c r="D364" s="6" t="s">
        <v>293</v>
      </c>
      <c r="E364" s="8" t="s">
        <v>196</v>
      </c>
      <c r="F364" s="13" t="s">
        <v>286</v>
      </c>
      <c r="G364" s="46">
        <v>0.35</v>
      </c>
    </row>
    <row r="365" ht="15.75" customHeight="1">
      <c r="A365" s="43">
        <v>46175.0</v>
      </c>
      <c r="B365" s="43">
        <v>46181.0</v>
      </c>
      <c r="C365" s="44" t="s">
        <v>191</v>
      </c>
      <c r="D365" s="6" t="s">
        <v>295</v>
      </c>
      <c r="E365" s="8" t="s">
        <v>196</v>
      </c>
      <c r="F365" s="13" t="s">
        <v>286</v>
      </c>
      <c r="G365" s="46">
        <v>0.35</v>
      </c>
    </row>
    <row r="366" ht="15.75" customHeight="1">
      <c r="A366" s="43">
        <v>46175.0</v>
      </c>
      <c r="B366" s="43">
        <v>46181.0</v>
      </c>
      <c r="C366" s="44" t="s">
        <v>191</v>
      </c>
      <c r="D366" s="6" t="s">
        <v>296</v>
      </c>
      <c r="E366" s="8" t="s">
        <v>196</v>
      </c>
      <c r="F366" s="13" t="s">
        <v>286</v>
      </c>
      <c r="G366" s="46">
        <v>0.35</v>
      </c>
    </row>
    <row r="367" ht="15.75" customHeight="1">
      <c r="A367" s="43">
        <v>46175.0</v>
      </c>
      <c r="B367" s="43">
        <v>46181.0</v>
      </c>
      <c r="C367" s="44" t="s">
        <v>191</v>
      </c>
      <c r="D367" s="6" t="s">
        <v>221</v>
      </c>
      <c r="E367" s="8" t="s">
        <v>196</v>
      </c>
      <c r="F367" s="13" t="s">
        <v>286</v>
      </c>
      <c r="G367" s="46">
        <v>0.35</v>
      </c>
    </row>
    <row r="368" ht="15.75" customHeight="1">
      <c r="A368" s="43">
        <v>46175.0</v>
      </c>
      <c r="B368" s="43">
        <v>46181.0</v>
      </c>
      <c r="C368" s="44" t="s">
        <v>191</v>
      </c>
      <c r="D368" s="6" t="s">
        <v>224</v>
      </c>
      <c r="E368" s="8" t="s">
        <v>131</v>
      </c>
      <c r="F368" s="13" t="s">
        <v>207</v>
      </c>
      <c r="G368" s="46">
        <v>0.35</v>
      </c>
    </row>
    <row r="369" ht="15.75" customHeight="1">
      <c r="A369" s="43">
        <v>46175.0</v>
      </c>
      <c r="B369" s="43">
        <v>46181.0</v>
      </c>
      <c r="C369" s="44" t="s">
        <v>191</v>
      </c>
      <c r="D369" s="6" t="s">
        <v>226</v>
      </c>
      <c r="E369" s="8" t="s">
        <v>196</v>
      </c>
      <c r="F369" s="13" t="s">
        <v>198</v>
      </c>
      <c r="G369" s="46">
        <v>0.35</v>
      </c>
    </row>
    <row r="370" ht="15.75" customHeight="1">
      <c r="A370" s="43">
        <v>46175.0</v>
      </c>
      <c r="B370" s="43">
        <v>46181.0</v>
      </c>
      <c r="C370" s="44" t="s">
        <v>191</v>
      </c>
      <c r="D370" s="6" t="s">
        <v>229</v>
      </c>
      <c r="E370" s="8" t="s">
        <v>196</v>
      </c>
      <c r="F370" s="13" t="s">
        <v>228</v>
      </c>
      <c r="G370" s="46">
        <v>0.3</v>
      </c>
    </row>
    <row r="371" ht="15.75" customHeight="1">
      <c r="A371" s="43">
        <v>46175.0</v>
      </c>
      <c r="B371" s="43">
        <v>46181.0</v>
      </c>
      <c r="C371" s="44" t="s">
        <v>191</v>
      </c>
      <c r="D371" s="6" t="s">
        <v>375</v>
      </c>
      <c r="E371" s="8" t="s">
        <v>196</v>
      </c>
      <c r="F371" s="13" t="s">
        <v>230</v>
      </c>
      <c r="G371" s="46">
        <v>0.25</v>
      </c>
    </row>
    <row r="372" ht="15.75" customHeight="1">
      <c r="A372" s="43">
        <v>46175.0</v>
      </c>
      <c r="B372" s="43">
        <v>46181.0</v>
      </c>
      <c r="C372" s="44" t="s">
        <v>191</v>
      </c>
      <c r="D372" s="6" t="s">
        <v>376</v>
      </c>
      <c r="E372" s="8" t="s">
        <v>131</v>
      </c>
      <c r="F372" s="13" t="s">
        <v>372</v>
      </c>
      <c r="G372" s="46">
        <v>0.2</v>
      </c>
    </row>
    <row r="373" ht="15.75" customHeight="1">
      <c r="A373" s="43">
        <v>46175.0</v>
      </c>
      <c r="B373" s="43">
        <v>46181.0</v>
      </c>
      <c r="C373" s="44" t="s">
        <v>191</v>
      </c>
      <c r="D373" s="6" t="s">
        <v>195</v>
      </c>
      <c r="E373" s="8" t="s">
        <v>196</v>
      </c>
      <c r="F373" s="13" t="s">
        <v>286</v>
      </c>
      <c r="G373" s="46">
        <v>0.4</v>
      </c>
    </row>
    <row r="374" ht="15.75" customHeight="1">
      <c r="A374" s="43">
        <v>46175.0</v>
      </c>
      <c r="B374" s="43">
        <v>46181.0</v>
      </c>
      <c r="C374" s="44" t="s">
        <v>191</v>
      </c>
      <c r="D374" s="6" t="s">
        <v>201</v>
      </c>
      <c r="E374" s="8" t="s">
        <v>196</v>
      </c>
      <c r="F374" s="13" t="s">
        <v>286</v>
      </c>
      <c r="G374" s="46">
        <v>0.4</v>
      </c>
    </row>
    <row r="375" ht="15.75" customHeight="1">
      <c r="A375" s="43">
        <v>46175.0</v>
      </c>
      <c r="B375" s="43">
        <v>46181.0</v>
      </c>
      <c r="C375" s="44" t="s">
        <v>191</v>
      </c>
      <c r="D375" s="6" t="s">
        <v>203</v>
      </c>
      <c r="E375" s="8" t="s">
        <v>196</v>
      </c>
      <c r="F375" s="13" t="s">
        <v>286</v>
      </c>
      <c r="G375" s="46">
        <v>0.4</v>
      </c>
    </row>
    <row r="376" ht="15.75" customHeight="1">
      <c r="A376" s="43">
        <v>46175.0</v>
      </c>
      <c r="B376" s="43">
        <v>46181.0</v>
      </c>
      <c r="C376" s="44" t="s">
        <v>191</v>
      </c>
      <c r="D376" s="6" t="s">
        <v>205</v>
      </c>
      <c r="E376" s="8" t="s">
        <v>131</v>
      </c>
      <c r="F376" s="13" t="s">
        <v>288</v>
      </c>
      <c r="G376" s="46">
        <v>0.4</v>
      </c>
    </row>
    <row r="377" ht="15.75" customHeight="1">
      <c r="A377" s="43">
        <v>46175.0</v>
      </c>
      <c r="B377" s="43">
        <v>46181.0</v>
      </c>
      <c r="C377" s="44" t="s">
        <v>191</v>
      </c>
      <c r="D377" s="6" t="s">
        <v>209</v>
      </c>
      <c r="E377" s="8" t="s">
        <v>196</v>
      </c>
      <c r="F377" s="13" t="s">
        <v>286</v>
      </c>
      <c r="G377" s="46">
        <v>0.35</v>
      </c>
    </row>
    <row r="378" ht="15.75" customHeight="1">
      <c r="A378" s="43">
        <v>46175.0</v>
      </c>
      <c r="B378" s="43">
        <v>46181.0</v>
      </c>
      <c r="C378" s="44" t="s">
        <v>191</v>
      </c>
      <c r="D378" s="6" t="s">
        <v>291</v>
      </c>
      <c r="E378" s="8" t="s">
        <v>196</v>
      </c>
      <c r="F378" s="13" t="s">
        <v>286</v>
      </c>
      <c r="G378" s="46">
        <v>0.35</v>
      </c>
    </row>
    <row r="379" ht="15.75" customHeight="1">
      <c r="A379" s="43">
        <v>46175.0</v>
      </c>
      <c r="B379" s="43">
        <v>46181.0</v>
      </c>
      <c r="C379" s="44" t="s">
        <v>191</v>
      </c>
      <c r="D379" s="6" t="s">
        <v>292</v>
      </c>
      <c r="E379" s="8" t="s">
        <v>196</v>
      </c>
      <c r="F379" s="13" t="s">
        <v>286</v>
      </c>
      <c r="G379" s="46">
        <v>0.35</v>
      </c>
    </row>
    <row r="380" ht="15.75" customHeight="1">
      <c r="A380" s="43">
        <v>46175.0</v>
      </c>
      <c r="B380" s="43">
        <v>46181.0</v>
      </c>
      <c r="C380" s="44" t="s">
        <v>191</v>
      </c>
      <c r="D380" s="6" t="s">
        <v>293</v>
      </c>
      <c r="E380" s="8" t="s">
        <v>196</v>
      </c>
      <c r="F380" s="13" t="s">
        <v>286</v>
      </c>
      <c r="G380" s="46">
        <v>0.35</v>
      </c>
    </row>
    <row r="381" ht="15.75" customHeight="1">
      <c r="A381" s="43">
        <v>46175.0</v>
      </c>
      <c r="B381" s="43">
        <v>46181.0</v>
      </c>
      <c r="C381" s="44" t="s">
        <v>191</v>
      </c>
      <c r="D381" s="6" t="s">
        <v>295</v>
      </c>
      <c r="E381" s="8" t="s">
        <v>196</v>
      </c>
      <c r="F381" s="13" t="s">
        <v>286</v>
      </c>
      <c r="G381" s="46">
        <v>0.35</v>
      </c>
    </row>
    <row r="382" ht="15.75" customHeight="1">
      <c r="A382" s="43">
        <v>46175.0</v>
      </c>
      <c r="B382" s="43">
        <v>46181.0</v>
      </c>
      <c r="C382" s="44" t="s">
        <v>191</v>
      </c>
      <c r="D382" s="6" t="s">
        <v>296</v>
      </c>
      <c r="E382" s="8" t="s">
        <v>196</v>
      </c>
      <c r="F382" s="13" t="s">
        <v>286</v>
      </c>
      <c r="G382" s="46">
        <v>0.35</v>
      </c>
    </row>
    <row r="383" ht="15.75" customHeight="1">
      <c r="A383" s="43">
        <v>46175.0</v>
      </c>
      <c r="B383" s="43">
        <v>46181.0</v>
      </c>
      <c r="C383" s="44" t="s">
        <v>191</v>
      </c>
      <c r="D383" s="6" t="s">
        <v>221</v>
      </c>
      <c r="E383" s="8" t="s">
        <v>196</v>
      </c>
      <c r="F383" s="13" t="s">
        <v>286</v>
      </c>
      <c r="G383" s="46">
        <v>0.35</v>
      </c>
    </row>
    <row r="384" ht="15.75" customHeight="1">
      <c r="A384" s="43">
        <v>46175.0</v>
      </c>
      <c r="B384" s="43">
        <v>46181.0</v>
      </c>
      <c r="C384" s="44" t="s">
        <v>191</v>
      </c>
      <c r="D384" s="6" t="s">
        <v>224</v>
      </c>
      <c r="E384" s="8" t="s">
        <v>240</v>
      </c>
      <c r="F384" s="13" t="s">
        <v>303</v>
      </c>
      <c r="G384" s="46">
        <v>0.35</v>
      </c>
    </row>
    <row r="385" ht="15.75" customHeight="1">
      <c r="A385" s="43">
        <v>46175.0</v>
      </c>
      <c r="B385" s="43">
        <v>46181.0</v>
      </c>
      <c r="C385" s="44" t="s">
        <v>191</v>
      </c>
      <c r="D385" s="6" t="s">
        <v>226</v>
      </c>
      <c r="E385" s="8" t="s">
        <v>196</v>
      </c>
      <c r="F385" s="13" t="s">
        <v>198</v>
      </c>
      <c r="G385" s="46">
        <v>0.35</v>
      </c>
    </row>
    <row r="386" ht="15.75" customHeight="1">
      <c r="A386" s="43">
        <v>46175.0</v>
      </c>
      <c r="B386" s="43">
        <v>46181.0</v>
      </c>
      <c r="C386" s="44" t="s">
        <v>191</v>
      </c>
      <c r="D386" s="6" t="s">
        <v>229</v>
      </c>
      <c r="E386" s="8" t="s">
        <v>196</v>
      </c>
      <c r="F386" s="13" t="s">
        <v>228</v>
      </c>
      <c r="G386" s="46">
        <v>0.3</v>
      </c>
    </row>
    <row r="387" ht="15.75" customHeight="1">
      <c r="A387" s="43">
        <v>46175.0</v>
      </c>
      <c r="B387" s="43">
        <v>46181.0</v>
      </c>
      <c r="C387" s="44" t="s">
        <v>191</v>
      </c>
      <c r="D387" s="6" t="s">
        <v>375</v>
      </c>
      <c r="E387" s="8" t="s">
        <v>196</v>
      </c>
      <c r="F387" s="13" t="s">
        <v>230</v>
      </c>
      <c r="G387" s="46">
        <v>0.25</v>
      </c>
    </row>
    <row r="388" ht="15.75" customHeight="1">
      <c r="A388" s="43">
        <v>46175.0</v>
      </c>
      <c r="B388" s="43">
        <v>46181.0</v>
      </c>
      <c r="C388" s="44" t="s">
        <v>191</v>
      </c>
      <c r="D388" s="6" t="s">
        <v>376</v>
      </c>
      <c r="E388" s="8" t="s">
        <v>131</v>
      </c>
      <c r="F388" s="13" t="s">
        <v>372</v>
      </c>
      <c r="G388" s="46">
        <v>0.2</v>
      </c>
    </row>
    <row r="389" ht="15.75" customHeight="1">
      <c r="A389" s="43">
        <v>46182.0</v>
      </c>
      <c r="B389" s="43">
        <v>46188.0</v>
      </c>
      <c r="C389" s="44" t="s">
        <v>191</v>
      </c>
      <c r="D389" s="6" t="s">
        <v>18</v>
      </c>
      <c r="E389" s="8" t="s">
        <v>244</v>
      </c>
      <c r="F389" s="13">
        <v>16.74</v>
      </c>
      <c r="G389" s="46">
        <v>0.33</v>
      </c>
    </row>
    <row r="390" ht="15.75" customHeight="1">
      <c r="A390" s="43">
        <v>46182.0</v>
      </c>
      <c r="B390" s="43">
        <v>46188.0</v>
      </c>
      <c r="C390" s="44" t="s">
        <v>191</v>
      </c>
      <c r="D390" s="6" t="s">
        <v>32</v>
      </c>
      <c r="E390" s="8" t="s">
        <v>244</v>
      </c>
      <c r="F390" s="13">
        <v>16.74</v>
      </c>
      <c r="G390" s="46">
        <v>0.33</v>
      </c>
    </row>
    <row r="391" ht="15.75" customHeight="1">
      <c r="A391" s="43">
        <v>46182.0</v>
      </c>
      <c r="B391" s="43">
        <v>46188.0</v>
      </c>
      <c r="C391" s="44" t="s">
        <v>191</v>
      </c>
      <c r="D391" s="6" t="s">
        <v>34</v>
      </c>
      <c r="E391" s="8" t="s">
        <v>244</v>
      </c>
      <c r="F391" s="13">
        <v>16.74</v>
      </c>
      <c r="G391" s="46">
        <v>0.33</v>
      </c>
    </row>
    <row r="392" ht="15.75" customHeight="1">
      <c r="A392" s="43">
        <v>46182.0</v>
      </c>
      <c r="B392" s="43">
        <v>46188.0</v>
      </c>
      <c r="C392" s="44" t="s">
        <v>191</v>
      </c>
      <c r="D392" s="6" t="s">
        <v>307</v>
      </c>
      <c r="E392" s="8" t="s">
        <v>244</v>
      </c>
      <c r="F392" s="13" t="s">
        <v>254</v>
      </c>
      <c r="G392" s="46">
        <v>0.3</v>
      </c>
    </row>
    <row r="393" ht="15.75" customHeight="1">
      <c r="A393" s="43">
        <v>46184.0</v>
      </c>
      <c r="B393" s="43">
        <v>46190.0</v>
      </c>
      <c r="C393" s="44" t="s">
        <v>126</v>
      </c>
      <c r="D393" s="6" t="s">
        <v>324</v>
      </c>
      <c r="E393" s="8" t="s">
        <v>325</v>
      </c>
      <c r="F393" s="13" t="s">
        <v>326</v>
      </c>
      <c r="G393" s="46">
        <v>0.2</v>
      </c>
    </row>
    <row r="394" ht="15.75" customHeight="1">
      <c r="A394" s="43">
        <v>46184.0</v>
      </c>
      <c r="B394" s="43">
        <v>46190.0</v>
      </c>
      <c r="C394" s="44" t="s">
        <v>126</v>
      </c>
      <c r="D394" s="6" t="s">
        <v>327</v>
      </c>
      <c r="E394" s="8" t="s">
        <v>223</v>
      </c>
      <c r="F394" s="13" t="s">
        <v>328</v>
      </c>
      <c r="G394" s="46">
        <v>0.2</v>
      </c>
    </row>
    <row r="395" ht="15.75" customHeight="1">
      <c r="A395" s="43">
        <v>46184.0</v>
      </c>
      <c r="B395" s="43">
        <v>46190.0</v>
      </c>
      <c r="C395" s="44" t="s">
        <v>126</v>
      </c>
      <c r="D395" s="6" t="s">
        <v>329</v>
      </c>
      <c r="E395" s="8" t="s">
        <v>128</v>
      </c>
      <c r="F395" s="13" t="s">
        <v>129</v>
      </c>
      <c r="G395" s="46">
        <v>0.2</v>
      </c>
    </row>
    <row r="396" ht="15.75" customHeight="1">
      <c r="A396" s="43">
        <v>46184.0</v>
      </c>
      <c r="B396" s="43">
        <v>46190.0</v>
      </c>
      <c r="C396" s="44" t="s">
        <v>126</v>
      </c>
      <c r="D396" s="6" t="s">
        <v>330</v>
      </c>
      <c r="E396" s="8" t="s">
        <v>223</v>
      </c>
      <c r="F396" s="13" t="s">
        <v>328</v>
      </c>
      <c r="G396" s="46">
        <v>0.2</v>
      </c>
    </row>
    <row r="397" ht="15.75" customHeight="1">
      <c r="A397" s="43">
        <v>46184.0</v>
      </c>
      <c r="B397" s="43">
        <v>46190.0</v>
      </c>
      <c r="C397" s="44" t="s">
        <v>126</v>
      </c>
      <c r="D397" s="6" t="s">
        <v>331</v>
      </c>
      <c r="E397" s="8" t="s">
        <v>223</v>
      </c>
      <c r="F397" s="13" t="s">
        <v>328</v>
      </c>
      <c r="G397" s="46">
        <v>0.2</v>
      </c>
    </row>
    <row r="398" ht="15.75" customHeight="1">
      <c r="A398" s="43">
        <v>46184.0</v>
      </c>
      <c r="B398" s="43">
        <v>46190.0</v>
      </c>
      <c r="C398" s="44" t="s">
        <v>126</v>
      </c>
      <c r="D398" s="6" t="s">
        <v>332</v>
      </c>
      <c r="E398" s="8" t="s">
        <v>128</v>
      </c>
      <c r="F398" s="13" t="s">
        <v>129</v>
      </c>
      <c r="G398" s="46">
        <v>0.2</v>
      </c>
    </row>
    <row r="399" ht="15.75" customHeight="1">
      <c r="A399" s="43">
        <v>46184.0</v>
      </c>
      <c r="B399" s="43">
        <v>46190.0</v>
      </c>
      <c r="C399" s="44" t="s">
        <v>126</v>
      </c>
      <c r="D399" s="6" t="s">
        <v>334</v>
      </c>
      <c r="E399" s="8" t="s">
        <v>223</v>
      </c>
      <c r="F399" s="13" t="s">
        <v>328</v>
      </c>
      <c r="G399" s="46">
        <v>0.2</v>
      </c>
    </row>
    <row r="400" ht="15.75" customHeight="1">
      <c r="A400" s="43">
        <v>46184.0</v>
      </c>
      <c r="B400" s="43">
        <v>46190.0</v>
      </c>
      <c r="C400" s="44" t="s">
        <v>126</v>
      </c>
      <c r="D400" s="6" t="s">
        <v>335</v>
      </c>
      <c r="E400" s="8" t="s">
        <v>128</v>
      </c>
      <c r="F400" s="13" t="s">
        <v>129</v>
      </c>
      <c r="G400" s="46">
        <v>0.2</v>
      </c>
    </row>
    <row r="401" ht="15.75" customHeight="1">
      <c r="A401" s="43">
        <v>46184.0</v>
      </c>
      <c r="B401" s="43">
        <v>46190.0</v>
      </c>
      <c r="C401" s="44" t="s">
        <v>126</v>
      </c>
      <c r="D401" s="6" t="s">
        <v>336</v>
      </c>
      <c r="E401" s="8" t="s">
        <v>223</v>
      </c>
      <c r="F401" s="13" t="s">
        <v>328</v>
      </c>
      <c r="G401" s="46">
        <v>0.2</v>
      </c>
    </row>
    <row r="402" ht="15.75" customHeight="1">
      <c r="A402" s="43">
        <v>46184.0</v>
      </c>
      <c r="B402" s="43">
        <v>46190.0</v>
      </c>
      <c r="C402" s="44" t="s">
        <v>126</v>
      </c>
      <c r="D402" s="6" t="s">
        <v>337</v>
      </c>
      <c r="E402" s="8" t="s">
        <v>338</v>
      </c>
      <c r="F402" s="13" t="s">
        <v>339</v>
      </c>
      <c r="G402" s="46">
        <v>0.2</v>
      </c>
    </row>
    <row r="403" ht="15.75" customHeight="1">
      <c r="A403" s="43">
        <v>46184.0</v>
      </c>
      <c r="B403" s="43">
        <v>46190.0</v>
      </c>
      <c r="C403" s="44" t="s">
        <v>126</v>
      </c>
      <c r="D403" s="6" t="s">
        <v>340</v>
      </c>
      <c r="E403" s="8" t="s">
        <v>128</v>
      </c>
      <c r="F403" s="13" t="s">
        <v>129</v>
      </c>
      <c r="G403" s="46">
        <v>0.2</v>
      </c>
    </row>
    <row r="404" ht="15.75" customHeight="1">
      <c r="A404" s="43">
        <v>46184.0</v>
      </c>
      <c r="B404" s="43">
        <v>46190.0</v>
      </c>
      <c r="C404" s="44" t="s">
        <v>126</v>
      </c>
      <c r="D404" s="6" t="s">
        <v>341</v>
      </c>
      <c r="E404" s="8" t="s">
        <v>128</v>
      </c>
      <c r="F404" s="13" t="s">
        <v>129</v>
      </c>
      <c r="G404" s="46">
        <v>0.2</v>
      </c>
    </row>
    <row r="405" ht="15.75" customHeight="1">
      <c r="A405" s="43">
        <v>46184.0</v>
      </c>
      <c r="B405" s="43">
        <v>46190.0</v>
      </c>
      <c r="C405" s="44" t="s">
        <v>126</v>
      </c>
      <c r="D405" s="6" t="s">
        <v>342</v>
      </c>
      <c r="E405" s="8" t="s">
        <v>128</v>
      </c>
      <c r="F405" s="13" t="s">
        <v>129</v>
      </c>
      <c r="G405" s="46">
        <v>0.2</v>
      </c>
    </row>
    <row r="406" ht="15.75" customHeight="1">
      <c r="A406" s="43">
        <v>46184.0</v>
      </c>
      <c r="B406" s="43">
        <v>46190.0</v>
      </c>
      <c r="C406" s="44" t="s">
        <v>126</v>
      </c>
      <c r="D406" s="6" t="s">
        <v>343</v>
      </c>
      <c r="E406" s="8" t="s">
        <v>128</v>
      </c>
      <c r="F406" s="13" t="s">
        <v>129</v>
      </c>
      <c r="G406" s="46">
        <v>0.2</v>
      </c>
    </row>
    <row r="407" ht="15.75" customHeight="1">
      <c r="A407" s="43">
        <v>46184.0</v>
      </c>
      <c r="B407" s="43">
        <v>46190.0</v>
      </c>
      <c r="C407" s="44" t="s">
        <v>126</v>
      </c>
      <c r="D407" s="6" t="s">
        <v>344</v>
      </c>
      <c r="E407" s="8" t="s">
        <v>128</v>
      </c>
      <c r="F407" s="13" t="s">
        <v>129</v>
      </c>
      <c r="G407" s="46">
        <v>0.2</v>
      </c>
    </row>
    <row r="408" ht="15.75" customHeight="1">
      <c r="A408" s="43">
        <v>46184.0</v>
      </c>
      <c r="B408" s="43">
        <v>46190.0</v>
      </c>
      <c r="C408" s="44" t="s">
        <v>126</v>
      </c>
      <c r="D408" s="6" t="s">
        <v>345</v>
      </c>
      <c r="E408" s="8" t="s">
        <v>128</v>
      </c>
      <c r="F408" s="13" t="s">
        <v>129</v>
      </c>
      <c r="G408" s="46">
        <v>0.2</v>
      </c>
    </row>
    <row r="409" ht="15.75" customHeight="1">
      <c r="A409" s="43">
        <v>46184.0</v>
      </c>
      <c r="B409" s="43">
        <v>46190.0</v>
      </c>
      <c r="C409" s="44" t="s">
        <v>126</v>
      </c>
      <c r="D409" s="6" t="s">
        <v>346</v>
      </c>
      <c r="E409" s="8" t="s">
        <v>128</v>
      </c>
      <c r="F409" s="13" t="s">
        <v>129</v>
      </c>
      <c r="G409" s="46">
        <v>0.2</v>
      </c>
    </row>
    <row r="410" ht="15.75" customHeight="1">
      <c r="A410" s="43">
        <v>46184.0</v>
      </c>
      <c r="B410" s="43">
        <v>46190.0</v>
      </c>
      <c r="C410" s="44" t="s">
        <v>126</v>
      </c>
      <c r="D410" s="6" t="s">
        <v>347</v>
      </c>
      <c r="E410" s="8" t="s">
        <v>223</v>
      </c>
      <c r="F410" s="13" t="s">
        <v>328</v>
      </c>
      <c r="G410" s="46">
        <v>0.2</v>
      </c>
    </row>
    <row r="411" ht="15.75" customHeight="1">
      <c r="A411" s="43">
        <v>46184.0</v>
      </c>
      <c r="B411" s="43">
        <v>46190.0</v>
      </c>
      <c r="C411" s="44" t="s">
        <v>126</v>
      </c>
      <c r="D411" s="6" t="s">
        <v>348</v>
      </c>
      <c r="E411" s="8" t="s">
        <v>223</v>
      </c>
      <c r="F411" s="13" t="s">
        <v>328</v>
      </c>
      <c r="G411" s="46">
        <v>0.2</v>
      </c>
    </row>
    <row r="412" ht="15.75" customHeight="1">
      <c r="A412" s="43">
        <v>46184.0</v>
      </c>
      <c r="B412" s="43">
        <v>46190.0</v>
      </c>
      <c r="C412" s="44" t="s">
        <v>126</v>
      </c>
      <c r="D412" s="6" t="s">
        <v>350</v>
      </c>
      <c r="E412" s="8" t="s">
        <v>325</v>
      </c>
      <c r="F412" s="13" t="s">
        <v>326</v>
      </c>
      <c r="G412" s="46">
        <v>0.2</v>
      </c>
    </row>
    <row r="413" ht="15.75" customHeight="1">
      <c r="A413" s="43">
        <v>46184.0</v>
      </c>
      <c r="B413" s="43">
        <v>46190.0</v>
      </c>
      <c r="C413" s="44" t="s">
        <v>126</v>
      </c>
      <c r="D413" s="6" t="s">
        <v>351</v>
      </c>
      <c r="E413" s="8" t="s">
        <v>325</v>
      </c>
      <c r="F413" s="13" t="s">
        <v>326</v>
      </c>
      <c r="G413" s="46">
        <v>0.2</v>
      </c>
    </row>
    <row r="414" ht="15.75" customHeight="1">
      <c r="A414" s="43">
        <v>46184.0</v>
      </c>
      <c r="B414" s="43">
        <v>46190.0</v>
      </c>
      <c r="C414" s="44" t="s">
        <v>126</v>
      </c>
      <c r="D414" s="6" t="s">
        <v>353</v>
      </c>
      <c r="E414" s="8" t="s">
        <v>325</v>
      </c>
      <c r="F414" s="13" t="s">
        <v>326</v>
      </c>
      <c r="G414" s="46">
        <v>0.2</v>
      </c>
    </row>
    <row r="415" ht="15.75" customHeight="1">
      <c r="A415" s="43">
        <v>46184.0</v>
      </c>
      <c r="B415" s="43">
        <v>46190.0</v>
      </c>
      <c r="C415" s="44" t="s">
        <v>126</v>
      </c>
      <c r="D415" s="6" t="s">
        <v>324</v>
      </c>
      <c r="E415" s="8" t="s">
        <v>325</v>
      </c>
      <c r="F415" s="13" t="s">
        <v>326</v>
      </c>
      <c r="G415" s="46">
        <v>0.2</v>
      </c>
    </row>
    <row r="416" ht="15.75" customHeight="1">
      <c r="A416" s="43">
        <v>46184.0</v>
      </c>
      <c r="B416" s="43">
        <v>46190.0</v>
      </c>
      <c r="C416" s="44" t="s">
        <v>126</v>
      </c>
      <c r="D416" s="6" t="s">
        <v>327</v>
      </c>
      <c r="E416" s="8" t="s">
        <v>223</v>
      </c>
      <c r="F416" s="13" t="s">
        <v>328</v>
      </c>
      <c r="G416" s="46">
        <v>0.2</v>
      </c>
    </row>
    <row r="417" ht="15.75" customHeight="1">
      <c r="A417" s="43">
        <v>46184.0</v>
      </c>
      <c r="B417" s="43">
        <v>46190.0</v>
      </c>
      <c r="C417" s="44" t="s">
        <v>126</v>
      </c>
      <c r="D417" s="6" t="s">
        <v>329</v>
      </c>
      <c r="E417" s="8" t="s">
        <v>128</v>
      </c>
      <c r="F417" s="13" t="s">
        <v>129</v>
      </c>
      <c r="G417" s="46">
        <v>0.2</v>
      </c>
    </row>
    <row r="418" ht="15.75" customHeight="1">
      <c r="A418" s="43">
        <v>46184.0</v>
      </c>
      <c r="B418" s="43">
        <v>46190.0</v>
      </c>
      <c r="C418" s="44" t="s">
        <v>126</v>
      </c>
      <c r="D418" s="6" t="s">
        <v>330</v>
      </c>
      <c r="E418" s="8" t="s">
        <v>223</v>
      </c>
      <c r="F418" s="13" t="s">
        <v>328</v>
      </c>
      <c r="G418" s="46">
        <v>0.2</v>
      </c>
    </row>
    <row r="419" ht="15.75" customHeight="1">
      <c r="A419" s="43">
        <v>46184.0</v>
      </c>
      <c r="B419" s="43">
        <v>46190.0</v>
      </c>
      <c r="C419" s="44" t="s">
        <v>126</v>
      </c>
      <c r="D419" s="6" t="s">
        <v>331</v>
      </c>
      <c r="E419" s="8" t="s">
        <v>223</v>
      </c>
      <c r="F419" s="13" t="s">
        <v>328</v>
      </c>
      <c r="G419" s="46">
        <v>0.2</v>
      </c>
    </row>
    <row r="420" ht="15.75" customHeight="1">
      <c r="A420" s="43">
        <v>46184.0</v>
      </c>
      <c r="B420" s="43">
        <v>46190.0</v>
      </c>
      <c r="C420" s="44" t="s">
        <v>126</v>
      </c>
      <c r="D420" s="6" t="s">
        <v>332</v>
      </c>
      <c r="E420" s="8" t="s">
        <v>128</v>
      </c>
      <c r="F420" s="13" t="s">
        <v>129</v>
      </c>
      <c r="G420" s="46">
        <v>0.2</v>
      </c>
    </row>
    <row r="421" ht="15.75" customHeight="1">
      <c r="A421" s="43">
        <v>46184.0</v>
      </c>
      <c r="B421" s="43">
        <v>46190.0</v>
      </c>
      <c r="C421" s="44" t="s">
        <v>126</v>
      </c>
      <c r="D421" s="6" t="s">
        <v>334</v>
      </c>
      <c r="E421" s="8" t="s">
        <v>223</v>
      </c>
      <c r="F421" s="13" t="s">
        <v>328</v>
      </c>
      <c r="G421" s="46">
        <v>0.2</v>
      </c>
    </row>
    <row r="422" ht="15.75" customHeight="1">
      <c r="A422" s="43">
        <v>46184.0</v>
      </c>
      <c r="B422" s="43">
        <v>46190.0</v>
      </c>
      <c r="C422" s="44" t="s">
        <v>126</v>
      </c>
      <c r="D422" s="6" t="s">
        <v>335</v>
      </c>
      <c r="E422" s="8" t="s">
        <v>128</v>
      </c>
      <c r="F422" s="13" t="s">
        <v>129</v>
      </c>
      <c r="G422" s="46">
        <v>0.2</v>
      </c>
    </row>
    <row r="423" ht="15.75" customHeight="1">
      <c r="A423" s="43">
        <v>46184.0</v>
      </c>
      <c r="B423" s="43">
        <v>46190.0</v>
      </c>
      <c r="C423" s="44" t="s">
        <v>126</v>
      </c>
      <c r="D423" s="6" t="s">
        <v>336</v>
      </c>
      <c r="E423" s="8" t="s">
        <v>223</v>
      </c>
      <c r="F423" s="13" t="s">
        <v>328</v>
      </c>
      <c r="G423" s="46">
        <v>0.2</v>
      </c>
    </row>
    <row r="424" ht="15.75" customHeight="1">
      <c r="A424" s="43">
        <v>46184.0</v>
      </c>
      <c r="B424" s="43">
        <v>46190.0</v>
      </c>
      <c r="C424" s="44" t="s">
        <v>126</v>
      </c>
      <c r="D424" s="6" t="s">
        <v>337</v>
      </c>
      <c r="E424" s="8" t="s">
        <v>338</v>
      </c>
      <c r="F424" s="13" t="s">
        <v>339</v>
      </c>
      <c r="G424" s="46">
        <v>0.2</v>
      </c>
    </row>
    <row r="425" ht="15.75" customHeight="1">
      <c r="A425" s="43">
        <v>46184.0</v>
      </c>
      <c r="B425" s="43">
        <v>46190.0</v>
      </c>
      <c r="C425" s="44" t="s">
        <v>126</v>
      </c>
      <c r="D425" s="6" t="s">
        <v>340</v>
      </c>
      <c r="E425" s="8" t="s">
        <v>128</v>
      </c>
      <c r="F425" s="13" t="s">
        <v>129</v>
      </c>
      <c r="G425" s="46">
        <v>0.2</v>
      </c>
    </row>
    <row r="426" ht="15.75" customHeight="1">
      <c r="A426" s="43">
        <v>46184.0</v>
      </c>
      <c r="B426" s="43">
        <v>46190.0</v>
      </c>
      <c r="C426" s="44" t="s">
        <v>126</v>
      </c>
      <c r="D426" s="6" t="s">
        <v>341</v>
      </c>
      <c r="E426" s="8" t="s">
        <v>128</v>
      </c>
      <c r="F426" s="13" t="s">
        <v>129</v>
      </c>
      <c r="G426" s="46">
        <v>0.2</v>
      </c>
    </row>
    <row r="427" ht="15.75" customHeight="1">
      <c r="A427" s="43">
        <v>46184.0</v>
      </c>
      <c r="B427" s="43">
        <v>46190.0</v>
      </c>
      <c r="C427" s="44" t="s">
        <v>126</v>
      </c>
      <c r="D427" s="6" t="s">
        <v>342</v>
      </c>
      <c r="E427" s="8" t="s">
        <v>128</v>
      </c>
      <c r="F427" s="13" t="s">
        <v>129</v>
      </c>
      <c r="G427" s="46">
        <v>0.2</v>
      </c>
    </row>
    <row r="428" ht="15.75" customHeight="1">
      <c r="A428" s="43">
        <v>46184.0</v>
      </c>
      <c r="B428" s="43">
        <v>46190.0</v>
      </c>
      <c r="C428" s="44" t="s">
        <v>126</v>
      </c>
      <c r="D428" s="6" t="s">
        <v>343</v>
      </c>
      <c r="E428" s="8" t="s">
        <v>128</v>
      </c>
      <c r="F428" s="13" t="s">
        <v>129</v>
      </c>
      <c r="G428" s="46">
        <v>0.2</v>
      </c>
    </row>
    <row r="429" ht="15.75" customHeight="1">
      <c r="A429" s="43">
        <v>46184.0</v>
      </c>
      <c r="B429" s="43">
        <v>46190.0</v>
      </c>
      <c r="C429" s="44" t="s">
        <v>126</v>
      </c>
      <c r="D429" s="6" t="s">
        <v>344</v>
      </c>
      <c r="E429" s="8" t="s">
        <v>128</v>
      </c>
      <c r="F429" s="13" t="s">
        <v>129</v>
      </c>
      <c r="G429" s="46">
        <v>0.2</v>
      </c>
    </row>
    <row r="430" ht="15.75" customHeight="1">
      <c r="A430" s="43">
        <v>46184.0</v>
      </c>
      <c r="B430" s="43">
        <v>46190.0</v>
      </c>
      <c r="C430" s="44" t="s">
        <v>126</v>
      </c>
      <c r="D430" s="6" t="s">
        <v>345</v>
      </c>
      <c r="E430" s="8" t="s">
        <v>128</v>
      </c>
      <c r="F430" s="13" t="s">
        <v>129</v>
      </c>
      <c r="G430" s="46">
        <v>0.2</v>
      </c>
    </row>
    <row r="431" ht="15.75" customHeight="1">
      <c r="A431" s="43">
        <v>46184.0</v>
      </c>
      <c r="B431" s="43">
        <v>46190.0</v>
      </c>
      <c r="C431" s="44" t="s">
        <v>126</v>
      </c>
      <c r="D431" s="6" t="s">
        <v>346</v>
      </c>
      <c r="E431" s="8" t="s">
        <v>128</v>
      </c>
      <c r="F431" s="13" t="s">
        <v>129</v>
      </c>
      <c r="G431" s="46">
        <v>0.2</v>
      </c>
    </row>
    <row r="432" ht="15.75" customHeight="1">
      <c r="A432" s="43">
        <v>46184.0</v>
      </c>
      <c r="B432" s="43">
        <v>46190.0</v>
      </c>
      <c r="C432" s="44" t="s">
        <v>126</v>
      </c>
      <c r="D432" s="6" t="s">
        <v>347</v>
      </c>
      <c r="E432" s="8" t="s">
        <v>223</v>
      </c>
      <c r="F432" s="13" t="s">
        <v>328</v>
      </c>
      <c r="G432" s="46">
        <v>0.2</v>
      </c>
    </row>
    <row r="433" ht="15.75" customHeight="1">
      <c r="A433" s="43">
        <v>46184.0</v>
      </c>
      <c r="B433" s="43">
        <v>46190.0</v>
      </c>
      <c r="C433" s="44" t="s">
        <v>126</v>
      </c>
      <c r="D433" s="6" t="s">
        <v>348</v>
      </c>
      <c r="E433" s="8" t="s">
        <v>223</v>
      </c>
      <c r="F433" s="13" t="s">
        <v>328</v>
      </c>
      <c r="G433" s="46">
        <v>0.2</v>
      </c>
    </row>
    <row r="434" ht="15.75" customHeight="1">
      <c r="A434" s="43">
        <v>46184.0</v>
      </c>
      <c r="B434" s="43">
        <v>46190.0</v>
      </c>
      <c r="C434" s="44" t="s">
        <v>126</v>
      </c>
      <c r="D434" s="6" t="s">
        <v>350</v>
      </c>
      <c r="E434" s="8" t="s">
        <v>325</v>
      </c>
      <c r="F434" s="13" t="s">
        <v>326</v>
      </c>
      <c r="G434" s="46">
        <v>0.2</v>
      </c>
    </row>
    <row r="435" ht="15.75" customHeight="1">
      <c r="A435" s="43">
        <v>46184.0</v>
      </c>
      <c r="B435" s="43">
        <v>46190.0</v>
      </c>
      <c r="C435" s="44" t="s">
        <v>126</v>
      </c>
      <c r="D435" s="6" t="s">
        <v>351</v>
      </c>
      <c r="E435" s="8" t="s">
        <v>325</v>
      </c>
      <c r="F435" s="13" t="s">
        <v>326</v>
      </c>
      <c r="G435" s="46">
        <v>0.2</v>
      </c>
    </row>
    <row r="436" ht="15.75" customHeight="1">
      <c r="A436" s="43">
        <v>46184.0</v>
      </c>
      <c r="B436" s="43">
        <v>46190.0</v>
      </c>
      <c r="C436" s="44" t="s">
        <v>126</v>
      </c>
      <c r="D436" s="6" t="s">
        <v>353</v>
      </c>
      <c r="E436" s="8" t="s">
        <v>325</v>
      </c>
      <c r="F436" s="13" t="s">
        <v>326</v>
      </c>
      <c r="G436" s="46">
        <v>0.2</v>
      </c>
    </row>
    <row r="437" ht="15.75" customHeight="1">
      <c r="A437" s="43">
        <v>46184.0</v>
      </c>
      <c r="B437" s="43">
        <v>46190.0</v>
      </c>
      <c r="C437" s="44" t="s">
        <v>258</v>
      </c>
      <c r="D437" s="6" t="s">
        <v>312</v>
      </c>
      <c r="E437" s="8" t="s">
        <v>188</v>
      </c>
      <c r="F437" s="13" t="s">
        <v>313</v>
      </c>
      <c r="G437" s="46">
        <v>0.4</v>
      </c>
    </row>
    <row r="438" ht="15.75" customHeight="1">
      <c r="A438" s="43">
        <v>46184.0</v>
      </c>
      <c r="B438" s="43">
        <v>46190.0</v>
      </c>
      <c r="C438" s="44" t="s">
        <v>258</v>
      </c>
      <c r="D438" s="6" t="s">
        <v>312</v>
      </c>
      <c r="E438" s="8" t="s">
        <v>284</v>
      </c>
      <c r="F438" s="13" t="s">
        <v>314</v>
      </c>
      <c r="G438" s="46">
        <v>0.35</v>
      </c>
    </row>
    <row r="439" ht="15.75" customHeight="1">
      <c r="A439" s="43">
        <v>46191.0</v>
      </c>
      <c r="B439" s="43">
        <v>46204.0</v>
      </c>
      <c r="C439" s="44" t="s">
        <v>349</v>
      </c>
      <c r="D439" s="6" t="s">
        <v>17</v>
      </c>
      <c r="E439" s="8" t="s">
        <v>95</v>
      </c>
      <c r="F439" s="13" t="s">
        <v>304</v>
      </c>
      <c r="G439" s="46">
        <v>0.6</v>
      </c>
    </row>
    <row r="440" ht="15.75" customHeight="1">
      <c r="A440" s="43">
        <v>46191.0</v>
      </c>
      <c r="B440" s="43">
        <v>46204.0</v>
      </c>
      <c r="C440" s="44" t="s">
        <v>349</v>
      </c>
      <c r="D440" s="6" t="s">
        <v>17</v>
      </c>
      <c r="E440" s="8" t="s">
        <v>88</v>
      </c>
      <c r="F440" s="13" t="s">
        <v>280</v>
      </c>
      <c r="G440" s="46">
        <v>0.6</v>
      </c>
    </row>
    <row r="441" ht="15.75" customHeight="1">
      <c r="A441" s="43">
        <v>46210.0</v>
      </c>
      <c r="B441" s="43">
        <v>46216.0</v>
      </c>
      <c r="C441" s="44" t="s">
        <v>191</v>
      </c>
      <c r="D441" s="6" t="s">
        <v>268</v>
      </c>
      <c r="E441" s="8" t="s">
        <v>269</v>
      </c>
      <c r="F441" s="13" t="s">
        <v>132</v>
      </c>
      <c r="G441" s="46">
        <v>0.25</v>
      </c>
    </row>
    <row r="442" ht="15.75" customHeight="1">
      <c r="A442" s="43">
        <v>46210.0</v>
      </c>
      <c r="B442" s="43">
        <v>46216.0</v>
      </c>
      <c r="C442" s="44" t="s">
        <v>191</v>
      </c>
      <c r="D442" s="6" t="s">
        <v>268</v>
      </c>
      <c r="E442" s="8" t="s">
        <v>269</v>
      </c>
      <c r="F442" s="13" t="s">
        <v>132</v>
      </c>
      <c r="G442" s="46">
        <v>0.25</v>
      </c>
    </row>
    <row r="443" ht="15.75" customHeight="1">
      <c r="A443" s="43">
        <v>46210.0</v>
      </c>
      <c r="B443" s="43">
        <v>46216.0</v>
      </c>
      <c r="C443" s="44" t="s">
        <v>191</v>
      </c>
      <c r="D443" s="6" t="s">
        <v>275</v>
      </c>
      <c r="E443" s="8" t="s">
        <v>183</v>
      </c>
      <c r="F443" s="13" t="s">
        <v>269</v>
      </c>
      <c r="G443" s="46">
        <v>0.2</v>
      </c>
    </row>
    <row r="444" ht="15.75" customHeight="1">
      <c r="A444" s="43">
        <v>46210.0</v>
      </c>
      <c r="B444" s="43">
        <v>46216.0</v>
      </c>
      <c r="C444" s="44" t="s">
        <v>191</v>
      </c>
      <c r="D444" s="6" t="s">
        <v>275</v>
      </c>
      <c r="E444" s="8" t="s">
        <v>183</v>
      </c>
      <c r="F444" s="13" t="s">
        <v>269</v>
      </c>
      <c r="G444" s="46">
        <v>0.2</v>
      </c>
    </row>
    <row r="445" ht="15.75" customHeight="1">
      <c r="A445" s="43">
        <v>46212.0</v>
      </c>
      <c r="B445" s="43">
        <v>46219.0</v>
      </c>
      <c r="C445" s="44" t="s">
        <v>86</v>
      </c>
      <c r="D445" s="6" t="s">
        <v>24</v>
      </c>
      <c r="E445" s="8" t="s">
        <v>88</v>
      </c>
      <c r="F445" s="13" t="s">
        <v>280</v>
      </c>
      <c r="G445" s="46">
        <v>0.6</v>
      </c>
    </row>
    <row r="446" ht="15.75" customHeight="1">
      <c r="A446" s="43">
        <v>46212.0</v>
      </c>
      <c r="B446" s="43">
        <v>46219.0</v>
      </c>
      <c r="C446" s="44" t="s">
        <v>86</v>
      </c>
      <c r="D446" s="6" t="s">
        <v>24</v>
      </c>
      <c r="E446" s="8" t="s">
        <v>89</v>
      </c>
      <c r="F446" s="13" t="s">
        <v>240</v>
      </c>
      <c r="G446" s="46">
        <v>0.6</v>
      </c>
    </row>
    <row r="447" ht="15.75" customHeight="1">
      <c r="A447" s="43">
        <v>46217.0</v>
      </c>
      <c r="B447" s="43">
        <v>46223.0</v>
      </c>
      <c r="C447" s="44" t="s">
        <v>191</v>
      </c>
      <c r="D447" s="6" t="s">
        <v>195</v>
      </c>
      <c r="E447" s="8" t="s">
        <v>196</v>
      </c>
      <c r="F447" s="13" t="s">
        <v>286</v>
      </c>
      <c r="G447" s="46">
        <v>0.4</v>
      </c>
    </row>
    <row r="448" ht="15.75" customHeight="1">
      <c r="A448" s="43">
        <v>46217.0</v>
      </c>
      <c r="B448" s="43">
        <v>46223.0</v>
      </c>
      <c r="C448" s="44" t="s">
        <v>191</v>
      </c>
      <c r="D448" s="6" t="s">
        <v>195</v>
      </c>
      <c r="E448" s="8" t="s">
        <v>196</v>
      </c>
      <c r="F448" s="13" t="s">
        <v>286</v>
      </c>
      <c r="G448" s="46">
        <v>0.4</v>
      </c>
    </row>
    <row r="449" ht="15.75" customHeight="1">
      <c r="A449" s="43">
        <v>46217.0</v>
      </c>
      <c r="B449" s="43">
        <v>46223.0</v>
      </c>
      <c r="C449" s="44" t="s">
        <v>191</v>
      </c>
      <c r="D449" s="6" t="s">
        <v>296</v>
      </c>
      <c r="E449" s="8" t="s">
        <v>196</v>
      </c>
      <c r="F449" s="13" t="s">
        <v>198</v>
      </c>
      <c r="G449" s="46">
        <v>0.35</v>
      </c>
    </row>
    <row r="450" ht="15.75" customHeight="1">
      <c r="A450" s="43">
        <v>46217.0</v>
      </c>
      <c r="B450" s="43">
        <v>46223.0</v>
      </c>
      <c r="C450" s="44" t="s">
        <v>191</v>
      </c>
      <c r="D450" s="6" t="s">
        <v>296</v>
      </c>
      <c r="E450" s="8" t="s">
        <v>196</v>
      </c>
      <c r="F450" s="13" t="s">
        <v>198</v>
      </c>
      <c r="G450" s="46">
        <v>0.35</v>
      </c>
    </row>
    <row r="451" ht="15.75" customHeight="1">
      <c r="A451" s="43">
        <v>46217.0</v>
      </c>
      <c r="B451" s="43">
        <v>46223.0</v>
      </c>
      <c r="C451" s="44" t="s">
        <v>191</v>
      </c>
      <c r="D451" s="6" t="s">
        <v>221</v>
      </c>
      <c r="E451" s="8" t="s">
        <v>196</v>
      </c>
      <c r="F451" s="13" t="s">
        <v>198</v>
      </c>
      <c r="G451" s="46">
        <v>0.35</v>
      </c>
    </row>
    <row r="452" ht="15.75" customHeight="1">
      <c r="A452" s="43">
        <v>46217.0</v>
      </c>
      <c r="B452" s="43">
        <v>46223.0</v>
      </c>
      <c r="C452" s="44" t="s">
        <v>191</v>
      </c>
      <c r="D452" s="6" t="s">
        <v>221</v>
      </c>
      <c r="E452" s="8" t="s">
        <v>196</v>
      </c>
      <c r="F452" s="13" t="s">
        <v>198</v>
      </c>
      <c r="G452" s="46">
        <v>0.35</v>
      </c>
    </row>
    <row r="453" ht="15.75" customHeight="1">
      <c r="A453" s="43">
        <v>46217.0</v>
      </c>
      <c r="B453" s="43">
        <v>46223.0</v>
      </c>
      <c r="C453" s="44" t="s">
        <v>191</v>
      </c>
      <c r="D453" s="6" t="s">
        <v>224</v>
      </c>
      <c r="E453" s="8" t="s">
        <v>131</v>
      </c>
      <c r="F453" s="13" t="s">
        <v>207</v>
      </c>
      <c r="G453" s="46">
        <v>0.35</v>
      </c>
    </row>
    <row r="454" ht="15.75" customHeight="1">
      <c r="A454" s="43">
        <v>46217.0</v>
      </c>
      <c r="B454" s="43">
        <v>46223.0</v>
      </c>
      <c r="C454" s="44" t="s">
        <v>191</v>
      </c>
      <c r="D454" s="6" t="s">
        <v>224</v>
      </c>
      <c r="E454" s="8" t="s">
        <v>240</v>
      </c>
      <c r="F454" s="13" t="s">
        <v>303</v>
      </c>
      <c r="G454" s="46">
        <v>0.35</v>
      </c>
    </row>
    <row r="455" ht="15.75" customHeight="1">
      <c r="A455" s="43">
        <v>46217.0</v>
      </c>
      <c r="B455" s="43">
        <v>46223.0</v>
      </c>
      <c r="C455" s="44" t="s">
        <v>191</v>
      </c>
      <c r="D455" s="6" t="s">
        <v>226</v>
      </c>
      <c r="E455" s="8" t="s">
        <v>196</v>
      </c>
      <c r="F455" s="13" t="s">
        <v>198</v>
      </c>
      <c r="G455" s="46">
        <v>0.35</v>
      </c>
    </row>
    <row r="456" ht="15.75" customHeight="1">
      <c r="A456" s="43">
        <v>46217.0</v>
      </c>
      <c r="B456" s="43">
        <v>46223.0</v>
      </c>
      <c r="C456" s="44" t="s">
        <v>191</v>
      </c>
      <c r="D456" s="6" t="s">
        <v>226</v>
      </c>
      <c r="E456" s="8" t="s">
        <v>196</v>
      </c>
      <c r="F456" s="13" t="s">
        <v>198</v>
      </c>
      <c r="G456" s="46">
        <v>0.35</v>
      </c>
    </row>
    <row r="457" ht="15.75" customHeight="1">
      <c r="A457" s="43">
        <v>46217.0</v>
      </c>
      <c r="B457" s="43">
        <v>46223.0</v>
      </c>
      <c r="C457" s="44" t="s">
        <v>191</v>
      </c>
      <c r="D457" s="6" t="s">
        <v>229</v>
      </c>
      <c r="E457" s="8" t="s">
        <v>196</v>
      </c>
      <c r="F457" s="13" t="s">
        <v>198</v>
      </c>
      <c r="G457" s="46">
        <v>0.35</v>
      </c>
    </row>
    <row r="458" ht="15.75" customHeight="1">
      <c r="A458" s="43">
        <v>46217.0</v>
      </c>
      <c r="B458" s="43">
        <v>46223.0</v>
      </c>
      <c r="C458" s="44" t="s">
        <v>191</v>
      </c>
      <c r="D458" s="6" t="s">
        <v>229</v>
      </c>
      <c r="E458" s="8" t="s">
        <v>196</v>
      </c>
      <c r="F458" s="13" t="s">
        <v>198</v>
      </c>
      <c r="G458" s="46">
        <v>0.35</v>
      </c>
    </row>
    <row r="459" ht="15.75" customHeight="1">
      <c r="A459" s="43">
        <v>46217.0</v>
      </c>
      <c r="B459" s="43">
        <v>46223.0</v>
      </c>
      <c r="C459" s="44" t="s">
        <v>191</v>
      </c>
      <c r="D459" s="6" t="s">
        <v>375</v>
      </c>
      <c r="E459" s="8" t="s">
        <v>196</v>
      </c>
      <c r="F459" s="13" t="s">
        <v>228</v>
      </c>
      <c r="G459" s="46">
        <v>0.3</v>
      </c>
    </row>
    <row r="460" ht="15.75" customHeight="1">
      <c r="A460" s="43">
        <v>46217.0</v>
      </c>
      <c r="B460" s="43">
        <v>46223.0</v>
      </c>
      <c r="C460" s="44" t="s">
        <v>191</v>
      </c>
      <c r="D460" s="6" t="s">
        <v>375</v>
      </c>
      <c r="E460" s="8" t="s">
        <v>196</v>
      </c>
      <c r="F460" s="13" t="s">
        <v>228</v>
      </c>
      <c r="G460" s="46">
        <v>0.3</v>
      </c>
    </row>
    <row r="461" ht="15.75" customHeight="1">
      <c r="A461" s="43">
        <v>46217.0</v>
      </c>
      <c r="B461" s="43">
        <v>46223.0</v>
      </c>
      <c r="C461" s="44" t="s">
        <v>191</v>
      </c>
      <c r="D461" s="6" t="s">
        <v>376</v>
      </c>
      <c r="E461" s="8" t="s">
        <v>131</v>
      </c>
      <c r="F461" s="13" t="s">
        <v>367</v>
      </c>
      <c r="G461" s="46">
        <v>0.25</v>
      </c>
    </row>
    <row r="462" ht="15.75" customHeight="1">
      <c r="A462" s="43">
        <v>46217.0</v>
      </c>
      <c r="B462" s="43">
        <v>46223.0</v>
      </c>
      <c r="C462" s="44" t="s">
        <v>191</v>
      </c>
      <c r="D462" s="6" t="s">
        <v>376</v>
      </c>
      <c r="E462" s="8" t="s">
        <v>131</v>
      </c>
      <c r="F462" s="13" t="s">
        <v>367</v>
      </c>
      <c r="G462" s="46">
        <v>0.25</v>
      </c>
    </row>
    <row r="463" ht="15.75" customHeight="1">
      <c r="A463" s="43">
        <v>46217.0</v>
      </c>
      <c r="B463" s="43">
        <v>46223.0</v>
      </c>
      <c r="C463" s="44" t="s">
        <v>191</v>
      </c>
      <c r="D463" s="6" t="s">
        <v>403</v>
      </c>
      <c r="E463" s="8" t="s">
        <v>196</v>
      </c>
      <c r="F463" s="13" t="s">
        <v>242</v>
      </c>
      <c r="G463" s="46">
        <v>0.2</v>
      </c>
    </row>
    <row r="464" ht="15.75" customHeight="1">
      <c r="A464" s="43">
        <v>46217.0</v>
      </c>
      <c r="B464" s="43">
        <v>46223.0</v>
      </c>
      <c r="C464" s="44" t="s">
        <v>191</v>
      </c>
      <c r="D464" s="6" t="s">
        <v>404</v>
      </c>
      <c r="E464" s="8" t="s">
        <v>196</v>
      </c>
      <c r="F464" s="13" t="s">
        <v>242</v>
      </c>
      <c r="G464" s="46">
        <v>0.2</v>
      </c>
    </row>
    <row r="465" ht="15.75" customHeight="1">
      <c r="A465" s="43">
        <v>46217.0</v>
      </c>
      <c r="B465" s="43">
        <v>46223.0</v>
      </c>
      <c r="C465" s="44" t="s">
        <v>191</v>
      </c>
      <c r="D465" s="6" t="s">
        <v>201</v>
      </c>
      <c r="E465" s="8" t="s">
        <v>196</v>
      </c>
      <c r="F465" s="13" t="s">
        <v>286</v>
      </c>
      <c r="G465" s="46">
        <v>0.4</v>
      </c>
    </row>
    <row r="466" ht="15.75" customHeight="1">
      <c r="A466" s="43">
        <v>46217.0</v>
      </c>
      <c r="B466" s="43">
        <v>46223.0</v>
      </c>
      <c r="C466" s="44" t="s">
        <v>191</v>
      </c>
      <c r="D466" s="6" t="s">
        <v>201</v>
      </c>
      <c r="E466" s="8" t="s">
        <v>196</v>
      </c>
      <c r="F466" s="13" t="s">
        <v>286</v>
      </c>
      <c r="G466" s="46">
        <v>0.4</v>
      </c>
    </row>
    <row r="467" ht="15.75" customHeight="1">
      <c r="A467" s="43">
        <v>46217.0</v>
      </c>
      <c r="B467" s="43">
        <v>46223.0</v>
      </c>
      <c r="C467" s="44" t="s">
        <v>191</v>
      </c>
      <c r="D467" s="6" t="s">
        <v>203</v>
      </c>
      <c r="E467" s="8" t="s">
        <v>196</v>
      </c>
      <c r="F467" s="13" t="s">
        <v>286</v>
      </c>
      <c r="G467" s="46">
        <v>0.4</v>
      </c>
    </row>
    <row r="468" ht="15.75" customHeight="1">
      <c r="A468" s="43">
        <v>46217.0</v>
      </c>
      <c r="B468" s="43">
        <v>46223.0</v>
      </c>
      <c r="C468" s="44" t="s">
        <v>191</v>
      </c>
      <c r="D468" s="6" t="s">
        <v>203</v>
      </c>
      <c r="E468" s="8" t="s">
        <v>196</v>
      </c>
      <c r="F468" s="13" t="s">
        <v>286</v>
      </c>
      <c r="G468" s="46">
        <v>0.4</v>
      </c>
    </row>
    <row r="469" ht="15.75" customHeight="1">
      <c r="A469" s="43">
        <v>46217.0</v>
      </c>
      <c r="B469" s="43">
        <v>46223.0</v>
      </c>
      <c r="C469" s="44" t="s">
        <v>191</v>
      </c>
      <c r="D469" s="6" t="s">
        <v>205</v>
      </c>
      <c r="E469" s="8" t="s">
        <v>131</v>
      </c>
      <c r="F469" s="13" t="s">
        <v>288</v>
      </c>
      <c r="G469" s="46">
        <v>0.4</v>
      </c>
    </row>
    <row r="470" ht="15.75" customHeight="1">
      <c r="A470" s="43">
        <v>46217.0</v>
      </c>
      <c r="B470" s="43">
        <v>46223.0</v>
      </c>
      <c r="C470" s="44" t="s">
        <v>191</v>
      </c>
      <c r="D470" s="6" t="s">
        <v>205</v>
      </c>
      <c r="E470" s="8" t="s">
        <v>131</v>
      </c>
      <c r="F470" s="13" t="s">
        <v>288</v>
      </c>
      <c r="G470" s="46">
        <v>0.4</v>
      </c>
    </row>
    <row r="471" ht="15.75" customHeight="1">
      <c r="A471" s="43">
        <v>46217.0</v>
      </c>
      <c r="B471" s="43">
        <v>46223.0</v>
      </c>
      <c r="C471" s="44" t="s">
        <v>191</v>
      </c>
      <c r="D471" s="6" t="s">
        <v>209</v>
      </c>
      <c r="E471" s="8" t="s">
        <v>196</v>
      </c>
      <c r="F471" s="13" t="s">
        <v>198</v>
      </c>
      <c r="G471" s="46">
        <v>0.35</v>
      </c>
    </row>
    <row r="472" ht="15.75" customHeight="1">
      <c r="A472" s="43">
        <v>46217.0</v>
      </c>
      <c r="B472" s="43">
        <v>46223.0</v>
      </c>
      <c r="C472" s="44" t="s">
        <v>191</v>
      </c>
      <c r="D472" s="6" t="s">
        <v>209</v>
      </c>
      <c r="E472" s="8" t="s">
        <v>196</v>
      </c>
      <c r="F472" s="13" t="s">
        <v>198</v>
      </c>
      <c r="G472" s="46">
        <v>0.35</v>
      </c>
    </row>
    <row r="473" ht="15.75" customHeight="1">
      <c r="A473" s="43">
        <v>46217.0</v>
      </c>
      <c r="B473" s="43">
        <v>46223.0</v>
      </c>
      <c r="C473" s="44" t="s">
        <v>191</v>
      </c>
      <c r="D473" s="6" t="s">
        <v>291</v>
      </c>
      <c r="E473" s="8" t="s">
        <v>196</v>
      </c>
      <c r="F473" s="13" t="s">
        <v>198</v>
      </c>
      <c r="G473" s="46">
        <v>0.35</v>
      </c>
    </row>
    <row r="474" ht="15.75" customHeight="1">
      <c r="A474" s="43">
        <v>46217.0</v>
      </c>
      <c r="B474" s="43">
        <v>46223.0</v>
      </c>
      <c r="C474" s="44" t="s">
        <v>191</v>
      </c>
      <c r="D474" s="6" t="s">
        <v>291</v>
      </c>
      <c r="E474" s="8" t="s">
        <v>196</v>
      </c>
      <c r="F474" s="13" t="s">
        <v>198</v>
      </c>
      <c r="G474" s="46">
        <v>0.35</v>
      </c>
    </row>
    <row r="475" ht="15.75" customHeight="1">
      <c r="A475" s="43">
        <v>46217.0</v>
      </c>
      <c r="B475" s="43">
        <v>46223.0</v>
      </c>
      <c r="C475" s="44" t="s">
        <v>191</v>
      </c>
      <c r="D475" s="6" t="s">
        <v>292</v>
      </c>
      <c r="E475" s="8" t="s">
        <v>196</v>
      </c>
      <c r="F475" s="13" t="s">
        <v>198</v>
      </c>
      <c r="G475" s="46">
        <v>0.35</v>
      </c>
    </row>
    <row r="476" ht="15.75" customHeight="1">
      <c r="A476" s="43">
        <v>46217.0</v>
      </c>
      <c r="B476" s="43">
        <v>46223.0</v>
      </c>
      <c r="C476" s="44" t="s">
        <v>191</v>
      </c>
      <c r="D476" s="6" t="s">
        <v>292</v>
      </c>
      <c r="E476" s="8" t="s">
        <v>196</v>
      </c>
      <c r="F476" s="13" t="s">
        <v>198</v>
      </c>
      <c r="G476" s="46">
        <v>0.35</v>
      </c>
    </row>
    <row r="477" ht="15.75" customHeight="1">
      <c r="A477" s="43">
        <v>46217.0</v>
      </c>
      <c r="B477" s="43">
        <v>46223.0</v>
      </c>
      <c r="C477" s="44" t="s">
        <v>191</v>
      </c>
      <c r="D477" s="6" t="s">
        <v>293</v>
      </c>
      <c r="E477" s="8" t="s">
        <v>196</v>
      </c>
      <c r="F477" s="13" t="s">
        <v>198</v>
      </c>
      <c r="G477" s="46">
        <v>0.35</v>
      </c>
    </row>
    <row r="478" ht="15.75" customHeight="1">
      <c r="A478" s="43">
        <v>46217.0</v>
      </c>
      <c r="B478" s="43">
        <v>46223.0</v>
      </c>
      <c r="C478" s="44" t="s">
        <v>191</v>
      </c>
      <c r="D478" s="6" t="s">
        <v>293</v>
      </c>
      <c r="E478" s="8" t="s">
        <v>196</v>
      </c>
      <c r="F478" s="13" t="s">
        <v>198</v>
      </c>
      <c r="G478" s="46">
        <v>0.35</v>
      </c>
    </row>
    <row r="479" ht="15.75" customHeight="1">
      <c r="A479" s="43">
        <v>46217.0</v>
      </c>
      <c r="B479" s="43">
        <v>46223.0</v>
      </c>
      <c r="C479" s="44" t="s">
        <v>191</v>
      </c>
      <c r="D479" s="6" t="s">
        <v>295</v>
      </c>
      <c r="E479" s="8" t="s">
        <v>196</v>
      </c>
      <c r="F479" s="13" t="s">
        <v>198</v>
      </c>
      <c r="G479" s="46">
        <v>0.35</v>
      </c>
    </row>
    <row r="480" ht="15.75" customHeight="1">
      <c r="A480" s="43">
        <v>46217.0</v>
      </c>
      <c r="B480" s="43">
        <v>46223.0</v>
      </c>
      <c r="C480" s="44" t="s">
        <v>191</v>
      </c>
      <c r="D480" s="6" t="s">
        <v>295</v>
      </c>
      <c r="E480" s="8" t="s">
        <v>196</v>
      </c>
      <c r="F480" s="13" t="s">
        <v>198</v>
      </c>
      <c r="G480" s="46">
        <v>0.35</v>
      </c>
    </row>
    <row r="481" ht="15.75" customHeight="1">
      <c r="A481" s="43">
        <v>46218.0</v>
      </c>
      <c r="B481" s="43">
        <v>46233.0</v>
      </c>
      <c r="C481" s="44" t="s">
        <v>90</v>
      </c>
      <c r="D481" s="6" t="s">
        <v>24</v>
      </c>
      <c r="E481" s="8" t="s">
        <v>88</v>
      </c>
      <c r="F481" s="13" t="s">
        <v>280</v>
      </c>
      <c r="G481" s="46">
        <v>0.6</v>
      </c>
    </row>
    <row r="482" ht="15.75" customHeight="1">
      <c r="A482" s="43">
        <v>46218.0</v>
      </c>
      <c r="B482" s="43">
        <v>46233.0</v>
      </c>
      <c r="C482" s="44" t="s">
        <v>90</v>
      </c>
      <c r="D482" s="6" t="s">
        <v>24</v>
      </c>
      <c r="E482" s="8" t="s">
        <v>89</v>
      </c>
      <c r="F482" s="13" t="s">
        <v>240</v>
      </c>
      <c r="G482" s="46">
        <v>0.6</v>
      </c>
    </row>
    <row r="483" ht="15.75" customHeight="1">
      <c r="A483" s="43">
        <v>46224.0</v>
      </c>
      <c r="B483" s="43">
        <v>46230.0</v>
      </c>
      <c r="C483" s="44" t="s">
        <v>92</v>
      </c>
      <c r="D483" s="6" t="s">
        <v>312</v>
      </c>
      <c r="E483" s="8" t="s">
        <v>188</v>
      </c>
      <c r="F483" s="13" t="s">
        <v>189</v>
      </c>
      <c r="G483" s="46">
        <v>0.4</v>
      </c>
    </row>
    <row r="484" ht="15.75" customHeight="1">
      <c r="A484" s="43">
        <v>46224.0</v>
      </c>
      <c r="B484" s="43">
        <v>46230.0</v>
      </c>
      <c r="C484" s="44" t="s">
        <v>92</v>
      </c>
      <c r="D484" s="6" t="s">
        <v>312</v>
      </c>
      <c r="E484" s="8" t="s">
        <v>284</v>
      </c>
      <c r="F484" s="13" t="s">
        <v>314</v>
      </c>
      <c r="G484" s="46">
        <v>0.35</v>
      </c>
    </row>
    <row r="485" ht="15.75" customHeight="1">
      <c r="A485" s="43">
        <v>46224.0</v>
      </c>
      <c r="B485" s="43">
        <v>46230.0</v>
      </c>
      <c r="C485" s="44" t="s">
        <v>191</v>
      </c>
      <c r="D485" s="6" t="s">
        <v>18</v>
      </c>
      <c r="E485" s="8" t="s">
        <v>244</v>
      </c>
      <c r="F485" s="13" t="s">
        <v>250</v>
      </c>
      <c r="G485" s="46">
        <v>0.33</v>
      </c>
    </row>
    <row r="486" ht="15.75" customHeight="1">
      <c r="A486" s="43">
        <v>46224.0</v>
      </c>
      <c r="B486" s="43">
        <v>46230.0</v>
      </c>
      <c r="C486" s="44" t="s">
        <v>191</v>
      </c>
      <c r="D486" s="6" t="s">
        <v>18</v>
      </c>
      <c r="E486" s="8" t="s">
        <v>244</v>
      </c>
      <c r="F486" s="13" t="s">
        <v>254</v>
      </c>
      <c r="G486" s="46">
        <v>0.3</v>
      </c>
    </row>
    <row r="487" ht="15.75" customHeight="1">
      <c r="A487" s="43">
        <v>46224.0</v>
      </c>
      <c r="B487" s="43">
        <v>46230.0</v>
      </c>
      <c r="C487" s="44" t="s">
        <v>191</v>
      </c>
      <c r="D487" s="6" t="s">
        <v>32</v>
      </c>
      <c r="E487" s="8" t="s">
        <v>244</v>
      </c>
      <c r="F487" s="13" t="s">
        <v>250</v>
      </c>
      <c r="G487" s="46">
        <v>0.33</v>
      </c>
    </row>
    <row r="488" ht="15.75" customHeight="1">
      <c r="A488" s="43">
        <v>46224.0</v>
      </c>
      <c r="B488" s="43">
        <v>46230.0</v>
      </c>
      <c r="C488" s="44" t="s">
        <v>191</v>
      </c>
      <c r="D488" s="6" t="s">
        <v>32</v>
      </c>
      <c r="E488" s="8" t="s">
        <v>244</v>
      </c>
      <c r="F488" s="13" t="s">
        <v>254</v>
      </c>
      <c r="G488" s="46">
        <v>0.3</v>
      </c>
    </row>
    <row r="489" ht="15.75" customHeight="1">
      <c r="A489" s="43">
        <v>46224.0</v>
      </c>
      <c r="B489" s="43">
        <v>46230.0</v>
      </c>
      <c r="C489" s="44" t="s">
        <v>191</v>
      </c>
      <c r="D489" s="6" t="s">
        <v>34</v>
      </c>
      <c r="E489" s="8" t="s">
        <v>244</v>
      </c>
      <c r="F489" s="13" t="s">
        <v>250</v>
      </c>
      <c r="G489" s="46">
        <v>0.33</v>
      </c>
    </row>
    <row r="490" ht="15.75" customHeight="1">
      <c r="A490" s="43">
        <v>46224.0</v>
      </c>
      <c r="B490" s="43">
        <v>46230.0</v>
      </c>
      <c r="C490" s="44" t="s">
        <v>191</v>
      </c>
      <c r="D490" s="6" t="s">
        <v>34</v>
      </c>
      <c r="E490" s="8" t="s">
        <v>244</v>
      </c>
      <c r="F490" s="13" t="s">
        <v>254</v>
      </c>
      <c r="G490" s="46">
        <v>0.3</v>
      </c>
    </row>
    <row r="491" ht="15.75" customHeight="1">
      <c r="A491" s="43">
        <v>46224.0</v>
      </c>
      <c r="B491" s="43">
        <v>46230.0</v>
      </c>
      <c r="C491" s="44" t="s">
        <v>191</v>
      </c>
      <c r="D491" s="6" t="s">
        <v>307</v>
      </c>
      <c r="E491" s="8" t="s">
        <v>244</v>
      </c>
      <c r="F491" s="13" t="s">
        <v>254</v>
      </c>
      <c r="G491" s="46">
        <v>0.3</v>
      </c>
    </row>
    <row r="492" ht="15.75" customHeight="1">
      <c r="A492" s="43">
        <v>46224.0</v>
      </c>
      <c r="B492" s="43">
        <v>46230.0</v>
      </c>
      <c r="C492" s="44" t="s">
        <v>191</v>
      </c>
      <c r="D492" s="6" t="s">
        <v>307</v>
      </c>
      <c r="E492" s="8" t="s">
        <v>244</v>
      </c>
      <c r="F492" s="13" t="s">
        <v>254</v>
      </c>
      <c r="G492" s="46">
        <v>0.3</v>
      </c>
    </row>
    <row r="493" ht="15.75" customHeight="1">
      <c r="A493" s="43">
        <v>46233.0</v>
      </c>
      <c r="B493" s="43">
        <v>46247.0</v>
      </c>
      <c r="C493" s="44" t="s">
        <v>135</v>
      </c>
      <c r="D493" s="6" t="s">
        <v>353</v>
      </c>
      <c r="E493" s="8" t="s">
        <v>325</v>
      </c>
      <c r="F493" s="13" t="s">
        <v>326</v>
      </c>
      <c r="G493" s="46">
        <v>0.2</v>
      </c>
    </row>
    <row r="494" ht="15.75" customHeight="1">
      <c r="A494" s="43">
        <v>46233.0</v>
      </c>
      <c r="B494" s="43">
        <v>46247.0</v>
      </c>
      <c r="C494" s="44" t="s">
        <v>135</v>
      </c>
      <c r="D494" s="6" t="s">
        <v>353</v>
      </c>
      <c r="E494" s="8" t="s">
        <v>325</v>
      </c>
      <c r="F494" s="13" t="s">
        <v>326</v>
      </c>
      <c r="G494" s="46">
        <v>0.2</v>
      </c>
    </row>
    <row r="495" ht="15.75" customHeight="1">
      <c r="A495" s="43">
        <v>46233.0</v>
      </c>
      <c r="B495" s="43">
        <v>46247.0</v>
      </c>
      <c r="C495" s="44" t="s">
        <v>135</v>
      </c>
      <c r="D495" s="6" t="s">
        <v>332</v>
      </c>
      <c r="E495" s="8" t="s">
        <v>128</v>
      </c>
      <c r="F495" s="13" t="s">
        <v>129</v>
      </c>
      <c r="G495" s="46">
        <v>0.2</v>
      </c>
    </row>
    <row r="496" ht="15.75" customHeight="1">
      <c r="A496" s="43">
        <v>46233.0</v>
      </c>
      <c r="B496" s="43">
        <v>46247.0</v>
      </c>
      <c r="C496" s="44" t="s">
        <v>135</v>
      </c>
      <c r="D496" s="6" t="s">
        <v>332</v>
      </c>
      <c r="E496" s="8" t="s">
        <v>128</v>
      </c>
      <c r="F496" s="13" t="s">
        <v>129</v>
      </c>
      <c r="G496" s="46">
        <v>0.2</v>
      </c>
    </row>
    <row r="497" ht="15.75" customHeight="1">
      <c r="A497" s="43">
        <v>46233.0</v>
      </c>
      <c r="B497" s="43">
        <v>46247.0</v>
      </c>
      <c r="C497" s="44" t="s">
        <v>135</v>
      </c>
      <c r="D497" s="6" t="s">
        <v>343</v>
      </c>
      <c r="E497" s="8" t="s">
        <v>128</v>
      </c>
      <c r="F497" s="13" t="s">
        <v>129</v>
      </c>
      <c r="G497" s="46">
        <v>0.2</v>
      </c>
    </row>
    <row r="498" ht="15.75" customHeight="1">
      <c r="A498" s="43">
        <v>46233.0</v>
      </c>
      <c r="B498" s="43">
        <v>46247.0</v>
      </c>
      <c r="C498" s="44" t="s">
        <v>135</v>
      </c>
      <c r="D498" s="6" t="s">
        <v>343</v>
      </c>
      <c r="E498" s="8" t="s">
        <v>128</v>
      </c>
      <c r="F498" s="13" t="s">
        <v>129</v>
      </c>
      <c r="G498" s="46">
        <v>0.2</v>
      </c>
    </row>
    <row r="499" ht="15.75" customHeight="1">
      <c r="A499" s="43">
        <v>46233.0</v>
      </c>
      <c r="B499" s="43">
        <v>46247.0</v>
      </c>
      <c r="C499" s="44" t="s">
        <v>135</v>
      </c>
      <c r="D499" s="6" t="s">
        <v>327</v>
      </c>
      <c r="E499" s="8" t="s">
        <v>223</v>
      </c>
      <c r="F499" s="13" t="s">
        <v>328</v>
      </c>
      <c r="G499" s="46">
        <v>0.2</v>
      </c>
    </row>
    <row r="500" ht="15.75" customHeight="1">
      <c r="A500" s="43">
        <v>46233.0</v>
      </c>
      <c r="B500" s="43">
        <v>46247.0</v>
      </c>
      <c r="C500" s="44" t="s">
        <v>135</v>
      </c>
      <c r="D500" s="6" t="s">
        <v>327</v>
      </c>
      <c r="E500" s="8" t="s">
        <v>223</v>
      </c>
      <c r="F500" s="13" t="s">
        <v>328</v>
      </c>
      <c r="G500" s="46">
        <v>0.2</v>
      </c>
    </row>
    <row r="501" ht="15.75" customHeight="1">
      <c r="A501" s="43">
        <v>46233.0</v>
      </c>
      <c r="B501" s="43">
        <v>46247.0</v>
      </c>
      <c r="C501" s="44" t="s">
        <v>135</v>
      </c>
      <c r="D501" s="6" t="s">
        <v>407</v>
      </c>
      <c r="E501" s="8" t="s">
        <v>128</v>
      </c>
      <c r="F501" s="13" t="s">
        <v>129</v>
      </c>
      <c r="G501" s="46">
        <v>0.2</v>
      </c>
    </row>
    <row r="502" ht="15.75" customHeight="1">
      <c r="A502" s="43">
        <v>46233.0</v>
      </c>
      <c r="B502" s="43">
        <v>46247.0</v>
      </c>
      <c r="C502" s="44" t="s">
        <v>135</v>
      </c>
      <c r="D502" s="6" t="s">
        <v>407</v>
      </c>
      <c r="E502" s="8" t="s">
        <v>128</v>
      </c>
      <c r="F502" s="13" t="s">
        <v>129</v>
      </c>
      <c r="G502" s="46">
        <v>0.2</v>
      </c>
    </row>
    <row r="503" ht="15.75" customHeight="1">
      <c r="A503" s="43">
        <v>46233.0</v>
      </c>
      <c r="B503" s="43">
        <v>46247.0</v>
      </c>
      <c r="C503" s="44" t="s">
        <v>135</v>
      </c>
      <c r="D503" s="6" t="s">
        <v>340</v>
      </c>
      <c r="E503" s="8" t="s">
        <v>128</v>
      </c>
      <c r="F503" s="13" t="s">
        <v>129</v>
      </c>
      <c r="G503" s="46">
        <v>0.2</v>
      </c>
    </row>
    <row r="504" ht="15.75" customHeight="1">
      <c r="A504" s="43">
        <v>46233.0</v>
      </c>
      <c r="B504" s="43">
        <v>46247.0</v>
      </c>
      <c r="C504" s="44" t="s">
        <v>135</v>
      </c>
      <c r="D504" s="6" t="s">
        <v>340</v>
      </c>
      <c r="E504" s="8" t="s">
        <v>128</v>
      </c>
      <c r="F504" s="13" t="s">
        <v>129</v>
      </c>
      <c r="G504" s="46">
        <v>0.2</v>
      </c>
    </row>
    <row r="505" ht="15.75" customHeight="1">
      <c r="A505" s="43">
        <v>46233.0</v>
      </c>
      <c r="B505" s="43">
        <v>46247.0</v>
      </c>
      <c r="C505" s="44" t="s">
        <v>135</v>
      </c>
      <c r="D505" s="6" t="s">
        <v>324</v>
      </c>
      <c r="E505" s="8" t="s">
        <v>325</v>
      </c>
      <c r="F505" s="13" t="s">
        <v>326</v>
      </c>
      <c r="G505" s="46">
        <v>0.2</v>
      </c>
    </row>
    <row r="506" ht="15.75" customHeight="1">
      <c r="A506" s="43">
        <v>46233.0</v>
      </c>
      <c r="B506" s="43">
        <v>46247.0</v>
      </c>
      <c r="C506" s="44" t="s">
        <v>135</v>
      </c>
      <c r="D506" s="6" t="s">
        <v>324</v>
      </c>
      <c r="E506" s="8" t="s">
        <v>325</v>
      </c>
      <c r="F506" s="13" t="s">
        <v>326</v>
      </c>
      <c r="G506" s="46">
        <v>0.2</v>
      </c>
    </row>
    <row r="507" ht="15.75" customHeight="1">
      <c r="A507" s="43">
        <v>46233.0</v>
      </c>
      <c r="B507" s="43">
        <v>46247.0</v>
      </c>
      <c r="C507" s="44" t="s">
        <v>135</v>
      </c>
      <c r="D507" s="6" t="s">
        <v>331</v>
      </c>
      <c r="E507" s="8" t="s">
        <v>223</v>
      </c>
      <c r="F507" s="13" t="s">
        <v>328</v>
      </c>
      <c r="G507" s="46">
        <v>0.2</v>
      </c>
    </row>
    <row r="508" ht="15.75" customHeight="1">
      <c r="A508" s="43">
        <v>46233.0</v>
      </c>
      <c r="B508" s="43">
        <v>46247.0</v>
      </c>
      <c r="C508" s="44" t="s">
        <v>135</v>
      </c>
      <c r="D508" s="6" t="s">
        <v>331</v>
      </c>
      <c r="E508" s="8" t="s">
        <v>223</v>
      </c>
      <c r="F508" s="13" t="s">
        <v>328</v>
      </c>
      <c r="G508" s="46">
        <v>0.2</v>
      </c>
    </row>
    <row r="509" ht="15.75" customHeight="1">
      <c r="A509" s="43">
        <v>46233.0</v>
      </c>
      <c r="B509" s="43">
        <v>46247.0</v>
      </c>
      <c r="C509" s="44" t="s">
        <v>135</v>
      </c>
      <c r="D509" s="6" t="s">
        <v>330</v>
      </c>
      <c r="E509" s="8" t="s">
        <v>223</v>
      </c>
      <c r="F509" s="13" t="s">
        <v>328</v>
      </c>
      <c r="G509" s="46">
        <v>0.2</v>
      </c>
    </row>
    <row r="510" ht="15.75" customHeight="1">
      <c r="A510" s="43">
        <v>46233.0</v>
      </c>
      <c r="B510" s="43">
        <v>46247.0</v>
      </c>
      <c r="C510" s="44" t="s">
        <v>135</v>
      </c>
      <c r="D510" s="6" t="s">
        <v>330</v>
      </c>
      <c r="E510" s="8" t="s">
        <v>223</v>
      </c>
      <c r="F510" s="13" t="s">
        <v>328</v>
      </c>
      <c r="G510" s="46">
        <v>0.2</v>
      </c>
    </row>
    <row r="511" ht="15.75" customHeight="1">
      <c r="A511" s="43">
        <v>46233.0</v>
      </c>
      <c r="B511" s="43">
        <v>46247.0</v>
      </c>
      <c r="C511" s="44" t="s">
        <v>135</v>
      </c>
      <c r="D511" s="6" t="s">
        <v>335</v>
      </c>
      <c r="E511" s="8" t="s">
        <v>128</v>
      </c>
      <c r="F511" s="13" t="s">
        <v>129</v>
      </c>
      <c r="G511" s="46">
        <v>0.2</v>
      </c>
    </row>
    <row r="512" ht="15.75" customHeight="1">
      <c r="A512" s="43">
        <v>46233.0</v>
      </c>
      <c r="B512" s="43">
        <v>46247.0</v>
      </c>
      <c r="C512" s="44" t="s">
        <v>135</v>
      </c>
      <c r="D512" s="6" t="s">
        <v>335</v>
      </c>
      <c r="E512" s="8" t="s">
        <v>128</v>
      </c>
      <c r="F512" s="13" t="s">
        <v>129</v>
      </c>
      <c r="G512" s="46">
        <v>0.2</v>
      </c>
    </row>
    <row r="513" ht="15.75" customHeight="1">
      <c r="A513" s="43">
        <v>46233.0</v>
      </c>
      <c r="B513" s="43">
        <v>46247.0</v>
      </c>
      <c r="C513" s="44" t="s">
        <v>135</v>
      </c>
      <c r="D513" s="6" t="s">
        <v>347</v>
      </c>
      <c r="E513" s="8" t="s">
        <v>223</v>
      </c>
      <c r="F513" s="13" t="s">
        <v>328</v>
      </c>
      <c r="G513" s="46">
        <v>0.2</v>
      </c>
    </row>
    <row r="514" ht="15.75" customHeight="1">
      <c r="A514" s="43">
        <v>46233.0</v>
      </c>
      <c r="B514" s="43">
        <v>46247.0</v>
      </c>
      <c r="C514" s="44" t="s">
        <v>135</v>
      </c>
      <c r="D514" s="6" t="s">
        <v>347</v>
      </c>
      <c r="E514" s="8" t="s">
        <v>223</v>
      </c>
      <c r="F514" s="13" t="s">
        <v>328</v>
      </c>
      <c r="G514" s="46">
        <v>0.2</v>
      </c>
    </row>
    <row r="515" ht="15.75" customHeight="1">
      <c r="A515" s="43">
        <v>46233.0</v>
      </c>
      <c r="B515" s="43">
        <v>46247.0</v>
      </c>
      <c r="C515" s="44" t="s">
        <v>135</v>
      </c>
      <c r="D515" s="6" t="s">
        <v>334</v>
      </c>
      <c r="E515" s="8" t="s">
        <v>223</v>
      </c>
      <c r="F515" s="13" t="s">
        <v>328</v>
      </c>
      <c r="G515" s="46">
        <v>0.2</v>
      </c>
    </row>
    <row r="516" ht="15.75" customHeight="1">
      <c r="A516" s="43">
        <v>46233.0</v>
      </c>
      <c r="B516" s="43">
        <v>46247.0</v>
      </c>
      <c r="C516" s="44" t="s">
        <v>135</v>
      </c>
      <c r="D516" s="6" t="s">
        <v>334</v>
      </c>
      <c r="E516" s="8" t="s">
        <v>223</v>
      </c>
      <c r="F516" s="13" t="s">
        <v>328</v>
      </c>
      <c r="G516" s="46">
        <v>0.2</v>
      </c>
    </row>
    <row r="517" ht="15.75" customHeight="1">
      <c r="A517" s="43">
        <v>46233.0</v>
      </c>
      <c r="B517" s="43">
        <v>46247.0</v>
      </c>
      <c r="C517" s="44" t="s">
        <v>135</v>
      </c>
      <c r="D517" s="6" t="s">
        <v>409</v>
      </c>
      <c r="E517" s="8" t="s">
        <v>338</v>
      </c>
      <c r="F517" s="13" t="s">
        <v>339</v>
      </c>
      <c r="G517" s="46">
        <v>0.2</v>
      </c>
    </row>
    <row r="518" ht="15.75" customHeight="1">
      <c r="A518" s="43">
        <v>46233.0</v>
      </c>
      <c r="B518" s="43">
        <v>46247.0</v>
      </c>
      <c r="C518" s="44" t="s">
        <v>135</v>
      </c>
      <c r="D518" s="6" t="s">
        <v>409</v>
      </c>
      <c r="E518" s="8" t="s">
        <v>338</v>
      </c>
      <c r="F518" s="13" t="s">
        <v>339</v>
      </c>
      <c r="G518" s="46">
        <v>0.2</v>
      </c>
    </row>
    <row r="519" ht="15.75" customHeight="1">
      <c r="A519" s="43">
        <v>46233.0</v>
      </c>
      <c r="B519" s="43">
        <v>46247.0</v>
      </c>
      <c r="C519" s="44" t="s">
        <v>135</v>
      </c>
      <c r="D519" s="6" t="s">
        <v>342</v>
      </c>
      <c r="E519" s="8" t="s">
        <v>128</v>
      </c>
      <c r="F519" s="13" t="s">
        <v>129</v>
      </c>
      <c r="G519" s="46">
        <v>0.2</v>
      </c>
    </row>
    <row r="520" ht="15.75" customHeight="1">
      <c r="A520" s="43">
        <v>46233.0</v>
      </c>
      <c r="B520" s="43">
        <v>46247.0</v>
      </c>
      <c r="C520" s="44" t="s">
        <v>135</v>
      </c>
      <c r="D520" s="6" t="s">
        <v>342</v>
      </c>
      <c r="E520" s="8" t="s">
        <v>128</v>
      </c>
      <c r="F520" s="13" t="s">
        <v>129</v>
      </c>
      <c r="G520" s="46">
        <v>0.2</v>
      </c>
    </row>
    <row r="521" ht="15.75" customHeight="1">
      <c r="A521" s="43">
        <v>46233.0</v>
      </c>
      <c r="B521" s="43">
        <v>46247.0</v>
      </c>
      <c r="C521" s="44" t="s">
        <v>135</v>
      </c>
      <c r="D521" s="6" t="s">
        <v>341</v>
      </c>
      <c r="E521" s="8" t="s">
        <v>128</v>
      </c>
      <c r="F521" s="13" t="s">
        <v>129</v>
      </c>
      <c r="G521" s="46">
        <v>0.2</v>
      </c>
    </row>
    <row r="522" ht="15.75" customHeight="1">
      <c r="A522" s="43">
        <v>46233.0</v>
      </c>
      <c r="B522" s="43">
        <v>46247.0</v>
      </c>
      <c r="C522" s="44" t="s">
        <v>135</v>
      </c>
      <c r="D522" s="6" t="s">
        <v>341</v>
      </c>
      <c r="E522" s="8" t="s">
        <v>128</v>
      </c>
      <c r="F522" s="13" t="s">
        <v>129</v>
      </c>
      <c r="G522" s="46">
        <v>0.2</v>
      </c>
    </row>
    <row r="523" ht="15.75" customHeight="1">
      <c r="A523" s="43">
        <v>46233.0</v>
      </c>
      <c r="B523" s="43">
        <v>46247.0</v>
      </c>
      <c r="C523" s="44" t="s">
        <v>135</v>
      </c>
      <c r="D523" s="6" t="s">
        <v>411</v>
      </c>
      <c r="E523" s="8" t="s">
        <v>325</v>
      </c>
      <c r="F523" s="13" t="s">
        <v>326</v>
      </c>
      <c r="G523" s="46">
        <v>0.2</v>
      </c>
    </row>
    <row r="524" ht="15.75" customHeight="1">
      <c r="A524" s="43">
        <v>46233.0</v>
      </c>
      <c r="B524" s="43">
        <v>46247.0</v>
      </c>
      <c r="C524" s="44" t="s">
        <v>135</v>
      </c>
      <c r="D524" s="6" t="s">
        <v>411</v>
      </c>
      <c r="E524" s="8" t="s">
        <v>325</v>
      </c>
      <c r="F524" s="13" t="s">
        <v>326</v>
      </c>
      <c r="G524" s="46">
        <v>0.2</v>
      </c>
    </row>
    <row r="525" ht="15.75" customHeight="1">
      <c r="A525" s="43">
        <v>46233.0</v>
      </c>
      <c r="B525" s="43">
        <v>46247.0</v>
      </c>
      <c r="C525" s="44" t="s">
        <v>135</v>
      </c>
      <c r="D525" s="6" t="s">
        <v>350</v>
      </c>
      <c r="E525" s="8" t="s">
        <v>325</v>
      </c>
      <c r="F525" s="13" t="s">
        <v>326</v>
      </c>
      <c r="G525" s="46">
        <v>0.2</v>
      </c>
    </row>
    <row r="526" ht="15.75" customHeight="1">
      <c r="A526" s="43">
        <v>46233.0</v>
      </c>
      <c r="B526" s="43">
        <v>46247.0</v>
      </c>
      <c r="C526" s="44" t="s">
        <v>135</v>
      </c>
      <c r="D526" s="6" t="s">
        <v>350</v>
      </c>
      <c r="E526" s="8" t="s">
        <v>325</v>
      </c>
      <c r="F526" s="13" t="s">
        <v>326</v>
      </c>
      <c r="G526" s="46">
        <v>0.2</v>
      </c>
    </row>
    <row r="527" ht="15.75" customHeight="1">
      <c r="A527" s="43">
        <v>46233.0</v>
      </c>
      <c r="B527" s="43">
        <v>46247.0</v>
      </c>
      <c r="C527" s="44" t="s">
        <v>135</v>
      </c>
      <c r="D527" s="6" t="s">
        <v>348</v>
      </c>
      <c r="E527" s="8" t="s">
        <v>223</v>
      </c>
      <c r="F527" s="13" t="s">
        <v>328</v>
      </c>
      <c r="G527" s="46">
        <v>0.2</v>
      </c>
    </row>
    <row r="528" ht="15.75" customHeight="1">
      <c r="A528" s="43">
        <v>46233.0</v>
      </c>
      <c r="B528" s="43">
        <v>46247.0</v>
      </c>
      <c r="C528" s="44" t="s">
        <v>135</v>
      </c>
      <c r="D528" s="6" t="s">
        <v>348</v>
      </c>
      <c r="E528" s="8" t="s">
        <v>223</v>
      </c>
      <c r="F528" s="13" t="s">
        <v>328</v>
      </c>
      <c r="G528" s="46">
        <v>0.2</v>
      </c>
    </row>
    <row r="529" ht="15.75" customHeight="1">
      <c r="A529" s="43">
        <v>46233.0</v>
      </c>
      <c r="B529" s="43">
        <v>46247.0</v>
      </c>
      <c r="C529" s="44" t="s">
        <v>135</v>
      </c>
      <c r="D529" s="6" t="s">
        <v>414</v>
      </c>
      <c r="E529" s="8" t="s">
        <v>128</v>
      </c>
      <c r="F529" s="13" t="s">
        <v>129</v>
      </c>
      <c r="G529" s="46">
        <v>0.2</v>
      </c>
    </row>
    <row r="530" ht="15.75" customHeight="1">
      <c r="A530" s="43">
        <v>46233.0</v>
      </c>
      <c r="B530" s="43">
        <v>46247.0</v>
      </c>
      <c r="C530" s="44" t="s">
        <v>135</v>
      </c>
      <c r="D530" s="6" t="s">
        <v>414</v>
      </c>
      <c r="E530" s="8" t="s">
        <v>128</v>
      </c>
      <c r="F530" s="13" t="s">
        <v>129</v>
      </c>
      <c r="G530" s="46">
        <v>0.2</v>
      </c>
    </row>
    <row r="531" ht="15.75" customHeight="1">
      <c r="A531" s="43">
        <v>46233.0</v>
      </c>
      <c r="B531" s="43">
        <v>46247.0</v>
      </c>
      <c r="C531" s="44" t="s">
        <v>135</v>
      </c>
      <c r="D531" s="6" t="s">
        <v>329</v>
      </c>
      <c r="E531" s="8" t="s">
        <v>128</v>
      </c>
      <c r="F531" s="13" t="s">
        <v>129</v>
      </c>
      <c r="G531" s="46">
        <v>0.2</v>
      </c>
    </row>
    <row r="532" ht="15.75" customHeight="1">
      <c r="A532" s="43">
        <v>46233.0</v>
      </c>
      <c r="B532" s="43">
        <v>46247.0</v>
      </c>
      <c r="C532" s="44" t="s">
        <v>135</v>
      </c>
      <c r="D532" s="6" t="s">
        <v>329</v>
      </c>
      <c r="E532" s="8" t="s">
        <v>128</v>
      </c>
      <c r="F532" s="13" t="s">
        <v>129</v>
      </c>
      <c r="G532" s="46">
        <v>0.2</v>
      </c>
    </row>
    <row r="533" ht="15.75" customHeight="1">
      <c r="A533" s="43">
        <v>46233.0</v>
      </c>
      <c r="B533" s="43">
        <v>46247.0</v>
      </c>
      <c r="C533" s="44" t="s">
        <v>135</v>
      </c>
      <c r="D533" s="6" t="s">
        <v>418</v>
      </c>
      <c r="E533" s="8" t="s">
        <v>128</v>
      </c>
      <c r="F533" s="13" t="s">
        <v>129</v>
      </c>
      <c r="G533" s="46">
        <v>0.2</v>
      </c>
    </row>
    <row r="534" ht="15.75" customHeight="1">
      <c r="A534" s="43">
        <v>46233.0</v>
      </c>
      <c r="B534" s="43">
        <v>46247.0</v>
      </c>
      <c r="C534" s="44" t="s">
        <v>135</v>
      </c>
      <c r="D534" s="6" t="s">
        <v>418</v>
      </c>
      <c r="E534" s="8" t="s">
        <v>128</v>
      </c>
      <c r="F534" s="13" t="s">
        <v>129</v>
      </c>
      <c r="G534" s="46">
        <v>0.2</v>
      </c>
    </row>
    <row r="535" ht="15.75" customHeight="1">
      <c r="A535" s="43">
        <v>46233.0</v>
      </c>
      <c r="B535" s="43">
        <v>46247.0</v>
      </c>
      <c r="C535" s="44" t="s">
        <v>135</v>
      </c>
      <c r="D535" s="6" t="s">
        <v>336</v>
      </c>
      <c r="E535" s="8" t="s">
        <v>223</v>
      </c>
      <c r="F535" s="13" t="s">
        <v>328</v>
      </c>
      <c r="G535" s="46">
        <v>0.2</v>
      </c>
    </row>
    <row r="536" ht="15.75" customHeight="1">
      <c r="A536" s="43">
        <v>46233.0</v>
      </c>
      <c r="B536" s="43">
        <v>46247.0</v>
      </c>
      <c r="C536" s="44" t="s">
        <v>135</v>
      </c>
      <c r="D536" s="6" t="s">
        <v>336</v>
      </c>
      <c r="E536" s="8" t="s">
        <v>223</v>
      </c>
      <c r="F536" s="13" t="s">
        <v>328</v>
      </c>
      <c r="G536" s="46">
        <v>0.2</v>
      </c>
    </row>
    <row r="537" ht="15.75" customHeight="1">
      <c r="A537" s="43">
        <v>46238.0</v>
      </c>
      <c r="B537" s="43">
        <v>46244.0</v>
      </c>
      <c r="C537" s="44" t="s">
        <v>92</v>
      </c>
      <c r="D537" s="6" t="s">
        <v>17</v>
      </c>
      <c r="E537" s="8" t="s">
        <v>95</v>
      </c>
      <c r="F537" s="13" t="s">
        <v>137</v>
      </c>
      <c r="G537" s="46">
        <v>0.6</v>
      </c>
    </row>
    <row r="538" ht="15.75" customHeight="1">
      <c r="A538" s="43">
        <v>46238.0</v>
      </c>
      <c r="B538" s="43">
        <v>46244.0</v>
      </c>
      <c r="C538" s="44" t="s">
        <v>92</v>
      </c>
      <c r="D538" s="6" t="s">
        <v>17</v>
      </c>
      <c r="E538" s="8" t="s">
        <v>88</v>
      </c>
      <c r="F538" s="13" t="s">
        <v>280</v>
      </c>
      <c r="G538" s="46">
        <v>0.6</v>
      </c>
    </row>
    <row r="539" ht="15.75" customHeight="1">
      <c r="A539" s="43">
        <v>46254.0</v>
      </c>
      <c r="B539" s="43">
        <v>46268.0</v>
      </c>
      <c r="C539" s="44" t="s">
        <v>412</v>
      </c>
      <c r="D539" s="6" t="s">
        <v>195</v>
      </c>
      <c r="E539" s="8" t="s">
        <v>196</v>
      </c>
      <c r="F539" s="13" t="s">
        <v>286</v>
      </c>
      <c r="G539" s="46">
        <v>0.4</v>
      </c>
    </row>
    <row r="540" ht="15.75" customHeight="1">
      <c r="A540" s="43">
        <v>46254.0</v>
      </c>
      <c r="B540" s="43">
        <v>46268.0</v>
      </c>
      <c r="C540" s="44" t="s">
        <v>412</v>
      </c>
      <c r="D540" s="6" t="s">
        <v>195</v>
      </c>
      <c r="E540" s="8" t="s">
        <v>196</v>
      </c>
      <c r="F540" s="13" t="s">
        <v>286</v>
      </c>
      <c r="G540" s="46">
        <v>0.4</v>
      </c>
    </row>
    <row r="541" ht="15.75" customHeight="1">
      <c r="A541" s="43">
        <v>46254.0</v>
      </c>
      <c r="B541" s="43">
        <v>46268.0</v>
      </c>
      <c r="C541" s="44" t="s">
        <v>412</v>
      </c>
      <c r="D541" s="6" t="s">
        <v>296</v>
      </c>
      <c r="E541" s="8" t="s">
        <v>196</v>
      </c>
      <c r="F541" s="13" t="s">
        <v>198</v>
      </c>
      <c r="G541" s="46">
        <v>0.35</v>
      </c>
    </row>
    <row r="542" ht="15.75" customHeight="1">
      <c r="A542" s="43">
        <v>46254.0</v>
      </c>
      <c r="B542" s="43">
        <v>46268.0</v>
      </c>
      <c r="C542" s="44" t="s">
        <v>412</v>
      </c>
      <c r="D542" s="6" t="s">
        <v>296</v>
      </c>
      <c r="E542" s="8" t="s">
        <v>196</v>
      </c>
      <c r="F542" s="13" t="s">
        <v>198</v>
      </c>
      <c r="G542" s="46">
        <v>0.35</v>
      </c>
    </row>
    <row r="543" ht="15.75" customHeight="1">
      <c r="A543" s="43">
        <v>46254.0</v>
      </c>
      <c r="B543" s="43">
        <v>46268.0</v>
      </c>
      <c r="C543" s="44" t="s">
        <v>412</v>
      </c>
      <c r="D543" s="6" t="s">
        <v>221</v>
      </c>
      <c r="E543" s="8" t="s">
        <v>196</v>
      </c>
      <c r="F543" s="13" t="s">
        <v>198</v>
      </c>
      <c r="G543" s="46">
        <v>0.35</v>
      </c>
    </row>
    <row r="544" ht="15.75" customHeight="1">
      <c r="A544" s="43">
        <v>46254.0</v>
      </c>
      <c r="B544" s="43">
        <v>46268.0</v>
      </c>
      <c r="C544" s="44" t="s">
        <v>412</v>
      </c>
      <c r="D544" s="6" t="s">
        <v>221</v>
      </c>
      <c r="E544" s="8" t="s">
        <v>196</v>
      </c>
      <c r="F544" s="13" t="s">
        <v>198</v>
      </c>
      <c r="G544" s="46">
        <v>0.35</v>
      </c>
    </row>
    <row r="545" ht="15.75" customHeight="1">
      <c r="A545" s="43">
        <v>46254.0</v>
      </c>
      <c r="B545" s="43">
        <v>46268.0</v>
      </c>
      <c r="C545" s="44" t="s">
        <v>412</v>
      </c>
      <c r="D545" s="6" t="s">
        <v>224</v>
      </c>
      <c r="E545" s="8" t="s">
        <v>131</v>
      </c>
      <c r="F545" s="13" t="s">
        <v>207</v>
      </c>
      <c r="G545" s="46">
        <v>0.35</v>
      </c>
    </row>
    <row r="546" ht="15.75" customHeight="1">
      <c r="A546" s="43">
        <v>46254.0</v>
      </c>
      <c r="B546" s="43">
        <v>46268.0</v>
      </c>
      <c r="C546" s="44" t="s">
        <v>412</v>
      </c>
      <c r="D546" s="6" t="s">
        <v>224</v>
      </c>
      <c r="E546" s="8" t="s">
        <v>240</v>
      </c>
      <c r="F546" s="13" t="s">
        <v>303</v>
      </c>
      <c r="G546" s="46">
        <v>0.35</v>
      </c>
    </row>
    <row r="547" ht="15.75" customHeight="1">
      <c r="A547" s="43">
        <v>46254.0</v>
      </c>
      <c r="B547" s="43">
        <v>46268.0</v>
      </c>
      <c r="C547" s="44" t="s">
        <v>412</v>
      </c>
      <c r="D547" s="6" t="s">
        <v>226</v>
      </c>
      <c r="E547" s="8" t="s">
        <v>196</v>
      </c>
      <c r="F547" s="13" t="s">
        <v>198</v>
      </c>
      <c r="G547" s="46">
        <v>0.35</v>
      </c>
    </row>
    <row r="548" ht="15.75" customHeight="1">
      <c r="A548" s="43">
        <v>46254.0</v>
      </c>
      <c r="B548" s="43">
        <v>46268.0</v>
      </c>
      <c r="C548" s="44" t="s">
        <v>412</v>
      </c>
      <c r="D548" s="6" t="s">
        <v>226</v>
      </c>
      <c r="E548" s="8" t="s">
        <v>196</v>
      </c>
      <c r="F548" s="13" t="s">
        <v>198</v>
      </c>
      <c r="G548" s="46">
        <v>0.35</v>
      </c>
    </row>
    <row r="549" ht="15.75" customHeight="1">
      <c r="A549" s="43">
        <v>46254.0</v>
      </c>
      <c r="B549" s="43">
        <v>46268.0</v>
      </c>
      <c r="C549" s="44" t="s">
        <v>412</v>
      </c>
      <c r="D549" s="6" t="s">
        <v>229</v>
      </c>
      <c r="E549" s="8" t="s">
        <v>196</v>
      </c>
      <c r="F549" s="13" t="s">
        <v>198</v>
      </c>
      <c r="G549" s="46">
        <v>0.35</v>
      </c>
    </row>
    <row r="550" ht="15.75" customHeight="1">
      <c r="A550" s="43">
        <v>46254.0</v>
      </c>
      <c r="B550" s="43">
        <v>46268.0</v>
      </c>
      <c r="C550" s="44" t="s">
        <v>412</v>
      </c>
      <c r="D550" s="6" t="s">
        <v>229</v>
      </c>
      <c r="E550" s="8" t="s">
        <v>196</v>
      </c>
      <c r="F550" s="13" t="s">
        <v>198</v>
      </c>
      <c r="G550" s="46">
        <v>0.35</v>
      </c>
    </row>
    <row r="551" ht="15.75" customHeight="1">
      <c r="A551" s="43">
        <v>46254.0</v>
      </c>
      <c r="B551" s="43">
        <v>46268.0</v>
      </c>
      <c r="C551" s="44" t="s">
        <v>412</v>
      </c>
      <c r="D551" s="6" t="s">
        <v>375</v>
      </c>
      <c r="E551" s="8" t="s">
        <v>196</v>
      </c>
      <c r="F551" s="13" t="s">
        <v>228</v>
      </c>
      <c r="G551" s="46">
        <v>0.3</v>
      </c>
    </row>
    <row r="552" ht="15.75" customHeight="1">
      <c r="A552" s="43">
        <v>46254.0</v>
      </c>
      <c r="B552" s="43">
        <v>46268.0</v>
      </c>
      <c r="C552" s="44" t="s">
        <v>412</v>
      </c>
      <c r="D552" s="6" t="s">
        <v>375</v>
      </c>
      <c r="E552" s="8" t="s">
        <v>196</v>
      </c>
      <c r="F552" s="13" t="s">
        <v>228</v>
      </c>
      <c r="G552" s="46">
        <v>0.3</v>
      </c>
    </row>
    <row r="553" ht="15.75" customHeight="1">
      <c r="A553" s="43">
        <v>46254.0</v>
      </c>
      <c r="B553" s="43">
        <v>46268.0</v>
      </c>
      <c r="C553" s="44" t="s">
        <v>412</v>
      </c>
      <c r="D553" s="6" t="s">
        <v>376</v>
      </c>
      <c r="E553" s="8" t="s">
        <v>131</v>
      </c>
      <c r="F553" s="13" t="s">
        <v>367</v>
      </c>
      <c r="G553" s="46">
        <v>0.25</v>
      </c>
    </row>
    <row r="554" ht="15.75" customHeight="1">
      <c r="A554" s="43">
        <v>46254.0</v>
      </c>
      <c r="B554" s="43">
        <v>46268.0</v>
      </c>
      <c r="C554" s="44" t="s">
        <v>412</v>
      </c>
      <c r="D554" s="6" t="s">
        <v>376</v>
      </c>
      <c r="E554" s="8" t="s">
        <v>131</v>
      </c>
      <c r="F554" s="13" t="s">
        <v>367</v>
      </c>
      <c r="G554" s="46">
        <v>0.25</v>
      </c>
    </row>
    <row r="555" ht="15.75" customHeight="1">
      <c r="A555" s="43">
        <v>46254.0</v>
      </c>
      <c r="B555" s="43">
        <v>46268.0</v>
      </c>
      <c r="C555" s="44" t="s">
        <v>412</v>
      </c>
      <c r="D555" s="6" t="s">
        <v>403</v>
      </c>
      <c r="E555" s="8" t="s">
        <v>196</v>
      </c>
      <c r="F555" s="13" t="s">
        <v>242</v>
      </c>
      <c r="G555" s="46">
        <v>0.2</v>
      </c>
    </row>
    <row r="556" ht="15.75" customHeight="1">
      <c r="A556" s="43">
        <v>46254.0</v>
      </c>
      <c r="B556" s="43">
        <v>46268.0</v>
      </c>
      <c r="C556" s="44" t="s">
        <v>412</v>
      </c>
      <c r="D556" s="6" t="s">
        <v>404</v>
      </c>
      <c r="E556" s="8" t="s">
        <v>196</v>
      </c>
      <c r="F556" s="13" t="s">
        <v>242</v>
      </c>
      <c r="G556" s="46">
        <v>0.2</v>
      </c>
    </row>
    <row r="557" ht="15.75" customHeight="1">
      <c r="A557" s="43">
        <v>46254.0</v>
      </c>
      <c r="B557" s="43">
        <v>46268.0</v>
      </c>
      <c r="C557" s="44" t="s">
        <v>412</v>
      </c>
      <c r="D557" s="6" t="s">
        <v>201</v>
      </c>
      <c r="E557" s="8" t="s">
        <v>196</v>
      </c>
      <c r="F557" s="13" t="s">
        <v>286</v>
      </c>
      <c r="G557" s="46">
        <v>0.4</v>
      </c>
    </row>
    <row r="558" ht="15.75" customHeight="1">
      <c r="A558" s="43">
        <v>46254.0</v>
      </c>
      <c r="B558" s="43">
        <v>46268.0</v>
      </c>
      <c r="C558" s="44" t="s">
        <v>412</v>
      </c>
      <c r="D558" s="6" t="s">
        <v>201</v>
      </c>
      <c r="E558" s="8" t="s">
        <v>196</v>
      </c>
      <c r="F558" s="13" t="s">
        <v>286</v>
      </c>
      <c r="G558" s="46">
        <v>0.4</v>
      </c>
    </row>
    <row r="559" ht="15.75" customHeight="1">
      <c r="A559" s="43">
        <v>46254.0</v>
      </c>
      <c r="B559" s="43">
        <v>46268.0</v>
      </c>
      <c r="C559" s="44" t="s">
        <v>412</v>
      </c>
      <c r="D559" s="6" t="s">
        <v>203</v>
      </c>
      <c r="E559" s="8" t="s">
        <v>196</v>
      </c>
      <c r="F559" s="13" t="s">
        <v>286</v>
      </c>
      <c r="G559" s="46">
        <v>0.4</v>
      </c>
    </row>
    <row r="560" ht="15.75" customHeight="1">
      <c r="A560" s="43">
        <v>46254.0</v>
      </c>
      <c r="B560" s="43">
        <v>46268.0</v>
      </c>
      <c r="C560" s="44" t="s">
        <v>412</v>
      </c>
      <c r="D560" s="6" t="s">
        <v>203</v>
      </c>
      <c r="E560" s="8" t="s">
        <v>196</v>
      </c>
      <c r="F560" s="13" t="s">
        <v>286</v>
      </c>
      <c r="G560" s="46">
        <v>0.4</v>
      </c>
    </row>
    <row r="561" ht="15.75" customHeight="1">
      <c r="A561" s="43">
        <v>46254.0</v>
      </c>
      <c r="B561" s="43">
        <v>46268.0</v>
      </c>
      <c r="C561" s="44" t="s">
        <v>412</v>
      </c>
      <c r="D561" s="6" t="s">
        <v>205</v>
      </c>
      <c r="E561" s="8" t="s">
        <v>131</v>
      </c>
      <c r="F561" s="13" t="s">
        <v>288</v>
      </c>
      <c r="G561" s="46">
        <v>0.4</v>
      </c>
    </row>
    <row r="562" ht="15.75" customHeight="1">
      <c r="A562" s="43">
        <v>46254.0</v>
      </c>
      <c r="B562" s="43">
        <v>46268.0</v>
      </c>
      <c r="C562" s="44" t="s">
        <v>412</v>
      </c>
      <c r="D562" s="6" t="s">
        <v>205</v>
      </c>
      <c r="E562" s="8" t="s">
        <v>131</v>
      </c>
      <c r="F562" s="13" t="s">
        <v>288</v>
      </c>
      <c r="G562" s="46">
        <v>0.4</v>
      </c>
    </row>
    <row r="563" ht="15.75" customHeight="1">
      <c r="A563" s="43">
        <v>46254.0</v>
      </c>
      <c r="B563" s="43">
        <v>46268.0</v>
      </c>
      <c r="C563" s="44" t="s">
        <v>412</v>
      </c>
      <c r="D563" s="6" t="s">
        <v>209</v>
      </c>
      <c r="E563" s="8" t="s">
        <v>196</v>
      </c>
      <c r="F563" s="13" t="s">
        <v>198</v>
      </c>
      <c r="G563" s="46">
        <v>0.35</v>
      </c>
    </row>
    <row r="564" ht="15.75" customHeight="1">
      <c r="A564" s="43">
        <v>46254.0</v>
      </c>
      <c r="B564" s="43">
        <v>46268.0</v>
      </c>
      <c r="C564" s="44" t="s">
        <v>412</v>
      </c>
      <c r="D564" s="6" t="s">
        <v>209</v>
      </c>
      <c r="E564" s="8" t="s">
        <v>196</v>
      </c>
      <c r="F564" s="13" t="s">
        <v>198</v>
      </c>
      <c r="G564" s="46">
        <v>0.35</v>
      </c>
    </row>
    <row r="565" ht="15.75" customHeight="1">
      <c r="A565" s="43">
        <v>46254.0</v>
      </c>
      <c r="B565" s="43">
        <v>46268.0</v>
      </c>
      <c r="C565" s="44" t="s">
        <v>412</v>
      </c>
      <c r="D565" s="6" t="s">
        <v>291</v>
      </c>
      <c r="E565" s="8" t="s">
        <v>196</v>
      </c>
      <c r="F565" s="13" t="s">
        <v>198</v>
      </c>
      <c r="G565" s="46">
        <v>0.35</v>
      </c>
    </row>
    <row r="566" ht="15.75" customHeight="1">
      <c r="A566" s="43">
        <v>46254.0</v>
      </c>
      <c r="B566" s="43">
        <v>46268.0</v>
      </c>
      <c r="C566" s="44" t="s">
        <v>412</v>
      </c>
      <c r="D566" s="6" t="s">
        <v>291</v>
      </c>
      <c r="E566" s="8" t="s">
        <v>196</v>
      </c>
      <c r="F566" s="13" t="s">
        <v>198</v>
      </c>
      <c r="G566" s="46">
        <v>0.35</v>
      </c>
    </row>
    <row r="567" ht="15.75" customHeight="1">
      <c r="A567" s="43">
        <v>46254.0</v>
      </c>
      <c r="B567" s="43">
        <v>46268.0</v>
      </c>
      <c r="C567" s="44" t="s">
        <v>412</v>
      </c>
      <c r="D567" s="6" t="s">
        <v>292</v>
      </c>
      <c r="E567" s="8" t="s">
        <v>196</v>
      </c>
      <c r="F567" s="13" t="s">
        <v>198</v>
      </c>
      <c r="G567" s="46">
        <v>0.35</v>
      </c>
    </row>
    <row r="568" ht="15.75" customHeight="1">
      <c r="A568" s="43">
        <v>46254.0</v>
      </c>
      <c r="B568" s="43">
        <v>46268.0</v>
      </c>
      <c r="C568" s="44" t="s">
        <v>412</v>
      </c>
      <c r="D568" s="6" t="s">
        <v>292</v>
      </c>
      <c r="E568" s="8" t="s">
        <v>196</v>
      </c>
      <c r="F568" s="13" t="s">
        <v>198</v>
      </c>
      <c r="G568" s="46">
        <v>0.35</v>
      </c>
    </row>
    <row r="569" ht="15.75" customHeight="1">
      <c r="A569" s="43">
        <v>46254.0</v>
      </c>
      <c r="B569" s="43">
        <v>46268.0</v>
      </c>
      <c r="C569" s="44" t="s">
        <v>412</v>
      </c>
      <c r="D569" s="6" t="s">
        <v>293</v>
      </c>
      <c r="E569" s="8" t="s">
        <v>196</v>
      </c>
      <c r="F569" s="13" t="s">
        <v>198</v>
      </c>
      <c r="G569" s="46">
        <v>0.35</v>
      </c>
    </row>
    <row r="570" ht="15.75" customHeight="1">
      <c r="A570" s="43">
        <v>46254.0</v>
      </c>
      <c r="B570" s="43">
        <v>46268.0</v>
      </c>
      <c r="C570" s="44" t="s">
        <v>412</v>
      </c>
      <c r="D570" s="6" t="s">
        <v>293</v>
      </c>
      <c r="E570" s="8" t="s">
        <v>196</v>
      </c>
      <c r="F570" s="13" t="s">
        <v>198</v>
      </c>
      <c r="G570" s="46">
        <v>0.35</v>
      </c>
    </row>
    <row r="571" ht="15.75" customHeight="1">
      <c r="A571" s="43">
        <v>46254.0</v>
      </c>
      <c r="B571" s="43">
        <v>46268.0</v>
      </c>
      <c r="C571" s="44" t="s">
        <v>412</v>
      </c>
      <c r="D571" s="6" t="s">
        <v>295</v>
      </c>
      <c r="E571" s="8" t="s">
        <v>196</v>
      </c>
      <c r="F571" s="13" t="s">
        <v>198</v>
      </c>
      <c r="G571" s="46">
        <v>0.35</v>
      </c>
    </row>
    <row r="572" ht="15.75" customHeight="1">
      <c r="A572" s="43">
        <v>46254.0</v>
      </c>
      <c r="B572" s="43">
        <v>46268.0</v>
      </c>
      <c r="C572" s="44" t="s">
        <v>412</v>
      </c>
      <c r="D572" s="6" t="s">
        <v>295</v>
      </c>
      <c r="E572" s="8" t="s">
        <v>196</v>
      </c>
      <c r="F572" s="13" t="s">
        <v>198</v>
      </c>
      <c r="G572" s="46">
        <v>0.35</v>
      </c>
    </row>
    <row r="573" ht="15.75" customHeight="1">
      <c r="A573" s="43">
        <v>46259.0</v>
      </c>
      <c r="B573" s="43">
        <v>46266.0</v>
      </c>
      <c r="C573" s="44" t="s">
        <v>290</v>
      </c>
      <c r="D573" s="6" t="s">
        <v>312</v>
      </c>
      <c r="E573" s="8" t="s">
        <v>188</v>
      </c>
      <c r="F573" s="13" t="s">
        <v>189</v>
      </c>
      <c r="G573" s="46">
        <v>0.4</v>
      </c>
    </row>
    <row r="574" ht="15.75" customHeight="1">
      <c r="A574" s="43">
        <v>46259.0</v>
      </c>
      <c r="B574" s="43">
        <v>46266.0</v>
      </c>
      <c r="C574" s="44" t="s">
        <v>290</v>
      </c>
      <c r="D574" s="6" t="s">
        <v>312</v>
      </c>
      <c r="E574" s="8" t="s">
        <v>284</v>
      </c>
      <c r="F574" s="13" t="s">
        <v>314</v>
      </c>
      <c r="G574" s="46">
        <v>0.35</v>
      </c>
    </row>
    <row r="575" ht="15.75" customHeight="1">
      <c r="A575" s="43">
        <v>46268.0</v>
      </c>
      <c r="B575" s="43">
        <v>46275.0</v>
      </c>
      <c r="C575" s="44" t="s">
        <v>294</v>
      </c>
      <c r="D575" s="6" t="s">
        <v>268</v>
      </c>
      <c r="E575" s="8" t="s">
        <v>269</v>
      </c>
      <c r="F575" s="13" t="s">
        <v>132</v>
      </c>
      <c r="G575" s="46">
        <v>0.25</v>
      </c>
    </row>
    <row r="576" ht="15.75" customHeight="1">
      <c r="A576" s="43">
        <v>46268.0</v>
      </c>
      <c r="B576" s="43">
        <v>46275.0</v>
      </c>
      <c r="C576" s="44" t="s">
        <v>294</v>
      </c>
      <c r="D576" s="6" t="s">
        <v>268</v>
      </c>
      <c r="E576" s="8" t="s">
        <v>269</v>
      </c>
      <c r="F576" s="13" t="s">
        <v>132</v>
      </c>
      <c r="G576" s="46">
        <v>0.25</v>
      </c>
    </row>
    <row r="577" ht="15.75" customHeight="1">
      <c r="A577" s="43">
        <v>46268.0</v>
      </c>
      <c r="B577" s="43">
        <v>46275.0</v>
      </c>
      <c r="C577" s="44" t="s">
        <v>294</v>
      </c>
      <c r="D577" s="6" t="s">
        <v>275</v>
      </c>
      <c r="E577" s="8" t="s">
        <v>183</v>
      </c>
      <c r="F577" s="13" t="s">
        <v>269</v>
      </c>
      <c r="G577" s="46">
        <v>0.2</v>
      </c>
    </row>
    <row r="578" ht="15.75" customHeight="1">
      <c r="A578" s="43">
        <v>46268.0</v>
      </c>
      <c r="B578" s="43">
        <v>46275.0</v>
      </c>
      <c r="C578" s="44" t="s">
        <v>294</v>
      </c>
      <c r="D578" s="6" t="s">
        <v>275</v>
      </c>
      <c r="E578" s="8" t="s">
        <v>183</v>
      </c>
      <c r="F578" s="13" t="s">
        <v>269</v>
      </c>
      <c r="G578" s="46">
        <v>0.2</v>
      </c>
    </row>
    <row r="579" ht="15.75" customHeight="1">
      <c r="A579" s="43">
        <v>46275.0</v>
      </c>
      <c r="B579" s="43">
        <v>46289.0</v>
      </c>
      <c r="C579" s="44" t="s">
        <v>98</v>
      </c>
      <c r="D579" s="6" t="s">
        <v>24</v>
      </c>
      <c r="E579" s="8" t="s">
        <v>88</v>
      </c>
      <c r="F579" s="13" t="s">
        <v>280</v>
      </c>
      <c r="G579" s="46">
        <v>0.6</v>
      </c>
    </row>
    <row r="580" ht="15.75" customHeight="1">
      <c r="A580" s="43">
        <v>46275.0</v>
      </c>
      <c r="B580" s="43">
        <v>46289.0</v>
      </c>
      <c r="C580" s="44" t="s">
        <v>98</v>
      </c>
      <c r="D580" s="6" t="s">
        <v>24</v>
      </c>
      <c r="E580" s="8" t="s">
        <v>89</v>
      </c>
      <c r="F580" s="13" t="s">
        <v>240</v>
      </c>
      <c r="G580" s="46">
        <v>0.6</v>
      </c>
    </row>
    <row r="581" ht="15.75" customHeight="1">
      <c r="A581" s="43">
        <v>46275.0</v>
      </c>
      <c r="B581" s="43">
        <v>46289.0</v>
      </c>
      <c r="C581" s="44" t="s">
        <v>98</v>
      </c>
      <c r="D581" s="6" t="s">
        <v>17</v>
      </c>
      <c r="E581" s="8" t="s">
        <v>95</v>
      </c>
      <c r="F581" s="13" t="s">
        <v>137</v>
      </c>
      <c r="G581" s="46">
        <v>0.6</v>
      </c>
    </row>
    <row r="582" ht="15.75" customHeight="1">
      <c r="A582" s="43">
        <v>46275.0</v>
      </c>
      <c r="B582" s="43">
        <v>46289.0</v>
      </c>
      <c r="C582" s="44" t="s">
        <v>98</v>
      </c>
      <c r="D582" s="6" t="s">
        <v>17</v>
      </c>
      <c r="E582" s="8" t="s">
        <v>88</v>
      </c>
      <c r="F582" s="13" t="s">
        <v>280</v>
      </c>
      <c r="G582" s="46">
        <v>0.6</v>
      </c>
    </row>
    <row r="583" ht="15.75" customHeight="1">
      <c r="A583" s="43">
        <v>46280.0</v>
      </c>
      <c r="B583" s="43">
        <v>46286.0</v>
      </c>
      <c r="C583" s="44" t="s">
        <v>191</v>
      </c>
      <c r="D583" s="6" t="s">
        <v>18</v>
      </c>
      <c r="E583" s="8" t="s">
        <v>244</v>
      </c>
      <c r="F583" s="13" t="s">
        <v>250</v>
      </c>
      <c r="G583" s="46">
        <v>0.33</v>
      </c>
    </row>
    <row r="584" ht="15.75" customHeight="1">
      <c r="A584" s="43">
        <v>46280.0</v>
      </c>
      <c r="B584" s="43">
        <v>46286.0</v>
      </c>
      <c r="C584" s="44" t="s">
        <v>191</v>
      </c>
      <c r="D584" s="6" t="s">
        <v>18</v>
      </c>
      <c r="E584" s="8" t="s">
        <v>244</v>
      </c>
      <c r="F584" s="13" t="s">
        <v>254</v>
      </c>
      <c r="G584" s="46">
        <v>0.3</v>
      </c>
    </row>
    <row r="585" ht="15.75" customHeight="1">
      <c r="A585" s="43">
        <v>46280.0</v>
      </c>
      <c r="B585" s="43">
        <v>46286.0</v>
      </c>
      <c r="C585" s="44" t="s">
        <v>191</v>
      </c>
      <c r="D585" s="6" t="s">
        <v>32</v>
      </c>
      <c r="E585" s="8" t="s">
        <v>244</v>
      </c>
      <c r="F585" s="13" t="s">
        <v>250</v>
      </c>
      <c r="G585" s="46">
        <v>0.33</v>
      </c>
    </row>
    <row r="586" ht="15.75" customHeight="1">
      <c r="A586" s="43">
        <v>46280.0</v>
      </c>
      <c r="B586" s="43">
        <v>46286.0</v>
      </c>
      <c r="C586" s="44" t="s">
        <v>191</v>
      </c>
      <c r="D586" s="6" t="s">
        <v>32</v>
      </c>
      <c r="E586" s="8" t="s">
        <v>244</v>
      </c>
      <c r="F586" s="13" t="s">
        <v>254</v>
      </c>
      <c r="G586" s="46">
        <v>0.3</v>
      </c>
    </row>
    <row r="587" ht="15.75" customHeight="1">
      <c r="A587" s="43">
        <v>46280.0</v>
      </c>
      <c r="B587" s="43">
        <v>46286.0</v>
      </c>
      <c r="C587" s="44" t="s">
        <v>191</v>
      </c>
      <c r="D587" s="6" t="s">
        <v>34</v>
      </c>
      <c r="E587" s="8" t="s">
        <v>244</v>
      </c>
      <c r="F587" s="13" t="s">
        <v>250</v>
      </c>
      <c r="G587" s="46">
        <v>0.33</v>
      </c>
    </row>
    <row r="588" ht="15.75" customHeight="1">
      <c r="A588" s="43">
        <v>46280.0</v>
      </c>
      <c r="B588" s="43">
        <v>46286.0</v>
      </c>
      <c r="C588" s="44" t="s">
        <v>191</v>
      </c>
      <c r="D588" s="6" t="s">
        <v>34</v>
      </c>
      <c r="E588" s="8" t="s">
        <v>244</v>
      </c>
      <c r="F588" s="13" t="s">
        <v>254</v>
      </c>
      <c r="G588" s="46">
        <v>0.3</v>
      </c>
    </row>
    <row r="589" ht="15.75" customHeight="1">
      <c r="A589" s="43">
        <v>46280.0</v>
      </c>
      <c r="B589" s="43">
        <v>46286.0</v>
      </c>
      <c r="C589" s="44" t="s">
        <v>191</v>
      </c>
      <c r="D589" s="6" t="s">
        <v>307</v>
      </c>
      <c r="E589" s="8" t="s">
        <v>244</v>
      </c>
      <c r="F589" s="13" t="s">
        <v>254</v>
      </c>
      <c r="G589" s="46">
        <v>0.3</v>
      </c>
    </row>
    <row r="590" ht="15.75" customHeight="1">
      <c r="A590" s="43">
        <v>46280.0</v>
      </c>
      <c r="B590" s="43">
        <v>46286.0</v>
      </c>
      <c r="C590" s="44" t="s">
        <v>191</v>
      </c>
      <c r="D590" s="6" t="s">
        <v>307</v>
      </c>
      <c r="E590" s="8" t="s">
        <v>244</v>
      </c>
      <c r="F590" s="13" t="s">
        <v>254</v>
      </c>
      <c r="G590" s="46">
        <v>0.3</v>
      </c>
    </row>
    <row r="591" ht="15.75" customHeight="1">
      <c r="A591" s="43">
        <v>46280.0</v>
      </c>
      <c r="B591" s="43">
        <v>46286.0</v>
      </c>
      <c r="C591" s="44" t="s">
        <v>191</v>
      </c>
      <c r="D591" s="6" t="s">
        <v>428</v>
      </c>
      <c r="E591" s="8" t="s">
        <v>244</v>
      </c>
      <c r="F591" s="13" t="s">
        <v>252</v>
      </c>
      <c r="G591" s="46">
        <v>0.2</v>
      </c>
    </row>
    <row r="592" ht="15.75" customHeight="1">
      <c r="A592" s="43">
        <v>46280.0</v>
      </c>
      <c r="B592" s="43">
        <v>46286.0</v>
      </c>
      <c r="C592" s="44" t="s">
        <v>191</v>
      </c>
      <c r="D592" s="6" t="s">
        <v>429</v>
      </c>
      <c r="E592" s="8" t="s">
        <v>244</v>
      </c>
      <c r="F592" s="13" t="s">
        <v>252</v>
      </c>
      <c r="G592" s="46">
        <v>0.2</v>
      </c>
    </row>
    <row r="593" ht="15.75" customHeight="1">
      <c r="A593" s="43">
        <v>46289.0</v>
      </c>
      <c r="B593" s="43">
        <v>46303.0</v>
      </c>
      <c r="C593" s="44" t="s">
        <v>430</v>
      </c>
      <c r="D593" s="6" t="s">
        <v>312</v>
      </c>
      <c r="E593" s="8" t="s">
        <v>188</v>
      </c>
      <c r="F593" s="13" t="s">
        <v>189</v>
      </c>
      <c r="G593" s="46">
        <v>0.4</v>
      </c>
    </row>
    <row r="594" ht="15.75" customHeight="1">
      <c r="A594" s="43">
        <v>46289.0</v>
      </c>
      <c r="B594" s="43">
        <v>46303.0</v>
      </c>
      <c r="C594" s="44" t="s">
        <v>430</v>
      </c>
      <c r="D594" s="6" t="s">
        <v>312</v>
      </c>
      <c r="E594" s="8" t="s">
        <v>284</v>
      </c>
      <c r="F594" s="13" t="s">
        <v>314</v>
      </c>
      <c r="G594" s="46">
        <v>0.35</v>
      </c>
    </row>
    <row r="595" ht="15.75" customHeight="1">
      <c r="A595" s="43">
        <v>46303.0</v>
      </c>
      <c r="B595" s="43">
        <v>46310.0</v>
      </c>
      <c r="C595" s="44" t="s">
        <v>374</v>
      </c>
      <c r="D595" s="6" t="s">
        <v>195</v>
      </c>
      <c r="E595" s="8" t="s">
        <v>196</v>
      </c>
      <c r="F595" s="13" t="s">
        <v>286</v>
      </c>
      <c r="G595" s="46">
        <v>0.4</v>
      </c>
    </row>
    <row r="596" ht="15.75" customHeight="1">
      <c r="A596" s="43">
        <v>46303.0</v>
      </c>
      <c r="B596" s="43">
        <v>46310.0</v>
      </c>
      <c r="C596" s="44" t="s">
        <v>374</v>
      </c>
      <c r="D596" s="6" t="s">
        <v>195</v>
      </c>
      <c r="E596" s="8" t="s">
        <v>196</v>
      </c>
      <c r="F596" s="13" t="s">
        <v>286</v>
      </c>
      <c r="G596" s="46">
        <v>0.4</v>
      </c>
    </row>
    <row r="597" ht="15.75" customHeight="1">
      <c r="A597" s="43">
        <v>46303.0</v>
      </c>
      <c r="B597" s="43">
        <v>46310.0</v>
      </c>
      <c r="C597" s="44" t="s">
        <v>374</v>
      </c>
      <c r="D597" s="6" t="s">
        <v>296</v>
      </c>
      <c r="E597" s="8" t="s">
        <v>196</v>
      </c>
      <c r="F597" s="13" t="s">
        <v>198</v>
      </c>
      <c r="G597" s="46">
        <v>0.35</v>
      </c>
    </row>
    <row r="598" ht="15.75" customHeight="1">
      <c r="A598" s="43">
        <v>46303.0</v>
      </c>
      <c r="B598" s="43">
        <v>46310.0</v>
      </c>
      <c r="C598" s="44" t="s">
        <v>374</v>
      </c>
      <c r="D598" s="6" t="s">
        <v>296</v>
      </c>
      <c r="E598" s="8" t="s">
        <v>196</v>
      </c>
      <c r="F598" s="13" t="s">
        <v>198</v>
      </c>
      <c r="G598" s="46">
        <v>0.35</v>
      </c>
    </row>
    <row r="599" ht="15.75" customHeight="1">
      <c r="A599" s="43">
        <v>46303.0</v>
      </c>
      <c r="B599" s="43">
        <v>46310.0</v>
      </c>
      <c r="C599" s="44" t="s">
        <v>374</v>
      </c>
      <c r="D599" s="6" t="s">
        <v>221</v>
      </c>
      <c r="E599" s="8" t="s">
        <v>196</v>
      </c>
      <c r="F599" s="13" t="s">
        <v>198</v>
      </c>
      <c r="G599" s="46">
        <v>0.35</v>
      </c>
    </row>
    <row r="600" ht="15.75" customHeight="1">
      <c r="A600" s="43">
        <v>46303.0</v>
      </c>
      <c r="B600" s="43">
        <v>46310.0</v>
      </c>
      <c r="C600" s="44" t="s">
        <v>374</v>
      </c>
      <c r="D600" s="6" t="s">
        <v>221</v>
      </c>
      <c r="E600" s="8" t="s">
        <v>196</v>
      </c>
      <c r="F600" s="13" t="s">
        <v>198</v>
      </c>
      <c r="G600" s="46">
        <v>0.35</v>
      </c>
    </row>
    <row r="601" ht="15.75" customHeight="1">
      <c r="A601" s="43">
        <v>46303.0</v>
      </c>
      <c r="B601" s="43">
        <v>46310.0</v>
      </c>
      <c r="C601" s="44" t="s">
        <v>374</v>
      </c>
      <c r="D601" s="6" t="s">
        <v>224</v>
      </c>
      <c r="E601" s="8" t="s">
        <v>131</v>
      </c>
      <c r="F601" s="13" t="s">
        <v>207</v>
      </c>
      <c r="G601" s="46">
        <v>0.35</v>
      </c>
    </row>
    <row r="602" ht="15.75" customHeight="1">
      <c r="A602" s="43">
        <v>46303.0</v>
      </c>
      <c r="B602" s="43">
        <v>46310.0</v>
      </c>
      <c r="C602" s="44" t="s">
        <v>374</v>
      </c>
      <c r="D602" s="6" t="s">
        <v>224</v>
      </c>
      <c r="E602" s="8" t="s">
        <v>240</v>
      </c>
      <c r="F602" s="13" t="s">
        <v>303</v>
      </c>
      <c r="G602" s="46">
        <v>0.35</v>
      </c>
    </row>
    <row r="603" ht="15.75" customHeight="1">
      <c r="A603" s="43">
        <v>46303.0</v>
      </c>
      <c r="B603" s="43">
        <v>46310.0</v>
      </c>
      <c r="C603" s="44" t="s">
        <v>374</v>
      </c>
      <c r="D603" s="6" t="s">
        <v>226</v>
      </c>
      <c r="E603" s="8" t="s">
        <v>196</v>
      </c>
      <c r="F603" s="13" t="s">
        <v>198</v>
      </c>
      <c r="G603" s="46">
        <v>0.35</v>
      </c>
    </row>
    <row r="604" ht="15.75" customHeight="1">
      <c r="A604" s="43">
        <v>46303.0</v>
      </c>
      <c r="B604" s="43">
        <v>46310.0</v>
      </c>
      <c r="C604" s="44" t="s">
        <v>374</v>
      </c>
      <c r="D604" s="6" t="s">
        <v>226</v>
      </c>
      <c r="E604" s="8" t="s">
        <v>196</v>
      </c>
      <c r="F604" s="13" t="s">
        <v>198</v>
      </c>
      <c r="G604" s="46">
        <v>0.35</v>
      </c>
    </row>
    <row r="605" ht="15.75" customHeight="1">
      <c r="A605" s="43">
        <v>46303.0</v>
      </c>
      <c r="B605" s="43">
        <v>46310.0</v>
      </c>
      <c r="C605" s="44" t="s">
        <v>374</v>
      </c>
      <c r="D605" s="6" t="s">
        <v>229</v>
      </c>
      <c r="E605" s="8" t="s">
        <v>196</v>
      </c>
      <c r="F605" s="13" t="s">
        <v>198</v>
      </c>
      <c r="G605" s="46">
        <v>0.35</v>
      </c>
    </row>
    <row r="606" ht="15.75" customHeight="1">
      <c r="A606" s="43">
        <v>46303.0</v>
      </c>
      <c r="B606" s="43">
        <v>46310.0</v>
      </c>
      <c r="C606" s="44" t="s">
        <v>374</v>
      </c>
      <c r="D606" s="6" t="s">
        <v>229</v>
      </c>
      <c r="E606" s="8" t="s">
        <v>196</v>
      </c>
      <c r="F606" s="13" t="s">
        <v>198</v>
      </c>
      <c r="G606" s="46">
        <v>0.35</v>
      </c>
    </row>
    <row r="607" ht="15.75" customHeight="1">
      <c r="A607" s="43">
        <v>46303.0</v>
      </c>
      <c r="B607" s="43">
        <v>46310.0</v>
      </c>
      <c r="C607" s="44" t="s">
        <v>374</v>
      </c>
      <c r="D607" s="6" t="s">
        <v>375</v>
      </c>
      <c r="E607" s="8" t="s">
        <v>196</v>
      </c>
      <c r="F607" s="13" t="s">
        <v>228</v>
      </c>
      <c r="G607" s="46">
        <v>0.3</v>
      </c>
    </row>
    <row r="608" ht="15.75" customHeight="1">
      <c r="A608" s="43">
        <v>46303.0</v>
      </c>
      <c r="B608" s="43">
        <v>46310.0</v>
      </c>
      <c r="C608" s="44" t="s">
        <v>374</v>
      </c>
      <c r="D608" s="6" t="s">
        <v>375</v>
      </c>
      <c r="E608" s="8" t="s">
        <v>196</v>
      </c>
      <c r="F608" s="13" t="s">
        <v>228</v>
      </c>
      <c r="G608" s="46">
        <v>0.3</v>
      </c>
    </row>
    <row r="609" ht="15.75" customHeight="1">
      <c r="A609" s="43">
        <v>46303.0</v>
      </c>
      <c r="B609" s="43">
        <v>46310.0</v>
      </c>
      <c r="C609" s="44" t="s">
        <v>374</v>
      </c>
      <c r="D609" s="6" t="s">
        <v>376</v>
      </c>
      <c r="E609" s="8" t="s">
        <v>131</v>
      </c>
      <c r="F609" s="13" t="s">
        <v>367</v>
      </c>
      <c r="G609" s="46">
        <v>0.25</v>
      </c>
    </row>
    <row r="610" ht="15.75" customHeight="1">
      <c r="A610" s="43">
        <v>46303.0</v>
      </c>
      <c r="B610" s="43">
        <v>46310.0</v>
      </c>
      <c r="C610" s="44" t="s">
        <v>374</v>
      </c>
      <c r="D610" s="6" t="s">
        <v>376</v>
      </c>
      <c r="E610" s="8" t="s">
        <v>131</v>
      </c>
      <c r="F610" s="13" t="s">
        <v>367</v>
      </c>
      <c r="G610" s="46">
        <v>0.25</v>
      </c>
    </row>
    <row r="611" ht="15.75" customHeight="1">
      <c r="A611" s="43">
        <v>46303.0</v>
      </c>
      <c r="B611" s="43">
        <v>46310.0</v>
      </c>
      <c r="C611" s="44" t="s">
        <v>374</v>
      </c>
      <c r="D611" s="6" t="s">
        <v>403</v>
      </c>
      <c r="E611" s="8" t="s">
        <v>196</v>
      </c>
      <c r="F611" s="13" t="s">
        <v>242</v>
      </c>
      <c r="G611" s="46">
        <v>0.2</v>
      </c>
    </row>
    <row r="612" ht="15.75" customHeight="1">
      <c r="A612" s="43">
        <v>46303.0</v>
      </c>
      <c r="B612" s="43">
        <v>46310.0</v>
      </c>
      <c r="C612" s="44" t="s">
        <v>374</v>
      </c>
      <c r="D612" s="6" t="s">
        <v>404</v>
      </c>
      <c r="E612" s="8" t="s">
        <v>196</v>
      </c>
      <c r="F612" s="13" t="s">
        <v>242</v>
      </c>
      <c r="G612" s="46">
        <v>0.2</v>
      </c>
    </row>
    <row r="613" ht="15.75" customHeight="1">
      <c r="A613" s="43">
        <v>46303.0</v>
      </c>
      <c r="B613" s="43">
        <v>46310.0</v>
      </c>
      <c r="C613" s="44" t="s">
        <v>374</v>
      </c>
      <c r="D613" s="6" t="s">
        <v>201</v>
      </c>
      <c r="E613" s="8" t="s">
        <v>196</v>
      </c>
      <c r="F613" s="13" t="s">
        <v>286</v>
      </c>
      <c r="G613" s="46">
        <v>0.4</v>
      </c>
    </row>
    <row r="614" ht="15.75" customHeight="1">
      <c r="A614" s="43">
        <v>46303.0</v>
      </c>
      <c r="B614" s="43">
        <v>46310.0</v>
      </c>
      <c r="C614" s="44" t="s">
        <v>374</v>
      </c>
      <c r="D614" s="6" t="s">
        <v>201</v>
      </c>
      <c r="E614" s="8" t="s">
        <v>196</v>
      </c>
      <c r="F614" s="13" t="s">
        <v>286</v>
      </c>
      <c r="G614" s="46">
        <v>0.4</v>
      </c>
    </row>
    <row r="615" ht="15.75" customHeight="1">
      <c r="A615" s="43">
        <v>46303.0</v>
      </c>
      <c r="B615" s="43">
        <v>46310.0</v>
      </c>
      <c r="C615" s="44" t="s">
        <v>374</v>
      </c>
      <c r="D615" s="6" t="s">
        <v>203</v>
      </c>
      <c r="E615" s="8" t="s">
        <v>196</v>
      </c>
      <c r="F615" s="13" t="s">
        <v>286</v>
      </c>
      <c r="G615" s="46">
        <v>0.4</v>
      </c>
    </row>
    <row r="616" ht="15.75" customHeight="1">
      <c r="A616" s="43">
        <v>46303.0</v>
      </c>
      <c r="B616" s="43">
        <v>46310.0</v>
      </c>
      <c r="C616" s="44" t="s">
        <v>374</v>
      </c>
      <c r="D616" s="6" t="s">
        <v>203</v>
      </c>
      <c r="E616" s="8" t="s">
        <v>196</v>
      </c>
      <c r="F616" s="13" t="s">
        <v>286</v>
      </c>
      <c r="G616" s="46">
        <v>0.4</v>
      </c>
    </row>
    <row r="617" ht="15.75" customHeight="1">
      <c r="A617" s="43">
        <v>46303.0</v>
      </c>
      <c r="B617" s="43">
        <v>46310.0</v>
      </c>
      <c r="C617" s="44" t="s">
        <v>374</v>
      </c>
      <c r="D617" s="6" t="s">
        <v>205</v>
      </c>
      <c r="E617" s="8" t="s">
        <v>131</v>
      </c>
      <c r="F617" s="13" t="s">
        <v>288</v>
      </c>
      <c r="G617" s="46">
        <v>0.4</v>
      </c>
    </row>
    <row r="618" ht="15.75" customHeight="1">
      <c r="A618" s="43">
        <v>46303.0</v>
      </c>
      <c r="B618" s="43">
        <v>46310.0</v>
      </c>
      <c r="C618" s="44" t="s">
        <v>374</v>
      </c>
      <c r="D618" s="6" t="s">
        <v>205</v>
      </c>
      <c r="E618" s="8" t="s">
        <v>131</v>
      </c>
      <c r="F618" s="13" t="s">
        <v>288</v>
      </c>
      <c r="G618" s="46">
        <v>0.4</v>
      </c>
    </row>
    <row r="619" ht="15.75" customHeight="1">
      <c r="A619" s="43">
        <v>46303.0</v>
      </c>
      <c r="B619" s="43">
        <v>46310.0</v>
      </c>
      <c r="C619" s="44" t="s">
        <v>374</v>
      </c>
      <c r="D619" s="6" t="s">
        <v>209</v>
      </c>
      <c r="E619" s="8" t="s">
        <v>196</v>
      </c>
      <c r="F619" s="13" t="s">
        <v>198</v>
      </c>
      <c r="G619" s="46">
        <v>0.35</v>
      </c>
    </row>
    <row r="620" ht="15.75" customHeight="1">
      <c r="A620" s="43">
        <v>46303.0</v>
      </c>
      <c r="B620" s="43">
        <v>46310.0</v>
      </c>
      <c r="C620" s="44" t="s">
        <v>374</v>
      </c>
      <c r="D620" s="6" t="s">
        <v>209</v>
      </c>
      <c r="E620" s="8" t="s">
        <v>196</v>
      </c>
      <c r="F620" s="13" t="s">
        <v>198</v>
      </c>
      <c r="G620" s="46">
        <v>0.35</v>
      </c>
    </row>
    <row r="621" ht="15.75" customHeight="1">
      <c r="A621" s="43">
        <v>46303.0</v>
      </c>
      <c r="B621" s="43">
        <v>46310.0</v>
      </c>
      <c r="C621" s="44" t="s">
        <v>374</v>
      </c>
      <c r="D621" s="6" t="s">
        <v>291</v>
      </c>
      <c r="E621" s="8" t="s">
        <v>196</v>
      </c>
      <c r="F621" s="13" t="s">
        <v>198</v>
      </c>
      <c r="G621" s="46">
        <v>0.35</v>
      </c>
    </row>
    <row r="622" ht="15.75" customHeight="1">
      <c r="A622" s="43">
        <v>46303.0</v>
      </c>
      <c r="B622" s="43">
        <v>46310.0</v>
      </c>
      <c r="C622" s="44" t="s">
        <v>374</v>
      </c>
      <c r="D622" s="6" t="s">
        <v>291</v>
      </c>
      <c r="E622" s="8" t="s">
        <v>196</v>
      </c>
      <c r="F622" s="13" t="s">
        <v>198</v>
      </c>
      <c r="G622" s="46">
        <v>0.35</v>
      </c>
    </row>
    <row r="623" ht="15.75" customHeight="1">
      <c r="A623" s="43">
        <v>46303.0</v>
      </c>
      <c r="B623" s="43">
        <v>46310.0</v>
      </c>
      <c r="C623" s="44" t="s">
        <v>374</v>
      </c>
      <c r="D623" s="6" t="s">
        <v>292</v>
      </c>
      <c r="E623" s="8" t="s">
        <v>196</v>
      </c>
      <c r="F623" s="13" t="s">
        <v>198</v>
      </c>
      <c r="G623" s="46">
        <v>0.35</v>
      </c>
    </row>
    <row r="624" ht="15.75" customHeight="1">
      <c r="A624" s="43">
        <v>46303.0</v>
      </c>
      <c r="B624" s="43">
        <v>46310.0</v>
      </c>
      <c r="C624" s="44" t="s">
        <v>374</v>
      </c>
      <c r="D624" s="6" t="s">
        <v>292</v>
      </c>
      <c r="E624" s="8" t="s">
        <v>196</v>
      </c>
      <c r="F624" s="13" t="s">
        <v>198</v>
      </c>
      <c r="G624" s="46">
        <v>0.35</v>
      </c>
    </row>
    <row r="625" ht="15.75" customHeight="1">
      <c r="A625" s="43">
        <v>46303.0</v>
      </c>
      <c r="B625" s="43">
        <v>46310.0</v>
      </c>
      <c r="C625" s="44" t="s">
        <v>374</v>
      </c>
      <c r="D625" s="6" t="s">
        <v>293</v>
      </c>
      <c r="E625" s="8" t="s">
        <v>196</v>
      </c>
      <c r="F625" s="13" t="s">
        <v>198</v>
      </c>
      <c r="G625" s="46">
        <v>0.35</v>
      </c>
    </row>
    <row r="626" ht="15.75" customHeight="1">
      <c r="A626" s="43">
        <v>46303.0</v>
      </c>
      <c r="B626" s="43">
        <v>46310.0</v>
      </c>
      <c r="C626" s="44" t="s">
        <v>374</v>
      </c>
      <c r="D626" s="6" t="s">
        <v>293</v>
      </c>
      <c r="E626" s="8" t="s">
        <v>196</v>
      </c>
      <c r="F626" s="13" t="s">
        <v>198</v>
      </c>
      <c r="G626" s="46">
        <v>0.35</v>
      </c>
    </row>
    <row r="627" ht="15.75" customHeight="1">
      <c r="A627" s="43">
        <v>46303.0</v>
      </c>
      <c r="B627" s="43">
        <v>46310.0</v>
      </c>
      <c r="C627" s="44" t="s">
        <v>374</v>
      </c>
      <c r="D627" s="6" t="s">
        <v>295</v>
      </c>
      <c r="E627" s="8" t="s">
        <v>196</v>
      </c>
      <c r="F627" s="13" t="s">
        <v>198</v>
      </c>
      <c r="G627" s="46">
        <v>0.35</v>
      </c>
    </row>
    <row r="628" ht="15.75" customHeight="1">
      <c r="A628" s="43">
        <v>46303.0</v>
      </c>
      <c r="B628" s="43">
        <v>46310.0</v>
      </c>
      <c r="C628" s="44" t="s">
        <v>374</v>
      </c>
      <c r="D628" s="6" t="s">
        <v>295</v>
      </c>
      <c r="E628" s="8" t="s">
        <v>196</v>
      </c>
      <c r="F628" s="13" t="s">
        <v>198</v>
      </c>
      <c r="G628" s="46">
        <v>0.35</v>
      </c>
    </row>
    <row r="629" ht="15.75" customHeight="1">
      <c r="A629" s="43">
        <v>46315.0</v>
      </c>
      <c r="B629" s="43">
        <v>46321.0</v>
      </c>
      <c r="C629" s="44" t="s">
        <v>191</v>
      </c>
      <c r="D629" s="6" t="s">
        <v>268</v>
      </c>
      <c r="E629" s="8" t="s">
        <v>269</v>
      </c>
      <c r="F629" s="13" t="s">
        <v>132</v>
      </c>
      <c r="G629" s="46">
        <v>0.25</v>
      </c>
    </row>
    <row r="630" ht="15.75" customHeight="1">
      <c r="A630" s="43">
        <v>46315.0</v>
      </c>
      <c r="B630" s="43">
        <v>46321.0</v>
      </c>
      <c r="C630" s="44" t="s">
        <v>191</v>
      </c>
      <c r="D630" s="6" t="s">
        <v>268</v>
      </c>
      <c r="E630" s="8" t="s">
        <v>269</v>
      </c>
      <c r="F630" s="13" t="s">
        <v>132</v>
      </c>
      <c r="G630" s="46">
        <v>0.25</v>
      </c>
    </row>
    <row r="631" ht="15.75" customHeight="1">
      <c r="A631" s="43">
        <v>46315.0</v>
      </c>
      <c r="B631" s="43">
        <v>46321.0</v>
      </c>
      <c r="C631" s="44" t="s">
        <v>191</v>
      </c>
      <c r="D631" s="6" t="s">
        <v>275</v>
      </c>
      <c r="E631" s="8" t="s">
        <v>183</v>
      </c>
      <c r="F631" s="13" t="s">
        <v>269</v>
      </c>
      <c r="G631" s="46">
        <v>0.2</v>
      </c>
    </row>
    <row r="632" ht="15.75" customHeight="1">
      <c r="A632" s="43">
        <v>46315.0</v>
      </c>
      <c r="B632" s="43">
        <v>46321.0</v>
      </c>
      <c r="C632" s="44" t="s">
        <v>191</v>
      </c>
      <c r="D632" s="6" t="s">
        <v>275</v>
      </c>
      <c r="E632" s="8" t="s">
        <v>183</v>
      </c>
      <c r="F632" s="13" t="s">
        <v>269</v>
      </c>
      <c r="G632" s="46">
        <v>0.2</v>
      </c>
    </row>
    <row r="633" ht="15.75" customHeight="1">
      <c r="A633" s="43">
        <v>46322.0</v>
      </c>
      <c r="B633" s="43">
        <v>46328.0</v>
      </c>
      <c r="C633" s="44" t="s">
        <v>92</v>
      </c>
      <c r="D633" s="6" t="s">
        <v>17</v>
      </c>
      <c r="E633" s="8" t="s">
        <v>95</v>
      </c>
      <c r="F633" s="13" t="s">
        <v>137</v>
      </c>
      <c r="G633" s="46">
        <v>0.6</v>
      </c>
    </row>
    <row r="634" ht="15.75" customHeight="1">
      <c r="A634" s="43">
        <v>46322.0</v>
      </c>
      <c r="B634" s="43">
        <v>46328.0</v>
      </c>
      <c r="C634" s="44" t="s">
        <v>92</v>
      </c>
      <c r="D634" s="6" t="s">
        <v>17</v>
      </c>
      <c r="E634" s="8" t="s">
        <v>88</v>
      </c>
      <c r="F634" s="13" t="s">
        <v>280</v>
      </c>
      <c r="G634" s="46">
        <v>0.6</v>
      </c>
    </row>
    <row r="635" ht="15.75" customHeight="1">
      <c r="A635" s="43">
        <v>46322.0</v>
      </c>
      <c r="B635" s="43">
        <v>46328.0</v>
      </c>
      <c r="C635" s="44" t="s">
        <v>191</v>
      </c>
      <c r="D635" s="6" t="s">
        <v>18</v>
      </c>
      <c r="E635" s="8" t="s">
        <v>244</v>
      </c>
      <c r="F635" s="13" t="s">
        <v>250</v>
      </c>
      <c r="G635" s="46">
        <v>0.33</v>
      </c>
    </row>
    <row r="636" ht="15.75" customHeight="1">
      <c r="A636" s="43">
        <v>46322.0</v>
      </c>
      <c r="B636" s="43">
        <v>46328.0</v>
      </c>
      <c r="C636" s="44" t="s">
        <v>191</v>
      </c>
      <c r="D636" s="6" t="s">
        <v>18</v>
      </c>
      <c r="E636" s="8" t="s">
        <v>244</v>
      </c>
      <c r="F636" s="13" t="s">
        <v>254</v>
      </c>
      <c r="G636" s="46">
        <v>0.3</v>
      </c>
    </row>
    <row r="637" ht="15.75" customHeight="1">
      <c r="A637" s="43">
        <v>46322.0</v>
      </c>
      <c r="B637" s="43">
        <v>46328.0</v>
      </c>
      <c r="C637" s="44" t="s">
        <v>191</v>
      </c>
      <c r="D637" s="6" t="s">
        <v>32</v>
      </c>
      <c r="E637" s="8" t="s">
        <v>244</v>
      </c>
      <c r="F637" s="13" t="s">
        <v>250</v>
      </c>
      <c r="G637" s="46">
        <v>0.33</v>
      </c>
    </row>
    <row r="638" ht="15.75" customHeight="1">
      <c r="A638" s="43">
        <v>46322.0</v>
      </c>
      <c r="B638" s="43">
        <v>46328.0</v>
      </c>
      <c r="C638" s="44" t="s">
        <v>191</v>
      </c>
      <c r="D638" s="6" t="s">
        <v>32</v>
      </c>
      <c r="E638" s="8" t="s">
        <v>244</v>
      </c>
      <c r="F638" s="13" t="s">
        <v>254</v>
      </c>
      <c r="G638" s="46">
        <v>0.3</v>
      </c>
    </row>
    <row r="639" ht="15.75" customHeight="1">
      <c r="A639" s="43">
        <v>46322.0</v>
      </c>
      <c r="B639" s="43">
        <v>46328.0</v>
      </c>
      <c r="C639" s="44" t="s">
        <v>191</v>
      </c>
      <c r="D639" s="6" t="s">
        <v>34</v>
      </c>
      <c r="E639" s="8" t="s">
        <v>244</v>
      </c>
      <c r="F639" s="13" t="s">
        <v>250</v>
      </c>
      <c r="G639" s="46">
        <v>0.33</v>
      </c>
    </row>
    <row r="640" ht="15.75" customHeight="1">
      <c r="A640" s="43">
        <v>46322.0</v>
      </c>
      <c r="B640" s="43">
        <v>46328.0</v>
      </c>
      <c r="C640" s="44" t="s">
        <v>191</v>
      </c>
      <c r="D640" s="6" t="s">
        <v>34</v>
      </c>
      <c r="E640" s="8" t="s">
        <v>244</v>
      </c>
      <c r="F640" s="13" t="s">
        <v>254</v>
      </c>
      <c r="G640" s="46">
        <v>0.3</v>
      </c>
    </row>
    <row r="641" ht="15.75" customHeight="1">
      <c r="A641" s="43">
        <v>46322.0</v>
      </c>
      <c r="B641" s="43">
        <v>46328.0</v>
      </c>
      <c r="C641" s="44" t="s">
        <v>191</v>
      </c>
      <c r="D641" s="6" t="s">
        <v>307</v>
      </c>
      <c r="E641" s="8" t="s">
        <v>244</v>
      </c>
      <c r="F641" s="13" t="s">
        <v>254</v>
      </c>
      <c r="G641" s="46">
        <v>0.3</v>
      </c>
    </row>
    <row r="642" ht="15.75" customHeight="1">
      <c r="A642" s="43">
        <v>46322.0</v>
      </c>
      <c r="B642" s="43">
        <v>46328.0</v>
      </c>
      <c r="C642" s="44" t="s">
        <v>191</v>
      </c>
      <c r="D642" s="6" t="s">
        <v>307</v>
      </c>
      <c r="E642" s="8" t="s">
        <v>244</v>
      </c>
      <c r="F642" s="13" t="s">
        <v>254</v>
      </c>
      <c r="G642" s="46">
        <v>0.3</v>
      </c>
    </row>
    <row r="643" ht="15.75" customHeight="1">
      <c r="A643" s="43">
        <v>46322.0</v>
      </c>
      <c r="B643" s="43">
        <v>46328.0</v>
      </c>
      <c r="C643" s="44" t="s">
        <v>191</v>
      </c>
      <c r="D643" s="6" t="s">
        <v>428</v>
      </c>
      <c r="E643" s="8" t="s">
        <v>244</v>
      </c>
      <c r="F643" s="13" t="s">
        <v>252</v>
      </c>
      <c r="G643" s="46">
        <v>0.2</v>
      </c>
    </row>
    <row r="644" ht="15.75" customHeight="1">
      <c r="A644" s="43">
        <v>46322.0</v>
      </c>
      <c r="B644" s="43">
        <v>46328.0</v>
      </c>
      <c r="C644" s="44" t="s">
        <v>191</v>
      </c>
      <c r="D644" s="6" t="s">
        <v>428</v>
      </c>
      <c r="E644" s="8" t="s">
        <v>244</v>
      </c>
      <c r="F644" s="13" t="s">
        <v>252</v>
      </c>
      <c r="G644" s="46">
        <v>0.2</v>
      </c>
    </row>
    <row r="645" ht="15.75" customHeight="1">
      <c r="A645" s="43">
        <v>46336.0</v>
      </c>
      <c r="B645" s="43">
        <v>46342.0</v>
      </c>
      <c r="C645" s="44" t="s">
        <v>92</v>
      </c>
      <c r="D645" s="6" t="s">
        <v>312</v>
      </c>
      <c r="E645" s="8" t="s">
        <v>188</v>
      </c>
      <c r="F645" s="13" t="s">
        <v>189</v>
      </c>
      <c r="G645" s="46">
        <v>0.4</v>
      </c>
    </row>
    <row r="646" ht="15.75" customHeight="1">
      <c r="A646" s="43">
        <v>46336.0</v>
      </c>
      <c r="B646" s="43">
        <v>46342.0</v>
      </c>
      <c r="C646" s="44" t="s">
        <v>92</v>
      </c>
      <c r="D646" s="6" t="s">
        <v>312</v>
      </c>
      <c r="E646" s="8" t="s">
        <v>284</v>
      </c>
      <c r="F646" s="13" t="s">
        <v>314</v>
      </c>
      <c r="G646" s="46">
        <v>0.35</v>
      </c>
    </row>
    <row r="647" ht="15.75" customHeight="1">
      <c r="A647" s="43">
        <v>46343.0</v>
      </c>
      <c r="B647" s="43">
        <v>46349.0</v>
      </c>
      <c r="C647" s="44" t="s">
        <v>191</v>
      </c>
      <c r="D647" s="6" t="s">
        <v>195</v>
      </c>
      <c r="E647" s="8" t="s">
        <v>196</v>
      </c>
      <c r="F647" s="13" t="s">
        <v>286</v>
      </c>
      <c r="G647" s="46">
        <v>0.4</v>
      </c>
    </row>
    <row r="648" ht="15.75" customHeight="1">
      <c r="A648" s="43">
        <v>46343.0</v>
      </c>
      <c r="B648" s="43">
        <v>46349.0</v>
      </c>
      <c r="C648" s="44" t="s">
        <v>191</v>
      </c>
      <c r="D648" s="6" t="s">
        <v>195</v>
      </c>
      <c r="E648" s="8" t="s">
        <v>196</v>
      </c>
      <c r="F648" s="13" t="s">
        <v>286</v>
      </c>
      <c r="G648" s="46">
        <v>0.4</v>
      </c>
    </row>
    <row r="649" ht="15.75" customHeight="1">
      <c r="A649" s="43">
        <v>46343.0</v>
      </c>
      <c r="B649" s="43">
        <v>46349.0</v>
      </c>
      <c r="C649" s="44" t="s">
        <v>191</v>
      </c>
      <c r="D649" s="6" t="s">
        <v>296</v>
      </c>
      <c r="E649" s="8" t="s">
        <v>196</v>
      </c>
      <c r="F649" s="13" t="s">
        <v>198</v>
      </c>
      <c r="G649" s="46">
        <v>0.35</v>
      </c>
    </row>
    <row r="650" ht="15.75" customHeight="1">
      <c r="A650" s="43">
        <v>46343.0</v>
      </c>
      <c r="B650" s="43">
        <v>46349.0</v>
      </c>
      <c r="C650" s="44" t="s">
        <v>191</v>
      </c>
      <c r="D650" s="6" t="s">
        <v>296</v>
      </c>
      <c r="E650" s="8" t="s">
        <v>196</v>
      </c>
      <c r="F650" s="13" t="s">
        <v>198</v>
      </c>
      <c r="G650" s="46">
        <v>0.35</v>
      </c>
    </row>
    <row r="651" ht="15.75" customHeight="1">
      <c r="A651" s="43">
        <v>46343.0</v>
      </c>
      <c r="B651" s="43">
        <v>46349.0</v>
      </c>
      <c r="C651" s="44" t="s">
        <v>191</v>
      </c>
      <c r="D651" s="6" t="s">
        <v>221</v>
      </c>
      <c r="E651" s="8" t="s">
        <v>196</v>
      </c>
      <c r="F651" s="13" t="s">
        <v>198</v>
      </c>
      <c r="G651" s="46">
        <v>0.35</v>
      </c>
    </row>
    <row r="652" ht="15.75" customHeight="1">
      <c r="A652" s="43">
        <v>46343.0</v>
      </c>
      <c r="B652" s="43">
        <v>46349.0</v>
      </c>
      <c r="C652" s="44" t="s">
        <v>191</v>
      </c>
      <c r="D652" s="6" t="s">
        <v>221</v>
      </c>
      <c r="E652" s="8" t="s">
        <v>196</v>
      </c>
      <c r="F652" s="13" t="s">
        <v>198</v>
      </c>
      <c r="G652" s="46">
        <v>0.35</v>
      </c>
    </row>
    <row r="653" ht="15.75" customHeight="1">
      <c r="A653" s="43">
        <v>46343.0</v>
      </c>
      <c r="B653" s="43">
        <v>46349.0</v>
      </c>
      <c r="C653" s="44" t="s">
        <v>191</v>
      </c>
      <c r="D653" s="6" t="s">
        <v>224</v>
      </c>
      <c r="E653" s="8" t="s">
        <v>131</v>
      </c>
      <c r="F653" s="13" t="s">
        <v>207</v>
      </c>
      <c r="G653" s="46">
        <v>0.35</v>
      </c>
    </row>
    <row r="654" ht="15.75" customHeight="1">
      <c r="A654" s="43">
        <v>46343.0</v>
      </c>
      <c r="B654" s="43">
        <v>46349.0</v>
      </c>
      <c r="C654" s="44" t="s">
        <v>191</v>
      </c>
      <c r="D654" s="6" t="s">
        <v>224</v>
      </c>
      <c r="E654" s="8" t="s">
        <v>240</v>
      </c>
      <c r="F654" s="13" t="s">
        <v>303</v>
      </c>
      <c r="G654" s="46">
        <v>0.35</v>
      </c>
    </row>
    <row r="655" ht="15.75" customHeight="1">
      <c r="A655" s="43">
        <v>46343.0</v>
      </c>
      <c r="B655" s="43">
        <v>46349.0</v>
      </c>
      <c r="C655" s="44" t="s">
        <v>191</v>
      </c>
      <c r="D655" s="6" t="s">
        <v>226</v>
      </c>
      <c r="E655" s="8" t="s">
        <v>196</v>
      </c>
      <c r="F655" s="13" t="s">
        <v>198</v>
      </c>
      <c r="G655" s="46">
        <v>0.35</v>
      </c>
    </row>
    <row r="656" ht="15.75" customHeight="1">
      <c r="A656" s="43">
        <v>46343.0</v>
      </c>
      <c r="B656" s="43">
        <v>46349.0</v>
      </c>
      <c r="C656" s="44" t="s">
        <v>191</v>
      </c>
      <c r="D656" s="6" t="s">
        <v>226</v>
      </c>
      <c r="E656" s="8" t="s">
        <v>196</v>
      </c>
      <c r="F656" s="13" t="s">
        <v>198</v>
      </c>
      <c r="G656" s="46">
        <v>0.35</v>
      </c>
    </row>
    <row r="657" ht="15.75" customHeight="1">
      <c r="A657" s="43">
        <v>46343.0</v>
      </c>
      <c r="B657" s="43">
        <v>46349.0</v>
      </c>
      <c r="C657" s="44" t="s">
        <v>191</v>
      </c>
      <c r="D657" s="6" t="s">
        <v>229</v>
      </c>
      <c r="E657" s="8" t="s">
        <v>196</v>
      </c>
      <c r="F657" s="13" t="s">
        <v>198</v>
      </c>
      <c r="G657" s="46">
        <v>0.35</v>
      </c>
    </row>
    <row r="658" ht="15.75" customHeight="1">
      <c r="A658" s="43">
        <v>46343.0</v>
      </c>
      <c r="B658" s="43">
        <v>46349.0</v>
      </c>
      <c r="C658" s="44" t="s">
        <v>191</v>
      </c>
      <c r="D658" s="6" t="s">
        <v>229</v>
      </c>
      <c r="E658" s="8" t="s">
        <v>196</v>
      </c>
      <c r="F658" s="13" t="s">
        <v>198</v>
      </c>
      <c r="G658" s="46">
        <v>0.35</v>
      </c>
    </row>
    <row r="659" ht="15.75" customHeight="1">
      <c r="A659" s="43">
        <v>46343.0</v>
      </c>
      <c r="B659" s="43">
        <v>46349.0</v>
      </c>
      <c r="C659" s="44" t="s">
        <v>191</v>
      </c>
      <c r="D659" s="6" t="s">
        <v>375</v>
      </c>
      <c r="E659" s="8" t="s">
        <v>196</v>
      </c>
      <c r="F659" s="13" t="s">
        <v>228</v>
      </c>
      <c r="G659" s="46">
        <v>0.3</v>
      </c>
    </row>
    <row r="660" ht="15.75" customHeight="1">
      <c r="A660" s="43">
        <v>46343.0</v>
      </c>
      <c r="B660" s="43">
        <v>46349.0</v>
      </c>
      <c r="C660" s="44" t="s">
        <v>191</v>
      </c>
      <c r="D660" s="6" t="s">
        <v>375</v>
      </c>
      <c r="E660" s="8" t="s">
        <v>196</v>
      </c>
      <c r="F660" s="13" t="s">
        <v>228</v>
      </c>
      <c r="G660" s="46">
        <v>0.3</v>
      </c>
    </row>
    <row r="661" ht="15.75" customHeight="1">
      <c r="A661" s="43">
        <v>46343.0</v>
      </c>
      <c r="B661" s="43">
        <v>46349.0</v>
      </c>
      <c r="C661" s="44" t="s">
        <v>191</v>
      </c>
      <c r="D661" s="6" t="s">
        <v>376</v>
      </c>
      <c r="E661" s="8" t="s">
        <v>131</v>
      </c>
      <c r="F661" s="13" t="s">
        <v>367</v>
      </c>
      <c r="G661" s="46">
        <v>0.25</v>
      </c>
    </row>
    <row r="662" ht="15.75" customHeight="1">
      <c r="A662" s="43">
        <v>46343.0</v>
      </c>
      <c r="B662" s="43">
        <v>46349.0</v>
      </c>
      <c r="C662" s="44" t="s">
        <v>191</v>
      </c>
      <c r="D662" s="6" t="s">
        <v>376</v>
      </c>
      <c r="E662" s="8" t="s">
        <v>131</v>
      </c>
      <c r="F662" s="13" t="s">
        <v>367</v>
      </c>
      <c r="G662" s="46">
        <v>0.25</v>
      </c>
    </row>
    <row r="663" ht="15.75" customHeight="1">
      <c r="A663" s="43">
        <v>46343.0</v>
      </c>
      <c r="B663" s="43">
        <v>46349.0</v>
      </c>
      <c r="C663" s="44" t="s">
        <v>191</v>
      </c>
      <c r="D663" s="6" t="s">
        <v>403</v>
      </c>
      <c r="E663" s="8" t="s">
        <v>196</v>
      </c>
      <c r="F663" s="13" t="s">
        <v>242</v>
      </c>
      <c r="G663" s="46">
        <v>0.2</v>
      </c>
    </row>
    <row r="664" ht="15.75" customHeight="1">
      <c r="A664" s="43">
        <v>46343.0</v>
      </c>
      <c r="B664" s="43">
        <v>46349.0</v>
      </c>
      <c r="C664" s="44" t="s">
        <v>191</v>
      </c>
      <c r="D664" s="6" t="s">
        <v>404</v>
      </c>
      <c r="E664" s="8" t="s">
        <v>196</v>
      </c>
      <c r="F664" s="13" t="s">
        <v>242</v>
      </c>
      <c r="G664" s="46">
        <v>0.2</v>
      </c>
    </row>
    <row r="665" ht="15.75" customHeight="1">
      <c r="A665" s="43">
        <v>46343.0</v>
      </c>
      <c r="B665" s="43">
        <v>46349.0</v>
      </c>
      <c r="C665" s="44" t="s">
        <v>191</v>
      </c>
      <c r="D665" s="6" t="s">
        <v>201</v>
      </c>
      <c r="E665" s="8" t="s">
        <v>196</v>
      </c>
      <c r="F665" s="13" t="s">
        <v>286</v>
      </c>
      <c r="G665" s="46">
        <v>0.4</v>
      </c>
    </row>
    <row r="666" ht="15.75" customHeight="1">
      <c r="A666" s="43">
        <v>46343.0</v>
      </c>
      <c r="B666" s="43">
        <v>46349.0</v>
      </c>
      <c r="C666" s="44" t="s">
        <v>191</v>
      </c>
      <c r="D666" s="6" t="s">
        <v>201</v>
      </c>
      <c r="E666" s="8" t="s">
        <v>196</v>
      </c>
      <c r="F666" s="13" t="s">
        <v>286</v>
      </c>
      <c r="G666" s="46">
        <v>0.4</v>
      </c>
    </row>
    <row r="667" ht="15.75" customHeight="1">
      <c r="A667" s="43">
        <v>46343.0</v>
      </c>
      <c r="B667" s="43">
        <v>46349.0</v>
      </c>
      <c r="C667" s="44" t="s">
        <v>191</v>
      </c>
      <c r="D667" s="6" t="s">
        <v>203</v>
      </c>
      <c r="E667" s="8" t="s">
        <v>196</v>
      </c>
      <c r="F667" s="13" t="s">
        <v>286</v>
      </c>
      <c r="G667" s="46">
        <v>0.4</v>
      </c>
    </row>
    <row r="668" ht="15.75" customHeight="1">
      <c r="A668" s="43">
        <v>46343.0</v>
      </c>
      <c r="B668" s="43">
        <v>46349.0</v>
      </c>
      <c r="C668" s="44" t="s">
        <v>191</v>
      </c>
      <c r="D668" s="6" t="s">
        <v>203</v>
      </c>
      <c r="E668" s="8" t="s">
        <v>196</v>
      </c>
      <c r="F668" s="13" t="s">
        <v>286</v>
      </c>
      <c r="G668" s="46">
        <v>0.4</v>
      </c>
    </row>
    <row r="669" ht="15.75" customHeight="1">
      <c r="A669" s="43">
        <v>46343.0</v>
      </c>
      <c r="B669" s="43">
        <v>46349.0</v>
      </c>
      <c r="C669" s="44" t="s">
        <v>191</v>
      </c>
      <c r="D669" s="6" t="s">
        <v>205</v>
      </c>
      <c r="E669" s="8" t="s">
        <v>131</v>
      </c>
      <c r="F669" s="13" t="s">
        <v>288</v>
      </c>
      <c r="G669" s="46">
        <v>0.4</v>
      </c>
    </row>
    <row r="670" ht="15.75" customHeight="1">
      <c r="A670" s="43">
        <v>46343.0</v>
      </c>
      <c r="B670" s="43">
        <v>46349.0</v>
      </c>
      <c r="C670" s="44" t="s">
        <v>191</v>
      </c>
      <c r="D670" s="6" t="s">
        <v>205</v>
      </c>
      <c r="E670" s="8" t="s">
        <v>131</v>
      </c>
      <c r="F670" s="13" t="s">
        <v>288</v>
      </c>
      <c r="G670" s="46">
        <v>0.4</v>
      </c>
    </row>
    <row r="671" ht="15.75" customHeight="1">
      <c r="A671" s="43">
        <v>46343.0</v>
      </c>
      <c r="B671" s="43">
        <v>46349.0</v>
      </c>
      <c r="C671" s="44" t="s">
        <v>191</v>
      </c>
      <c r="D671" s="6" t="s">
        <v>209</v>
      </c>
      <c r="E671" s="8" t="s">
        <v>196</v>
      </c>
      <c r="F671" s="13" t="s">
        <v>198</v>
      </c>
      <c r="G671" s="46">
        <v>0.35</v>
      </c>
    </row>
    <row r="672" ht="15.75" customHeight="1">
      <c r="A672" s="43">
        <v>46343.0</v>
      </c>
      <c r="B672" s="43">
        <v>46349.0</v>
      </c>
      <c r="C672" s="44" t="s">
        <v>191</v>
      </c>
      <c r="D672" s="6" t="s">
        <v>209</v>
      </c>
      <c r="E672" s="8" t="s">
        <v>196</v>
      </c>
      <c r="F672" s="13" t="s">
        <v>198</v>
      </c>
      <c r="G672" s="46">
        <v>0.35</v>
      </c>
    </row>
    <row r="673" ht="15.75" customHeight="1">
      <c r="A673" s="43">
        <v>46343.0</v>
      </c>
      <c r="B673" s="43">
        <v>46349.0</v>
      </c>
      <c r="C673" s="44" t="s">
        <v>191</v>
      </c>
      <c r="D673" s="6" t="s">
        <v>291</v>
      </c>
      <c r="E673" s="8" t="s">
        <v>196</v>
      </c>
      <c r="F673" s="13" t="s">
        <v>198</v>
      </c>
      <c r="G673" s="46">
        <v>0.35</v>
      </c>
    </row>
    <row r="674" ht="15.75" customHeight="1">
      <c r="A674" s="43">
        <v>46343.0</v>
      </c>
      <c r="B674" s="43">
        <v>46349.0</v>
      </c>
      <c r="C674" s="44" t="s">
        <v>191</v>
      </c>
      <c r="D674" s="6" t="s">
        <v>291</v>
      </c>
      <c r="E674" s="8" t="s">
        <v>196</v>
      </c>
      <c r="F674" s="13" t="s">
        <v>198</v>
      </c>
      <c r="G674" s="46">
        <v>0.35</v>
      </c>
    </row>
    <row r="675" ht="15.75" customHeight="1">
      <c r="A675" s="43">
        <v>46343.0</v>
      </c>
      <c r="B675" s="43">
        <v>46349.0</v>
      </c>
      <c r="C675" s="44" t="s">
        <v>191</v>
      </c>
      <c r="D675" s="6" t="s">
        <v>292</v>
      </c>
      <c r="E675" s="8" t="s">
        <v>196</v>
      </c>
      <c r="F675" s="13" t="s">
        <v>198</v>
      </c>
      <c r="G675" s="46">
        <v>0.35</v>
      </c>
    </row>
    <row r="676" ht="15.75" customHeight="1">
      <c r="A676" s="43">
        <v>46343.0</v>
      </c>
      <c r="B676" s="43">
        <v>46349.0</v>
      </c>
      <c r="C676" s="44" t="s">
        <v>191</v>
      </c>
      <c r="D676" s="6" t="s">
        <v>292</v>
      </c>
      <c r="E676" s="8" t="s">
        <v>196</v>
      </c>
      <c r="F676" s="13" t="s">
        <v>198</v>
      </c>
      <c r="G676" s="46">
        <v>0.35</v>
      </c>
    </row>
    <row r="677" ht="15.75" customHeight="1">
      <c r="A677" s="43">
        <v>46343.0</v>
      </c>
      <c r="B677" s="43">
        <v>46349.0</v>
      </c>
      <c r="C677" s="44" t="s">
        <v>191</v>
      </c>
      <c r="D677" s="6" t="s">
        <v>293</v>
      </c>
      <c r="E677" s="8" t="s">
        <v>196</v>
      </c>
      <c r="F677" s="13" t="s">
        <v>198</v>
      </c>
      <c r="G677" s="46">
        <v>0.35</v>
      </c>
    </row>
    <row r="678" ht="15.75" customHeight="1">
      <c r="A678" s="43">
        <v>46343.0</v>
      </c>
      <c r="B678" s="43">
        <v>46349.0</v>
      </c>
      <c r="C678" s="44" t="s">
        <v>191</v>
      </c>
      <c r="D678" s="6" t="s">
        <v>293</v>
      </c>
      <c r="E678" s="8" t="s">
        <v>196</v>
      </c>
      <c r="F678" s="13" t="s">
        <v>198</v>
      </c>
      <c r="G678" s="46">
        <v>0.35</v>
      </c>
    </row>
    <row r="679" ht="15.75" customHeight="1">
      <c r="A679" s="43">
        <v>46343.0</v>
      </c>
      <c r="B679" s="43">
        <v>46349.0</v>
      </c>
      <c r="C679" s="44" t="s">
        <v>191</v>
      </c>
      <c r="D679" s="6" t="s">
        <v>295</v>
      </c>
      <c r="E679" s="8" t="s">
        <v>196</v>
      </c>
      <c r="F679" s="13" t="s">
        <v>198</v>
      </c>
      <c r="G679" s="46">
        <v>0.35</v>
      </c>
    </row>
    <row r="680" ht="15.75" customHeight="1">
      <c r="A680" s="43">
        <v>46343.0</v>
      </c>
      <c r="B680" s="43">
        <v>46349.0</v>
      </c>
      <c r="C680" s="44" t="s">
        <v>191</v>
      </c>
      <c r="D680" s="6" t="s">
        <v>295</v>
      </c>
      <c r="E680" s="8" t="s">
        <v>196</v>
      </c>
      <c r="F680" s="13" t="s">
        <v>198</v>
      </c>
      <c r="G680" s="46">
        <v>0.35</v>
      </c>
    </row>
    <row r="681" ht="15.75" customHeight="1">
      <c r="A681" s="43">
        <v>46345.0</v>
      </c>
      <c r="B681" s="43">
        <v>46359.0</v>
      </c>
      <c r="C681" s="44" t="s">
        <v>103</v>
      </c>
      <c r="D681" s="6" t="s">
        <v>24</v>
      </c>
      <c r="E681" s="8" t="s">
        <v>88</v>
      </c>
      <c r="F681" s="13" t="s">
        <v>280</v>
      </c>
      <c r="G681" s="46">
        <v>0.6</v>
      </c>
    </row>
    <row r="682" ht="15.75" customHeight="1">
      <c r="A682" s="43">
        <v>46345.0</v>
      </c>
      <c r="B682" s="43">
        <v>46359.0</v>
      </c>
      <c r="C682" s="44" t="s">
        <v>103</v>
      </c>
      <c r="D682" s="6" t="s">
        <v>24</v>
      </c>
      <c r="E682" s="8" t="s">
        <v>89</v>
      </c>
      <c r="F682" s="13" t="s">
        <v>240</v>
      </c>
      <c r="G682" s="46">
        <v>0.6</v>
      </c>
    </row>
    <row r="683" ht="15.75" customHeight="1">
      <c r="A683" s="43">
        <v>46350.0</v>
      </c>
      <c r="B683" s="43">
        <v>46356.0</v>
      </c>
      <c r="C683" s="44" t="s">
        <v>191</v>
      </c>
      <c r="D683" s="6" t="s">
        <v>268</v>
      </c>
      <c r="E683" s="8" t="s">
        <v>269</v>
      </c>
      <c r="F683" s="13" t="s">
        <v>132</v>
      </c>
      <c r="G683" s="46">
        <v>0.25</v>
      </c>
    </row>
    <row r="684" ht="15.75" customHeight="1">
      <c r="A684" s="43">
        <v>46350.0</v>
      </c>
      <c r="B684" s="43">
        <v>46356.0</v>
      </c>
      <c r="C684" s="44" t="s">
        <v>191</v>
      </c>
      <c r="D684" s="6" t="s">
        <v>268</v>
      </c>
      <c r="E684" s="8" t="s">
        <v>269</v>
      </c>
      <c r="F684" s="13" t="s">
        <v>132</v>
      </c>
      <c r="G684" s="46">
        <v>0.25</v>
      </c>
    </row>
    <row r="685" ht="15.75" customHeight="1">
      <c r="A685" s="43">
        <v>46350.0</v>
      </c>
      <c r="B685" s="43">
        <v>46356.0</v>
      </c>
      <c r="C685" s="44" t="s">
        <v>191</v>
      </c>
      <c r="D685" s="6" t="s">
        <v>275</v>
      </c>
      <c r="E685" s="8" t="s">
        <v>183</v>
      </c>
      <c r="F685" s="13" t="s">
        <v>269</v>
      </c>
      <c r="G685" s="46">
        <v>0.2</v>
      </c>
    </row>
    <row r="686" ht="15.75" customHeight="1">
      <c r="A686" s="43">
        <v>46350.0</v>
      </c>
      <c r="B686" s="43">
        <v>46356.0</v>
      </c>
      <c r="C686" s="44" t="s">
        <v>191</v>
      </c>
      <c r="D686" s="6" t="s">
        <v>275</v>
      </c>
      <c r="E686" s="8" t="s">
        <v>183</v>
      </c>
      <c r="F686" s="13" t="s">
        <v>269</v>
      </c>
      <c r="G686" s="46">
        <v>0.2</v>
      </c>
    </row>
    <row r="687" ht="15.75" customHeight="1">
      <c r="A687" s="43">
        <v>46359.0</v>
      </c>
      <c r="B687" s="43">
        <v>46373.0</v>
      </c>
      <c r="C687" s="44" t="s">
        <v>138</v>
      </c>
      <c r="D687" s="6" t="s">
        <v>353</v>
      </c>
      <c r="E687" s="8" t="s">
        <v>325</v>
      </c>
      <c r="F687" s="13" t="s">
        <v>326</v>
      </c>
      <c r="G687" s="46">
        <v>0.2</v>
      </c>
    </row>
    <row r="688" ht="15.75" customHeight="1">
      <c r="A688" s="43">
        <v>46359.0</v>
      </c>
      <c r="B688" s="43">
        <v>46373.0</v>
      </c>
      <c r="C688" s="44" t="s">
        <v>138</v>
      </c>
      <c r="D688" s="6" t="s">
        <v>353</v>
      </c>
      <c r="E688" s="8" t="s">
        <v>325</v>
      </c>
      <c r="F688" s="13" t="s">
        <v>326</v>
      </c>
      <c r="G688" s="46">
        <v>0.2</v>
      </c>
    </row>
    <row r="689" ht="15.75" customHeight="1">
      <c r="A689" s="43">
        <v>46359.0</v>
      </c>
      <c r="B689" s="43">
        <v>46373.0</v>
      </c>
      <c r="C689" s="44" t="s">
        <v>138</v>
      </c>
      <c r="D689" s="6" t="s">
        <v>332</v>
      </c>
      <c r="E689" s="8" t="s">
        <v>128</v>
      </c>
      <c r="F689" s="13" t="s">
        <v>129</v>
      </c>
      <c r="G689" s="46">
        <v>0.2</v>
      </c>
    </row>
    <row r="690" ht="15.75" customHeight="1">
      <c r="A690" s="43">
        <v>46359.0</v>
      </c>
      <c r="B690" s="43">
        <v>46373.0</v>
      </c>
      <c r="C690" s="44" t="s">
        <v>138</v>
      </c>
      <c r="D690" s="6" t="s">
        <v>332</v>
      </c>
      <c r="E690" s="8" t="s">
        <v>128</v>
      </c>
      <c r="F690" s="13" t="s">
        <v>129</v>
      </c>
      <c r="G690" s="46">
        <v>0.2</v>
      </c>
    </row>
    <row r="691" ht="15.75" customHeight="1">
      <c r="A691" s="43">
        <v>46359.0</v>
      </c>
      <c r="B691" s="43">
        <v>46373.0</v>
      </c>
      <c r="C691" s="44" t="s">
        <v>138</v>
      </c>
      <c r="D691" s="6" t="s">
        <v>343</v>
      </c>
      <c r="E691" s="8" t="s">
        <v>128</v>
      </c>
      <c r="F691" s="13" t="s">
        <v>129</v>
      </c>
      <c r="G691" s="46">
        <v>0.2</v>
      </c>
    </row>
    <row r="692" ht="15.75" customHeight="1">
      <c r="A692" s="43">
        <v>46359.0</v>
      </c>
      <c r="B692" s="43">
        <v>46373.0</v>
      </c>
      <c r="C692" s="44" t="s">
        <v>138</v>
      </c>
      <c r="D692" s="6" t="s">
        <v>343</v>
      </c>
      <c r="E692" s="8" t="s">
        <v>128</v>
      </c>
      <c r="F692" s="13" t="s">
        <v>129</v>
      </c>
      <c r="G692" s="46">
        <v>0.2</v>
      </c>
    </row>
    <row r="693" ht="15.75" customHeight="1">
      <c r="A693" s="43">
        <v>46359.0</v>
      </c>
      <c r="B693" s="43">
        <v>46373.0</v>
      </c>
      <c r="C693" s="44" t="s">
        <v>138</v>
      </c>
      <c r="D693" s="6" t="s">
        <v>327</v>
      </c>
      <c r="E693" s="8" t="s">
        <v>223</v>
      </c>
      <c r="F693" s="13" t="s">
        <v>328</v>
      </c>
      <c r="G693" s="46">
        <v>0.2</v>
      </c>
    </row>
    <row r="694" ht="15.75" customHeight="1">
      <c r="A694" s="43">
        <v>46359.0</v>
      </c>
      <c r="B694" s="43">
        <v>46373.0</v>
      </c>
      <c r="C694" s="44" t="s">
        <v>138</v>
      </c>
      <c r="D694" s="6" t="s">
        <v>327</v>
      </c>
      <c r="E694" s="8" t="s">
        <v>223</v>
      </c>
      <c r="F694" s="13" t="s">
        <v>328</v>
      </c>
      <c r="G694" s="46">
        <v>0.2</v>
      </c>
    </row>
    <row r="695" ht="15.75" customHeight="1">
      <c r="A695" s="43">
        <v>46359.0</v>
      </c>
      <c r="B695" s="43">
        <v>46373.0</v>
      </c>
      <c r="C695" s="44" t="s">
        <v>138</v>
      </c>
      <c r="D695" s="6" t="s">
        <v>407</v>
      </c>
      <c r="E695" s="8" t="s">
        <v>128</v>
      </c>
      <c r="F695" s="13" t="s">
        <v>129</v>
      </c>
      <c r="G695" s="46">
        <v>0.2</v>
      </c>
    </row>
    <row r="696" ht="15.75" customHeight="1">
      <c r="A696" s="43">
        <v>46359.0</v>
      </c>
      <c r="B696" s="43">
        <v>46373.0</v>
      </c>
      <c r="C696" s="44" t="s">
        <v>138</v>
      </c>
      <c r="D696" s="6" t="s">
        <v>407</v>
      </c>
      <c r="E696" s="8" t="s">
        <v>128</v>
      </c>
      <c r="F696" s="13" t="s">
        <v>129</v>
      </c>
      <c r="G696" s="46">
        <v>0.2</v>
      </c>
    </row>
    <row r="697" ht="15.75" customHeight="1">
      <c r="A697" s="43">
        <v>46359.0</v>
      </c>
      <c r="B697" s="43">
        <v>46373.0</v>
      </c>
      <c r="C697" s="44" t="s">
        <v>138</v>
      </c>
      <c r="D697" s="6" t="s">
        <v>340</v>
      </c>
      <c r="E697" s="8" t="s">
        <v>128</v>
      </c>
      <c r="F697" s="13" t="s">
        <v>129</v>
      </c>
      <c r="G697" s="46">
        <v>0.2</v>
      </c>
    </row>
    <row r="698" ht="15.75" customHeight="1">
      <c r="A698" s="43">
        <v>46359.0</v>
      </c>
      <c r="B698" s="43">
        <v>46373.0</v>
      </c>
      <c r="C698" s="44" t="s">
        <v>138</v>
      </c>
      <c r="D698" s="6" t="s">
        <v>340</v>
      </c>
      <c r="E698" s="8" t="s">
        <v>128</v>
      </c>
      <c r="F698" s="13" t="s">
        <v>129</v>
      </c>
      <c r="G698" s="46">
        <v>0.2</v>
      </c>
    </row>
    <row r="699" ht="15.75" customHeight="1">
      <c r="A699" s="43">
        <v>46359.0</v>
      </c>
      <c r="B699" s="43">
        <v>46373.0</v>
      </c>
      <c r="C699" s="44" t="s">
        <v>138</v>
      </c>
      <c r="D699" s="6" t="s">
        <v>324</v>
      </c>
      <c r="E699" s="8" t="s">
        <v>325</v>
      </c>
      <c r="F699" s="13" t="s">
        <v>326</v>
      </c>
      <c r="G699" s="46">
        <v>0.2</v>
      </c>
    </row>
    <row r="700" ht="15.75" customHeight="1">
      <c r="A700" s="43">
        <v>46359.0</v>
      </c>
      <c r="B700" s="43">
        <v>46373.0</v>
      </c>
      <c r="C700" s="44" t="s">
        <v>138</v>
      </c>
      <c r="D700" s="6" t="s">
        <v>324</v>
      </c>
      <c r="E700" s="8" t="s">
        <v>325</v>
      </c>
      <c r="F700" s="13" t="s">
        <v>326</v>
      </c>
      <c r="G700" s="46">
        <v>0.2</v>
      </c>
    </row>
    <row r="701" ht="15.75" customHeight="1">
      <c r="A701" s="43">
        <v>46359.0</v>
      </c>
      <c r="B701" s="43">
        <v>46373.0</v>
      </c>
      <c r="C701" s="44" t="s">
        <v>138</v>
      </c>
      <c r="D701" s="6" t="s">
        <v>331</v>
      </c>
      <c r="E701" s="8" t="s">
        <v>223</v>
      </c>
      <c r="F701" s="13" t="s">
        <v>328</v>
      </c>
      <c r="G701" s="46">
        <v>0.2</v>
      </c>
    </row>
    <row r="702" ht="15.75" customHeight="1">
      <c r="A702" s="43">
        <v>46359.0</v>
      </c>
      <c r="B702" s="43">
        <v>46373.0</v>
      </c>
      <c r="C702" s="44" t="s">
        <v>138</v>
      </c>
      <c r="D702" s="6" t="s">
        <v>331</v>
      </c>
      <c r="E702" s="8" t="s">
        <v>223</v>
      </c>
      <c r="F702" s="13" t="s">
        <v>328</v>
      </c>
      <c r="G702" s="46">
        <v>0.2</v>
      </c>
    </row>
    <row r="703" ht="15.75" customHeight="1">
      <c r="A703" s="43">
        <v>46359.0</v>
      </c>
      <c r="B703" s="43">
        <v>46373.0</v>
      </c>
      <c r="C703" s="44" t="s">
        <v>138</v>
      </c>
      <c r="D703" s="6" t="s">
        <v>330</v>
      </c>
      <c r="E703" s="8" t="s">
        <v>223</v>
      </c>
      <c r="F703" s="13" t="s">
        <v>328</v>
      </c>
      <c r="G703" s="46">
        <v>0.2</v>
      </c>
    </row>
    <row r="704" ht="15.75" customHeight="1">
      <c r="A704" s="43">
        <v>46359.0</v>
      </c>
      <c r="B704" s="43">
        <v>46373.0</v>
      </c>
      <c r="C704" s="44" t="s">
        <v>138</v>
      </c>
      <c r="D704" s="6" t="s">
        <v>330</v>
      </c>
      <c r="E704" s="8" t="s">
        <v>223</v>
      </c>
      <c r="F704" s="13" t="s">
        <v>328</v>
      </c>
      <c r="G704" s="46">
        <v>0.2</v>
      </c>
    </row>
    <row r="705" ht="15.75" customHeight="1">
      <c r="A705" s="43">
        <v>46359.0</v>
      </c>
      <c r="B705" s="43">
        <v>46373.0</v>
      </c>
      <c r="C705" s="44" t="s">
        <v>138</v>
      </c>
      <c r="D705" s="6" t="s">
        <v>335</v>
      </c>
      <c r="E705" s="8" t="s">
        <v>128</v>
      </c>
      <c r="F705" s="13" t="s">
        <v>129</v>
      </c>
      <c r="G705" s="46">
        <v>0.2</v>
      </c>
    </row>
    <row r="706" ht="15.75" customHeight="1">
      <c r="A706" s="43">
        <v>46359.0</v>
      </c>
      <c r="B706" s="43">
        <v>46373.0</v>
      </c>
      <c r="C706" s="44" t="s">
        <v>138</v>
      </c>
      <c r="D706" s="6" t="s">
        <v>335</v>
      </c>
      <c r="E706" s="8" t="s">
        <v>128</v>
      </c>
      <c r="F706" s="13" t="s">
        <v>129</v>
      </c>
      <c r="G706" s="46">
        <v>0.2</v>
      </c>
    </row>
    <row r="707" ht="15.75" customHeight="1">
      <c r="A707" s="43">
        <v>46359.0</v>
      </c>
      <c r="B707" s="43">
        <v>46373.0</v>
      </c>
      <c r="C707" s="44" t="s">
        <v>138</v>
      </c>
      <c r="D707" s="6" t="s">
        <v>347</v>
      </c>
      <c r="E707" s="8" t="s">
        <v>223</v>
      </c>
      <c r="F707" s="13" t="s">
        <v>328</v>
      </c>
      <c r="G707" s="46">
        <v>0.2</v>
      </c>
    </row>
    <row r="708" ht="15.75" customHeight="1">
      <c r="A708" s="43">
        <v>46359.0</v>
      </c>
      <c r="B708" s="43">
        <v>46373.0</v>
      </c>
      <c r="C708" s="44" t="s">
        <v>138</v>
      </c>
      <c r="D708" s="6" t="s">
        <v>347</v>
      </c>
      <c r="E708" s="8" t="s">
        <v>223</v>
      </c>
      <c r="F708" s="13" t="s">
        <v>328</v>
      </c>
      <c r="G708" s="46">
        <v>0.2</v>
      </c>
    </row>
    <row r="709" ht="15.75" customHeight="1">
      <c r="A709" s="43">
        <v>46359.0</v>
      </c>
      <c r="B709" s="43">
        <v>46373.0</v>
      </c>
      <c r="C709" s="44" t="s">
        <v>138</v>
      </c>
      <c r="D709" s="6" t="s">
        <v>334</v>
      </c>
      <c r="E709" s="8" t="s">
        <v>223</v>
      </c>
      <c r="F709" s="13" t="s">
        <v>328</v>
      </c>
      <c r="G709" s="46">
        <v>0.2</v>
      </c>
    </row>
    <row r="710" ht="15.75" customHeight="1">
      <c r="A710" s="43">
        <v>46359.0</v>
      </c>
      <c r="B710" s="43">
        <v>46373.0</v>
      </c>
      <c r="C710" s="44" t="s">
        <v>138</v>
      </c>
      <c r="D710" s="6" t="s">
        <v>334</v>
      </c>
      <c r="E710" s="8" t="s">
        <v>223</v>
      </c>
      <c r="F710" s="13" t="s">
        <v>328</v>
      </c>
      <c r="G710" s="46">
        <v>0.2</v>
      </c>
    </row>
    <row r="711" ht="15.75" customHeight="1">
      <c r="A711" s="43">
        <v>46359.0</v>
      </c>
      <c r="B711" s="43">
        <v>46373.0</v>
      </c>
      <c r="C711" s="44" t="s">
        <v>138</v>
      </c>
      <c r="D711" s="6" t="s">
        <v>409</v>
      </c>
      <c r="E711" s="8" t="s">
        <v>338</v>
      </c>
      <c r="F711" s="13" t="s">
        <v>339</v>
      </c>
      <c r="G711" s="46">
        <v>0.2</v>
      </c>
    </row>
    <row r="712" ht="15.75" customHeight="1">
      <c r="A712" s="43">
        <v>46359.0</v>
      </c>
      <c r="B712" s="43">
        <v>46373.0</v>
      </c>
      <c r="C712" s="44" t="s">
        <v>138</v>
      </c>
      <c r="D712" s="6" t="s">
        <v>409</v>
      </c>
      <c r="E712" s="8" t="s">
        <v>338</v>
      </c>
      <c r="F712" s="13" t="s">
        <v>339</v>
      </c>
      <c r="G712" s="46">
        <v>0.2</v>
      </c>
    </row>
    <row r="713" ht="15.75" customHeight="1">
      <c r="A713" s="43">
        <v>46359.0</v>
      </c>
      <c r="B713" s="43">
        <v>46373.0</v>
      </c>
      <c r="C713" s="44" t="s">
        <v>138</v>
      </c>
      <c r="D713" s="6" t="s">
        <v>342</v>
      </c>
      <c r="E713" s="8" t="s">
        <v>128</v>
      </c>
      <c r="F713" s="13" t="s">
        <v>129</v>
      </c>
      <c r="G713" s="46">
        <v>0.2</v>
      </c>
    </row>
    <row r="714" ht="15.75" customHeight="1">
      <c r="A714" s="43">
        <v>46359.0</v>
      </c>
      <c r="B714" s="43">
        <v>46373.0</v>
      </c>
      <c r="C714" s="44" t="s">
        <v>138</v>
      </c>
      <c r="D714" s="6" t="s">
        <v>342</v>
      </c>
      <c r="E714" s="8" t="s">
        <v>128</v>
      </c>
      <c r="F714" s="13" t="s">
        <v>129</v>
      </c>
      <c r="G714" s="46">
        <v>0.2</v>
      </c>
    </row>
    <row r="715" ht="15.75" customHeight="1">
      <c r="A715" s="43">
        <v>46359.0</v>
      </c>
      <c r="B715" s="43">
        <v>46373.0</v>
      </c>
      <c r="C715" s="44" t="s">
        <v>138</v>
      </c>
      <c r="D715" s="6" t="s">
        <v>341</v>
      </c>
      <c r="E715" s="8" t="s">
        <v>128</v>
      </c>
      <c r="F715" s="13" t="s">
        <v>129</v>
      </c>
      <c r="G715" s="46">
        <v>0.2</v>
      </c>
    </row>
    <row r="716" ht="15.75" customHeight="1">
      <c r="A716" s="43">
        <v>46359.0</v>
      </c>
      <c r="B716" s="43">
        <v>46373.0</v>
      </c>
      <c r="C716" s="44" t="s">
        <v>138</v>
      </c>
      <c r="D716" s="6" t="s">
        <v>341</v>
      </c>
      <c r="E716" s="8" t="s">
        <v>128</v>
      </c>
      <c r="F716" s="13" t="s">
        <v>129</v>
      </c>
      <c r="G716" s="46">
        <v>0.2</v>
      </c>
    </row>
    <row r="717" ht="15.75" customHeight="1">
      <c r="A717" s="43">
        <v>46359.0</v>
      </c>
      <c r="B717" s="43">
        <v>46373.0</v>
      </c>
      <c r="C717" s="44" t="s">
        <v>138</v>
      </c>
      <c r="D717" s="6" t="s">
        <v>436</v>
      </c>
      <c r="E717" s="8" t="s">
        <v>223</v>
      </c>
      <c r="F717" s="13" t="s">
        <v>364</v>
      </c>
      <c r="G717" s="46">
        <v>0.25</v>
      </c>
    </row>
    <row r="718" ht="15.75" customHeight="1">
      <c r="A718" s="43">
        <v>46359.0</v>
      </c>
      <c r="B718" s="43">
        <v>46373.0</v>
      </c>
      <c r="C718" s="44" t="s">
        <v>138</v>
      </c>
      <c r="D718" s="6" t="s">
        <v>437</v>
      </c>
      <c r="E718" s="8" t="s">
        <v>223</v>
      </c>
      <c r="F718" s="13" t="s">
        <v>328</v>
      </c>
      <c r="G718" s="46">
        <v>0.2</v>
      </c>
    </row>
    <row r="719" ht="15.75" customHeight="1">
      <c r="A719" s="43">
        <v>46359.0</v>
      </c>
      <c r="B719" s="43">
        <v>46373.0</v>
      </c>
      <c r="C719" s="44" t="s">
        <v>138</v>
      </c>
      <c r="D719" s="6" t="s">
        <v>438</v>
      </c>
      <c r="E719" s="8" t="s">
        <v>223</v>
      </c>
      <c r="F719" s="13" t="s">
        <v>364</v>
      </c>
      <c r="G719" s="46">
        <v>0.25</v>
      </c>
    </row>
    <row r="720" ht="15.75" customHeight="1">
      <c r="A720" s="43">
        <v>46359.0</v>
      </c>
      <c r="B720" s="43">
        <v>46373.0</v>
      </c>
      <c r="C720" s="44" t="s">
        <v>138</v>
      </c>
      <c r="D720" s="6" t="s">
        <v>439</v>
      </c>
      <c r="E720" s="8" t="s">
        <v>223</v>
      </c>
      <c r="F720" s="13" t="s">
        <v>328</v>
      </c>
      <c r="G720" s="46">
        <v>0.2</v>
      </c>
    </row>
    <row r="721" ht="15.75" customHeight="1">
      <c r="A721" s="43">
        <v>46359.0</v>
      </c>
      <c r="B721" s="43">
        <v>46373.0</v>
      </c>
      <c r="C721" s="44" t="s">
        <v>138</v>
      </c>
      <c r="D721" s="6" t="s">
        <v>411</v>
      </c>
      <c r="E721" s="8" t="s">
        <v>325</v>
      </c>
      <c r="F721" s="13" t="s">
        <v>326</v>
      </c>
      <c r="G721" s="46">
        <v>0.2</v>
      </c>
    </row>
    <row r="722" ht="15.75" customHeight="1">
      <c r="A722" s="43">
        <v>46359.0</v>
      </c>
      <c r="B722" s="43">
        <v>46373.0</v>
      </c>
      <c r="C722" s="44" t="s">
        <v>138</v>
      </c>
      <c r="D722" s="6" t="s">
        <v>411</v>
      </c>
      <c r="E722" s="8" t="s">
        <v>325</v>
      </c>
      <c r="F722" s="13" t="s">
        <v>326</v>
      </c>
      <c r="G722" s="46">
        <v>0.2</v>
      </c>
    </row>
    <row r="723" ht="15.75" customHeight="1">
      <c r="A723" s="43">
        <v>46359.0</v>
      </c>
      <c r="B723" s="43">
        <v>46373.0</v>
      </c>
      <c r="C723" s="44" t="s">
        <v>138</v>
      </c>
      <c r="D723" s="6" t="s">
        <v>350</v>
      </c>
      <c r="E723" s="8" t="s">
        <v>325</v>
      </c>
      <c r="F723" s="13" t="s">
        <v>326</v>
      </c>
      <c r="G723" s="46">
        <v>0.2</v>
      </c>
    </row>
    <row r="724" ht="15.75" customHeight="1">
      <c r="A724" s="43">
        <v>46359.0</v>
      </c>
      <c r="B724" s="43">
        <v>46373.0</v>
      </c>
      <c r="C724" s="44" t="s">
        <v>138</v>
      </c>
      <c r="D724" s="6" t="s">
        <v>350</v>
      </c>
      <c r="E724" s="8" t="s">
        <v>325</v>
      </c>
      <c r="F724" s="13" t="s">
        <v>326</v>
      </c>
      <c r="G724" s="46">
        <v>0.2</v>
      </c>
    </row>
    <row r="725" ht="15.75" customHeight="1">
      <c r="A725" s="43">
        <v>46359.0</v>
      </c>
      <c r="B725" s="43">
        <v>46373.0</v>
      </c>
      <c r="C725" s="44" t="s">
        <v>138</v>
      </c>
      <c r="D725" s="6" t="s">
        <v>348</v>
      </c>
      <c r="E725" s="8" t="s">
        <v>223</v>
      </c>
      <c r="F725" s="13" t="s">
        <v>328</v>
      </c>
      <c r="G725" s="46">
        <v>0.2</v>
      </c>
    </row>
    <row r="726" ht="15.75" customHeight="1">
      <c r="A726" s="43">
        <v>46359.0</v>
      </c>
      <c r="B726" s="43">
        <v>46373.0</v>
      </c>
      <c r="C726" s="44" t="s">
        <v>138</v>
      </c>
      <c r="D726" s="6" t="s">
        <v>348</v>
      </c>
      <c r="E726" s="8" t="s">
        <v>223</v>
      </c>
      <c r="F726" s="13" t="s">
        <v>328</v>
      </c>
      <c r="G726" s="46">
        <v>0.2</v>
      </c>
    </row>
    <row r="727" ht="15.75" customHeight="1">
      <c r="A727" s="43">
        <v>46359.0</v>
      </c>
      <c r="B727" s="43">
        <v>46373.0</v>
      </c>
      <c r="C727" s="44" t="s">
        <v>138</v>
      </c>
      <c r="D727" s="6" t="s">
        <v>414</v>
      </c>
      <c r="E727" s="8" t="s">
        <v>128</v>
      </c>
      <c r="F727" s="13" t="s">
        <v>129</v>
      </c>
      <c r="G727" s="46">
        <v>0.2</v>
      </c>
    </row>
    <row r="728" ht="15.75" customHeight="1">
      <c r="A728" s="43">
        <v>46359.0</v>
      </c>
      <c r="B728" s="43">
        <v>46373.0</v>
      </c>
      <c r="C728" s="44" t="s">
        <v>138</v>
      </c>
      <c r="D728" s="6" t="s">
        <v>414</v>
      </c>
      <c r="E728" s="8" t="s">
        <v>128</v>
      </c>
      <c r="F728" s="13" t="s">
        <v>129</v>
      </c>
      <c r="G728" s="46">
        <v>0.2</v>
      </c>
    </row>
    <row r="729" ht="15.75" customHeight="1">
      <c r="A729" s="43">
        <v>46359.0</v>
      </c>
      <c r="B729" s="43">
        <v>46373.0</v>
      </c>
      <c r="C729" s="44" t="s">
        <v>138</v>
      </c>
      <c r="D729" s="6" t="s">
        <v>329</v>
      </c>
      <c r="E729" s="8" t="s">
        <v>128</v>
      </c>
      <c r="F729" s="13" t="s">
        <v>129</v>
      </c>
      <c r="G729" s="46">
        <v>0.2</v>
      </c>
    </row>
    <row r="730" ht="15.75" customHeight="1">
      <c r="A730" s="43">
        <v>46359.0</v>
      </c>
      <c r="B730" s="43">
        <v>46373.0</v>
      </c>
      <c r="C730" s="44" t="s">
        <v>138</v>
      </c>
      <c r="D730" s="6" t="s">
        <v>329</v>
      </c>
      <c r="E730" s="8" t="s">
        <v>128</v>
      </c>
      <c r="F730" s="13" t="s">
        <v>129</v>
      </c>
      <c r="G730" s="46">
        <v>0.2</v>
      </c>
    </row>
    <row r="731" ht="15.75" customHeight="1">
      <c r="A731" s="43">
        <v>46359.0</v>
      </c>
      <c r="B731" s="43">
        <v>46373.0</v>
      </c>
      <c r="C731" s="44" t="s">
        <v>138</v>
      </c>
      <c r="D731" s="6" t="s">
        <v>418</v>
      </c>
      <c r="E731" s="8" t="s">
        <v>128</v>
      </c>
      <c r="F731" s="13" t="s">
        <v>129</v>
      </c>
      <c r="G731" s="46">
        <v>0.2</v>
      </c>
    </row>
    <row r="732" ht="15.75" customHeight="1">
      <c r="A732" s="43">
        <v>46359.0</v>
      </c>
      <c r="B732" s="43">
        <v>46373.0</v>
      </c>
      <c r="C732" s="44" t="s">
        <v>138</v>
      </c>
      <c r="D732" s="6" t="s">
        <v>418</v>
      </c>
      <c r="E732" s="8" t="s">
        <v>128</v>
      </c>
      <c r="F732" s="13" t="s">
        <v>129</v>
      </c>
      <c r="G732" s="46">
        <v>0.2</v>
      </c>
    </row>
    <row r="733" ht="15.75" customHeight="1">
      <c r="A733" s="43">
        <v>46359.0</v>
      </c>
      <c r="B733" s="43">
        <v>46373.0</v>
      </c>
      <c r="C733" s="44" t="s">
        <v>138</v>
      </c>
      <c r="D733" s="6" t="s">
        <v>336</v>
      </c>
      <c r="E733" s="8" t="s">
        <v>223</v>
      </c>
      <c r="F733" s="13" t="s">
        <v>328</v>
      </c>
      <c r="G733" s="46">
        <v>0.2</v>
      </c>
    </row>
    <row r="734" ht="15.75" customHeight="1">
      <c r="A734" s="43">
        <v>46359.0</v>
      </c>
      <c r="B734" s="43">
        <v>46373.0</v>
      </c>
      <c r="C734" s="44" t="s">
        <v>138</v>
      </c>
      <c r="D734" s="6" t="s">
        <v>336</v>
      </c>
      <c r="E734" s="8" t="s">
        <v>223</v>
      </c>
      <c r="F734" s="13" t="s">
        <v>328</v>
      </c>
      <c r="G734" s="46">
        <v>0.2</v>
      </c>
    </row>
    <row r="735" ht="15.75" customHeight="1">
      <c r="A735" s="43">
        <v>46359.0</v>
      </c>
      <c r="B735" s="43">
        <v>46373.0</v>
      </c>
      <c r="C735" s="44" t="s">
        <v>138</v>
      </c>
      <c r="D735" s="6" t="s">
        <v>18</v>
      </c>
      <c r="E735" s="8" t="s">
        <v>244</v>
      </c>
      <c r="F735" s="13" t="s">
        <v>250</v>
      </c>
      <c r="G735" s="46">
        <v>0.33</v>
      </c>
    </row>
    <row r="736" ht="15.75" customHeight="1">
      <c r="A736" s="43">
        <v>46359.0</v>
      </c>
      <c r="B736" s="43">
        <v>46373.0</v>
      </c>
      <c r="C736" s="44" t="s">
        <v>138</v>
      </c>
      <c r="D736" s="6" t="s">
        <v>18</v>
      </c>
      <c r="E736" s="8" t="s">
        <v>244</v>
      </c>
      <c r="F736" s="13" t="s">
        <v>254</v>
      </c>
      <c r="G736" s="46">
        <v>0.3</v>
      </c>
    </row>
    <row r="737" ht="15.75" customHeight="1">
      <c r="A737" s="43">
        <v>46359.0</v>
      </c>
      <c r="B737" s="43">
        <v>46373.0</v>
      </c>
      <c r="C737" s="44" t="s">
        <v>138</v>
      </c>
      <c r="D737" s="6" t="s">
        <v>32</v>
      </c>
      <c r="E737" s="8" t="s">
        <v>244</v>
      </c>
      <c r="F737" s="13" t="s">
        <v>250</v>
      </c>
      <c r="G737" s="46">
        <v>0.33</v>
      </c>
    </row>
    <row r="738" ht="15.75" customHeight="1">
      <c r="A738" s="43">
        <v>46359.0</v>
      </c>
      <c r="B738" s="43">
        <v>46373.0</v>
      </c>
      <c r="C738" s="44" t="s">
        <v>138</v>
      </c>
      <c r="D738" s="6" t="s">
        <v>32</v>
      </c>
      <c r="E738" s="8" t="s">
        <v>244</v>
      </c>
      <c r="F738" s="13" t="s">
        <v>254</v>
      </c>
      <c r="G738" s="46">
        <v>0.3</v>
      </c>
    </row>
    <row r="739" ht="15.75" customHeight="1">
      <c r="A739" s="43">
        <v>46359.0</v>
      </c>
      <c r="B739" s="43">
        <v>46373.0</v>
      </c>
      <c r="C739" s="44" t="s">
        <v>138</v>
      </c>
      <c r="D739" s="6" t="s">
        <v>34</v>
      </c>
      <c r="E739" s="8" t="s">
        <v>244</v>
      </c>
      <c r="F739" s="13" t="s">
        <v>250</v>
      </c>
      <c r="G739" s="46">
        <v>0.33</v>
      </c>
    </row>
    <row r="740" ht="15.75" customHeight="1">
      <c r="A740" s="43">
        <v>46359.0</v>
      </c>
      <c r="B740" s="43">
        <v>46373.0</v>
      </c>
      <c r="C740" s="44" t="s">
        <v>138</v>
      </c>
      <c r="D740" s="6" t="s">
        <v>34</v>
      </c>
      <c r="E740" s="8" t="s">
        <v>244</v>
      </c>
      <c r="F740" s="13" t="s">
        <v>254</v>
      </c>
      <c r="G740" s="46">
        <v>0.3</v>
      </c>
    </row>
    <row r="741" ht="15.75" customHeight="1">
      <c r="A741" s="43">
        <v>46359.0</v>
      </c>
      <c r="B741" s="43">
        <v>46373.0</v>
      </c>
      <c r="C741" s="44" t="s">
        <v>138</v>
      </c>
      <c r="D741" s="6" t="s">
        <v>307</v>
      </c>
      <c r="E741" s="8" t="s">
        <v>244</v>
      </c>
      <c r="F741" s="13" t="s">
        <v>250</v>
      </c>
      <c r="G741" s="46">
        <v>0.33</v>
      </c>
    </row>
    <row r="742" ht="15.75" customHeight="1">
      <c r="A742" s="43">
        <v>46359.0</v>
      </c>
      <c r="B742" s="43">
        <v>46373.0</v>
      </c>
      <c r="C742" s="44" t="s">
        <v>138</v>
      </c>
      <c r="D742" s="6" t="s">
        <v>307</v>
      </c>
      <c r="E742" s="8" t="s">
        <v>244</v>
      </c>
      <c r="F742" s="13" t="s">
        <v>254</v>
      </c>
      <c r="G742" s="46">
        <v>0.3</v>
      </c>
    </row>
    <row r="743" ht="15.75" customHeight="1">
      <c r="A743" s="43">
        <v>46359.0</v>
      </c>
      <c r="B743" s="43">
        <v>46373.0</v>
      </c>
      <c r="C743" s="44" t="s">
        <v>138</v>
      </c>
      <c r="D743" s="6" t="s">
        <v>428</v>
      </c>
      <c r="E743" s="8" t="s">
        <v>244</v>
      </c>
      <c r="F743" s="13" t="s">
        <v>252</v>
      </c>
      <c r="G743" s="46">
        <v>0.2</v>
      </c>
    </row>
    <row r="744" ht="15.75" customHeight="1">
      <c r="A744" s="43">
        <v>46359.0</v>
      </c>
      <c r="B744" s="43">
        <v>46373.0</v>
      </c>
      <c r="C744" s="44" t="s">
        <v>138</v>
      </c>
      <c r="D744" s="6" t="s">
        <v>428</v>
      </c>
      <c r="E744" s="8" t="s">
        <v>244</v>
      </c>
      <c r="F744" s="13" t="s">
        <v>252</v>
      </c>
      <c r="G744" s="46">
        <v>0.2</v>
      </c>
    </row>
    <row r="745" ht="15.75" customHeight="1">
      <c r="A745" s="43">
        <v>46364.0</v>
      </c>
      <c r="B745" s="43">
        <v>46370.0</v>
      </c>
      <c r="C745" s="44" t="s">
        <v>92</v>
      </c>
      <c r="D745" s="6" t="s">
        <v>17</v>
      </c>
      <c r="E745" s="8" t="s">
        <v>95</v>
      </c>
      <c r="F745" s="13" t="s">
        <v>137</v>
      </c>
      <c r="G745" s="46">
        <v>0.6</v>
      </c>
    </row>
    <row r="746" ht="15.75" customHeight="1">
      <c r="A746" s="43">
        <v>46364.0</v>
      </c>
      <c r="B746" s="43">
        <v>46370.0</v>
      </c>
      <c r="C746" s="44" t="s">
        <v>92</v>
      </c>
      <c r="D746" s="6" t="s">
        <v>17</v>
      </c>
      <c r="E746" s="8" t="s">
        <v>88</v>
      </c>
      <c r="F746" s="13" t="s">
        <v>280</v>
      </c>
      <c r="G746" s="46">
        <v>0.6</v>
      </c>
    </row>
    <row r="747" ht="15.75" customHeight="1">
      <c r="A747" s="43">
        <v>46372.0</v>
      </c>
      <c r="B747" s="43">
        <v>46029.0</v>
      </c>
      <c r="C747" s="44" t="s">
        <v>106</v>
      </c>
      <c r="D747" s="6" t="s">
        <v>24</v>
      </c>
      <c r="E747" s="8" t="s">
        <v>88</v>
      </c>
      <c r="F747" s="13" t="s">
        <v>280</v>
      </c>
      <c r="G747" s="46">
        <v>0.6</v>
      </c>
    </row>
    <row r="748" ht="15.75" customHeight="1">
      <c r="A748" s="43">
        <v>46372.0</v>
      </c>
      <c r="B748" s="43">
        <v>46029.0</v>
      </c>
      <c r="C748" s="44" t="s">
        <v>106</v>
      </c>
      <c r="D748" s="6" t="s">
        <v>24</v>
      </c>
      <c r="E748" s="8" t="s">
        <v>89</v>
      </c>
      <c r="F748" s="13" t="s">
        <v>240</v>
      </c>
      <c r="G748" s="46">
        <v>0.6</v>
      </c>
    </row>
    <row r="749" ht="15.75" customHeight="1">
      <c r="A749" s="43">
        <v>46372.0</v>
      </c>
      <c r="B749" s="43">
        <v>46029.0</v>
      </c>
      <c r="C749" s="44" t="s">
        <v>106</v>
      </c>
      <c r="D749" s="6" t="s">
        <v>312</v>
      </c>
      <c r="E749" s="8" t="s">
        <v>188</v>
      </c>
      <c r="F749" s="13" t="s">
        <v>189</v>
      </c>
      <c r="G749" s="46">
        <v>0.4</v>
      </c>
    </row>
    <row r="750" ht="15.75" customHeight="1">
      <c r="A750" s="43">
        <v>46372.0</v>
      </c>
      <c r="B750" s="43">
        <v>46029.0</v>
      </c>
      <c r="C750" s="44" t="s">
        <v>106</v>
      </c>
      <c r="D750" s="6" t="s">
        <v>312</v>
      </c>
      <c r="E750" s="8" t="s">
        <v>284</v>
      </c>
      <c r="F750" s="13" t="s">
        <v>314</v>
      </c>
      <c r="G750" s="46">
        <v>0.35</v>
      </c>
    </row>
    <row r="751" ht="15.75" customHeight="1">
      <c r="A751" s="43">
        <v>46378.0</v>
      </c>
      <c r="B751" s="43">
        <v>46384.0</v>
      </c>
      <c r="C751" s="44" t="s">
        <v>191</v>
      </c>
      <c r="D751" s="6" t="s">
        <v>195</v>
      </c>
      <c r="E751" s="8" t="s">
        <v>196</v>
      </c>
      <c r="F751" s="13" t="s">
        <v>286</v>
      </c>
      <c r="G751" s="46">
        <v>0.4</v>
      </c>
    </row>
    <row r="752" ht="15.75" customHeight="1">
      <c r="A752" s="43">
        <v>46378.0</v>
      </c>
      <c r="B752" s="43">
        <v>46384.0</v>
      </c>
      <c r="C752" s="44" t="s">
        <v>191</v>
      </c>
      <c r="D752" s="6" t="s">
        <v>195</v>
      </c>
      <c r="E752" s="8" t="s">
        <v>196</v>
      </c>
      <c r="F752" s="13" t="s">
        <v>286</v>
      </c>
      <c r="G752" s="46">
        <v>0.4</v>
      </c>
    </row>
    <row r="753" ht="15.75" customHeight="1">
      <c r="A753" s="43">
        <v>46378.0</v>
      </c>
      <c r="B753" s="43">
        <v>46384.0</v>
      </c>
      <c r="C753" s="44" t="s">
        <v>191</v>
      </c>
      <c r="D753" s="6" t="s">
        <v>296</v>
      </c>
      <c r="E753" s="8" t="s">
        <v>196</v>
      </c>
      <c r="F753" s="13" t="s">
        <v>198</v>
      </c>
      <c r="G753" s="46">
        <v>0.35</v>
      </c>
    </row>
    <row r="754" ht="15.75" customHeight="1">
      <c r="A754" s="43">
        <v>46378.0</v>
      </c>
      <c r="B754" s="43">
        <v>46384.0</v>
      </c>
      <c r="C754" s="44" t="s">
        <v>191</v>
      </c>
      <c r="D754" s="6" t="s">
        <v>296</v>
      </c>
      <c r="E754" s="8" t="s">
        <v>196</v>
      </c>
      <c r="F754" s="13" t="s">
        <v>198</v>
      </c>
      <c r="G754" s="46">
        <v>0.35</v>
      </c>
    </row>
    <row r="755" ht="15.75" customHeight="1">
      <c r="A755" s="43">
        <v>46378.0</v>
      </c>
      <c r="B755" s="43">
        <v>46384.0</v>
      </c>
      <c r="C755" s="44" t="s">
        <v>191</v>
      </c>
      <c r="D755" s="6" t="s">
        <v>221</v>
      </c>
      <c r="E755" s="8" t="s">
        <v>196</v>
      </c>
      <c r="F755" s="13" t="s">
        <v>198</v>
      </c>
      <c r="G755" s="46">
        <v>0.35</v>
      </c>
    </row>
    <row r="756" ht="15.75" customHeight="1">
      <c r="A756" s="43">
        <v>46378.0</v>
      </c>
      <c r="B756" s="43">
        <v>46384.0</v>
      </c>
      <c r="C756" s="44" t="s">
        <v>191</v>
      </c>
      <c r="D756" s="6" t="s">
        <v>221</v>
      </c>
      <c r="E756" s="8" t="s">
        <v>196</v>
      </c>
      <c r="F756" s="13" t="s">
        <v>198</v>
      </c>
      <c r="G756" s="46">
        <v>0.35</v>
      </c>
    </row>
    <row r="757" ht="15.75" customHeight="1">
      <c r="A757" s="43">
        <v>46378.0</v>
      </c>
      <c r="B757" s="43">
        <v>46384.0</v>
      </c>
      <c r="C757" s="44" t="s">
        <v>191</v>
      </c>
      <c r="D757" s="6" t="s">
        <v>224</v>
      </c>
      <c r="E757" s="8" t="s">
        <v>131</v>
      </c>
      <c r="F757" s="13" t="s">
        <v>207</v>
      </c>
      <c r="G757" s="46">
        <v>0.35</v>
      </c>
    </row>
    <row r="758" ht="15.75" customHeight="1">
      <c r="A758" s="43">
        <v>46378.0</v>
      </c>
      <c r="B758" s="43">
        <v>46384.0</v>
      </c>
      <c r="C758" s="44" t="s">
        <v>191</v>
      </c>
      <c r="D758" s="6" t="s">
        <v>224</v>
      </c>
      <c r="E758" s="8" t="s">
        <v>240</v>
      </c>
      <c r="F758" s="13" t="s">
        <v>303</v>
      </c>
      <c r="G758" s="46">
        <v>0.35</v>
      </c>
    </row>
    <row r="759" ht="15.75" customHeight="1">
      <c r="A759" s="43">
        <v>46378.0</v>
      </c>
      <c r="B759" s="43">
        <v>46384.0</v>
      </c>
      <c r="C759" s="44" t="s">
        <v>191</v>
      </c>
      <c r="D759" s="6" t="s">
        <v>226</v>
      </c>
      <c r="E759" s="8" t="s">
        <v>196</v>
      </c>
      <c r="F759" s="13" t="s">
        <v>198</v>
      </c>
      <c r="G759" s="46">
        <v>0.35</v>
      </c>
    </row>
    <row r="760" ht="15.75" customHeight="1">
      <c r="A760" s="43">
        <v>46378.0</v>
      </c>
      <c r="B760" s="43">
        <v>46384.0</v>
      </c>
      <c r="C760" s="44" t="s">
        <v>191</v>
      </c>
      <c r="D760" s="6" t="s">
        <v>226</v>
      </c>
      <c r="E760" s="8" t="s">
        <v>196</v>
      </c>
      <c r="F760" s="13" t="s">
        <v>198</v>
      </c>
      <c r="G760" s="46">
        <v>0.35</v>
      </c>
    </row>
    <row r="761" ht="15.75" customHeight="1">
      <c r="A761" s="43">
        <v>46378.0</v>
      </c>
      <c r="B761" s="43">
        <v>46384.0</v>
      </c>
      <c r="C761" s="44" t="s">
        <v>191</v>
      </c>
      <c r="D761" s="6" t="s">
        <v>229</v>
      </c>
      <c r="E761" s="8" t="s">
        <v>196</v>
      </c>
      <c r="F761" s="13" t="s">
        <v>198</v>
      </c>
      <c r="G761" s="46">
        <v>0.35</v>
      </c>
    </row>
    <row r="762" ht="15.75" customHeight="1">
      <c r="A762" s="43">
        <v>46378.0</v>
      </c>
      <c r="B762" s="43">
        <v>46384.0</v>
      </c>
      <c r="C762" s="44" t="s">
        <v>191</v>
      </c>
      <c r="D762" s="6" t="s">
        <v>229</v>
      </c>
      <c r="E762" s="8" t="s">
        <v>196</v>
      </c>
      <c r="F762" s="13" t="s">
        <v>198</v>
      </c>
      <c r="G762" s="46">
        <v>0.35</v>
      </c>
    </row>
    <row r="763" ht="15.75" customHeight="1">
      <c r="A763" s="43">
        <v>46378.0</v>
      </c>
      <c r="B763" s="43">
        <v>46384.0</v>
      </c>
      <c r="C763" s="44" t="s">
        <v>191</v>
      </c>
      <c r="D763" s="6" t="s">
        <v>375</v>
      </c>
      <c r="E763" s="8" t="s">
        <v>196</v>
      </c>
      <c r="F763" s="13" t="s">
        <v>228</v>
      </c>
      <c r="G763" s="46">
        <v>0.3</v>
      </c>
    </row>
    <row r="764" ht="15.75" customHeight="1">
      <c r="A764" s="43">
        <v>46378.0</v>
      </c>
      <c r="B764" s="43">
        <v>46384.0</v>
      </c>
      <c r="C764" s="44" t="s">
        <v>191</v>
      </c>
      <c r="D764" s="6" t="s">
        <v>375</v>
      </c>
      <c r="E764" s="8" t="s">
        <v>196</v>
      </c>
      <c r="F764" s="13" t="s">
        <v>228</v>
      </c>
      <c r="G764" s="46">
        <v>0.3</v>
      </c>
    </row>
    <row r="765" ht="15.75" customHeight="1">
      <c r="A765" s="43">
        <v>46378.0</v>
      </c>
      <c r="B765" s="43">
        <v>46384.0</v>
      </c>
      <c r="C765" s="44" t="s">
        <v>191</v>
      </c>
      <c r="D765" s="6" t="s">
        <v>376</v>
      </c>
      <c r="E765" s="8" t="s">
        <v>131</v>
      </c>
      <c r="F765" s="13" t="s">
        <v>367</v>
      </c>
      <c r="G765" s="46">
        <v>0.25</v>
      </c>
    </row>
    <row r="766" ht="15.75" customHeight="1">
      <c r="A766" s="43">
        <v>46378.0</v>
      </c>
      <c r="B766" s="43">
        <v>46384.0</v>
      </c>
      <c r="C766" s="44" t="s">
        <v>191</v>
      </c>
      <c r="D766" s="6" t="s">
        <v>376</v>
      </c>
      <c r="E766" s="8" t="s">
        <v>131</v>
      </c>
      <c r="F766" s="13" t="s">
        <v>367</v>
      </c>
      <c r="G766" s="46">
        <v>0.25</v>
      </c>
    </row>
    <row r="767" ht="15.75" customHeight="1">
      <c r="A767" s="43">
        <v>46378.0</v>
      </c>
      <c r="B767" s="43">
        <v>46384.0</v>
      </c>
      <c r="C767" s="44" t="s">
        <v>191</v>
      </c>
      <c r="D767" s="6" t="s">
        <v>403</v>
      </c>
      <c r="E767" s="8" t="s">
        <v>196</v>
      </c>
      <c r="F767" s="13" t="s">
        <v>242</v>
      </c>
      <c r="G767" s="46">
        <v>0.2</v>
      </c>
    </row>
    <row r="768" ht="15.75" customHeight="1">
      <c r="A768" s="43">
        <v>46378.0</v>
      </c>
      <c r="B768" s="43">
        <v>46384.0</v>
      </c>
      <c r="C768" s="44" t="s">
        <v>191</v>
      </c>
      <c r="D768" s="6" t="s">
        <v>404</v>
      </c>
      <c r="E768" s="8" t="s">
        <v>196</v>
      </c>
      <c r="F768" s="13" t="s">
        <v>242</v>
      </c>
      <c r="G768" s="46">
        <v>0.2</v>
      </c>
    </row>
    <row r="769" ht="15.75" customHeight="1">
      <c r="A769" s="43">
        <v>46378.0</v>
      </c>
      <c r="B769" s="43">
        <v>46384.0</v>
      </c>
      <c r="C769" s="44" t="s">
        <v>191</v>
      </c>
      <c r="D769" s="6" t="s">
        <v>201</v>
      </c>
      <c r="E769" s="8" t="s">
        <v>196</v>
      </c>
      <c r="F769" s="13" t="s">
        <v>286</v>
      </c>
      <c r="G769" s="46">
        <v>0.4</v>
      </c>
    </row>
    <row r="770" ht="15.75" customHeight="1">
      <c r="A770" s="43">
        <v>46378.0</v>
      </c>
      <c r="B770" s="43">
        <v>46384.0</v>
      </c>
      <c r="C770" s="44" t="s">
        <v>191</v>
      </c>
      <c r="D770" s="6" t="s">
        <v>201</v>
      </c>
      <c r="E770" s="8" t="s">
        <v>196</v>
      </c>
      <c r="F770" s="13" t="s">
        <v>286</v>
      </c>
      <c r="G770" s="46">
        <v>0.4</v>
      </c>
    </row>
    <row r="771" ht="15.75" customHeight="1">
      <c r="A771" s="43">
        <v>46378.0</v>
      </c>
      <c r="B771" s="43">
        <v>46384.0</v>
      </c>
      <c r="C771" s="44" t="s">
        <v>191</v>
      </c>
      <c r="D771" s="6" t="s">
        <v>203</v>
      </c>
      <c r="E771" s="8" t="s">
        <v>196</v>
      </c>
      <c r="F771" s="13" t="s">
        <v>286</v>
      </c>
      <c r="G771" s="46">
        <v>0.4</v>
      </c>
    </row>
    <row r="772" ht="15.75" customHeight="1">
      <c r="A772" s="43">
        <v>46378.0</v>
      </c>
      <c r="B772" s="43">
        <v>46384.0</v>
      </c>
      <c r="C772" s="44" t="s">
        <v>191</v>
      </c>
      <c r="D772" s="6" t="s">
        <v>203</v>
      </c>
      <c r="E772" s="8" t="s">
        <v>196</v>
      </c>
      <c r="F772" s="13" t="s">
        <v>286</v>
      </c>
      <c r="G772" s="46">
        <v>0.4</v>
      </c>
    </row>
    <row r="773" ht="15.75" customHeight="1">
      <c r="A773" s="43">
        <v>46378.0</v>
      </c>
      <c r="B773" s="43">
        <v>46384.0</v>
      </c>
      <c r="C773" s="44" t="s">
        <v>191</v>
      </c>
      <c r="D773" s="6" t="s">
        <v>205</v>
      </c>
      <c r="E773" s="8" t="s">
        <v>131</v>
      </c>
      <c r="F773" s="13" t="s">
        <v>288</v>
      </c>
      <c r="G773" s="46">
        <v>0.4</v>
      </c>
    </row>
    <row r="774" ht="15.75" customHeight="1">
      <c r="A774" s="43">
        <v>46378.0</v>
      </c>
      <c r="B774" s="43">
        <v>46384.0</v>
      </c>
      <c r="C774" s="44" t="s">
        <v>191</v>
      </c>
      <c r="D774" s="6" t="s">
        <v>205</v>
      </c>
      <c r="E774" s="8" t="s">
        <v>131</v>
      </c>
      <c r="F774" s="13" t="s">
        <v>288</v>
      </c>
      <c r="G774" s="46">
        <v>0.4</v>
      </c>
    </row>
    <row r="775" ht="15.75" customHeight="1">
      <c r="A775" s="43">
        <v>46378.0</v>
      </c>
      <c r="B775" s="43">
        <v>46384.0</v>
      </c>
      <c r="C775" s="44" t="s">
        <v>191</v>
      </c>
      <c r="D775" s="6" t="s">
        <v>209</v>
      </c>
      <c r="E775" s="8" t="s">
        <v>196</v>
      </c>
      <c r="F775" s="13" t="s">
        <v>198</v>
      </c>
      <c r="G775" s="46">
        <v>0.35</v>
      </c>
    </row>
    <row r="776" ht="15.75" customHeight="1">
      <c r="A776" s="43">
        <v>46378.0</v>
      </c>
      <c r="B776" s="43">
        <v>46384.0</v>
      </c>
      <c r="C776" s="44" t="s">
        <v>191</v>
      </c>
      <c r="D776" s="6" t="s">
        <v>209</v>
      </c>
      <c r="E776" s="8" t="s">
        <v>196</v>
      </c>
      <c r="F776" s="13" t="s">
        <v>198</v>
      </c>
      <c r="G776" s="46">
        <v>0.35</v>
      </c>
    </row>
    <row r="777" ht="15.75" customHeight="1">
      <c r="A777" s="43">
        <v>46378.0</v>
      </c>
      <c r="B777" s="43">
        <v>46384.0</v>
      </c>
      <c r="C777" s="44" t="s">
        <v>191</v>
      </c>
      <c r="D777" s="6" t="s">
        <v>291</v>
      </c>
      <c r="E777" s="8" t="s">
        <v>196</v>
      </c>
      <c r="F777" s="13" t="s">
        <v>198</v>
      </c>
      <c r="G777" s="46">
        <v>0.35</v>
      </c>
    </row>
    <row r="778" ht="15.75" customHeight="1">
      <c r="A778" s="43">
        <v>46378.0</v>
      </c>
      <c r="B778" s="43">
        <v>46384.0</v>
      </c>
      <c r="C778" s="44" t="s">
        <v>191</v>
      </c>
      <c r="D778" s="6" t="s">
        <v>291</v>
      </c>
      <c r="E778" s="8" t="s">
        <v>196</v>
      </c>
      <c r="F778" s="13" t="s">
        <v>198</v>
      </c>
      <c r="G778" s="46">
        <v>0.35</v>
      </c>
    </row>
    <row r="779" ht="15.75" customHeight="1">
      <c r="A779" s="43">
        <v>46378.0</v>
      </c>
      <c r="B779" s="43">
        <v>46384.0</v>
      </c>
      <c r="C779" s="44" t="s">
        <v>191</v>
      </c>
      <c r="D779" s="6" t="s">
        <v>292</v>
      </c>
      <c r="E779" s="8" t="s">
        <v>196</v>
      </c>
      <c r="F779" s="13" t="s">
        <v>198</v>
      </c>
      <c r="G779" s="46">
        <v>0.35</v>
      </c>
    </row>
    <row r="780" ht="15.75" customHeight="1">
      <c r="A780" s="43">
        <v>46378.0</v>
      </c>
      <c r="B780" s="43">
        <v>46384.0</v>
      </c>
      <c r="C780" s="44" t="s">
        <v>191</v>
      </c>
      <c r="D780" s="6" t="s">
        <v>292</v>
      </c>
      <c r="E780" s="8" t="s">
        <v>196</v>
      </c>
      <c r="F780" s="13" t="s">
        <v>198</v>
      </c>
      <c r="G780" s="46">
        <v>0.35</v>
      </c>
    </row>
    <row r="781" ht="15.75" customHeight="1">
      <c r="A781" s="43">
        <v>46378.0</v>
      </c>
      <c r="B781" s="43">
        <v>46384.0</v>
      </c>
      <c r="C781" s="44" t="s">
        <v>191</v>
      </c>
      <c r="D781" s="6" t="s">
        <v>293</v>
      </c>
      <c r="E781" s="8" t="s">
        <v>196</v>
      </c>
      <c r="F781" s="13" t="s">
        <v>198</v>
      </c>
      <c r="G781" s="46">
        <v>0.35</v>
      </c>
    </row>
    <row r="782" ht="15.75" customHeight="1">
      <c r="A782" s="43">
        <v>46378.0</v>
      </c>
      <c r="B782" s="43">
        <v>46384.0</v>
      </c>
      <c r="C782" s="44" t="s">
        <v>191</v>
      </c>
      <c r="D782" s="6" t="s">
        <v>293</v>
      </c>
      <c r="E782" s="8" t="s">
        <v>196</v>
      </c>
      <c r="F782" s="13" t="s">
        <v>198</v>
      </c>
      <c r="G782" s="46">
        <v>0.35</v>
      </c>
    </row>
    <row r="783" ht="15.75" customHeight="1">
      <c r="A783" s="43">
        <v>46378.0</v>
      </c>
      <c r="B783" s="43">
        <v>46384.0</v>
      </c>
      <c r="C783" s="44" t="s">
        <v>191</v>
      </c>
      <c r="D783" s="6" t="s">
        <v>295</v>
      </c>
      <c r="E783" s="8" t="s">
        <v>196</v>
      </c>
      <c r="F783" s="13" t="s">
        <v>198</v>
      </c>
      <c r="G783" s="46">
        <v>0.35</v>
      </c>
    </row>
    <row r="784" ht="15.75" customHeight="1">
      <c r="A784" s="43">
        <v>46378.0</v>
      </c>
      <c r="B784" s="43">
        <v>46384.0</v>
      </c>
      <c r="C784" s="44" t="s">
        <v>191</v>
      </c>
      <c r="D784" s="6" t="s">
        <v>295</v>
      </c>
      <c r="E784" s="8" t="s">
        <v>196</v>
      </c>
      <c r="F784" s="13" t="s">
        <v>198</v>
      </c>
      <c r="G784" s="46">
        <v>0.35</v>
      </c>
    </row>
    <row r="785" ht="15.75" customHeight="1">
      <c r="A785" s="43">
        <v>46385.0</v>
      </c>
      <c r="B785" s="43">
        <v>46026.0</v>
      </c>
      <c r="C785" s="44" t="s">
        <v>191</v>
      </c>
      <c r="D785" s="6" t="s">
        <v>268</v>
      </c>
      <c r="E785" s="8" t="s">
        <v>269</v>
      </c>
      <c r="F785" s="13" t="s">
        <v>132</v>
      </c>
      <c r="G785" s="46">
        <v>0.25</v>
      </c>
    </row>
    <row r="786" ht="15.75" customHeight="1">
      <c r="A786" s="43">
        <v>46385.0</v>
      </c>
      <c r="B786" s="43">
        <v>46026.0</v>
      </c>
      <c r="C786" s="44" t="s">
        <v>191</v>
      </c>
      <c r="D786" s="6" t="s">
        <v>268</v>
      </c>
      <c r="E786" s="8" t="s">
        <v>269</v>
      </c>
      <c r="F786" s="13" t="s">
        <v>132</v>
      </c>
      <c r="G786" s="46">
        <v>0.25</v>
      </c>
    </row>
    <row r="787" ht="15.75" customHeight="1">
      <c r="A787" s="43">
        <v>46385.0</v>
      </c>
      <c r="B787" s="43">
        <v>46026.0</v>
      </c>
      <c r="C787" s="44" t="s">
        <v>191</v>
      </c>
      <c r="D787" s="6" t="s">
        <v>275</v>
      </c>
      <c r="E787" s="8" t="s">
        <v>183</v>
      </c>
      <c r="F787" s="13" t="s">
        <v>269</v>
      </c>
      <c r="G787" s="46">
        <v>0.2</v>
      </c>
    </row>
    <row r="788" ht="15.75" customHeight="1">
      <c r="A788" s="43">
        <v>46385.0</v>
      </c>
      <c r="B788" s="43">
        <v>46026.0</v>
      </c>
      <c r="C788" s="44" t="s">
        <v>191</v>
      </c>
      <c r="D788" s="6" t="s">
        <v>275</v>
      </c>
      <c r="E788" s="8" t="s">
        <v>183</v>
      </c>
      <c r="F788" s="13" t="s">
        <v>269</v>
      </c>
      <c r="G788" s="46">
        <v>0.2</v>
      </c>
    </row>
    <row r="789" ht="15.75" customHeight="1"/>
    <row r="790" ht="15.75" customHeight="1">
      <c r="A790" s="42" t="s">
        <v>107</v>
      </c>
    </row>
    <row r="791" ht="15.75" customHeight="1">
      <c r="A791" s="86">
        <v>46013.0</v>
      </c>
      <c r="B791" s="86">
        <v>46029.0</v>
      </c>
      <c r="C791" s="87" t="s">
        <v>316</v>
      </c>
      <c r="D791" s="87" t="s">
        <v>268</v>
      </c>
      <c r="E791" s="65" t="s">
        <v>4</v>
      </c>
      <c r="F791" s="88" t="str">
        <f t="shared" ref="F791:F1142" si="10">IFERROR(E791*(1-G791),"-")</f>
        <v>-</v>
      </c>
      <c r="G791" s="89">
        <v>0.25</v>
      </c>
    </row>
    <row r="792" ht="15.75" customHeight="1">
      <c r="A792" s="86">
        <v>46013.0</v>
      </c>
      <c r="B792" s="86">
        <v>46029.0</v>
      </c>
      <c r="C792" s="87" t="s">
        <v>316</v>
      </c>
      <c r="D792" s="87" t="s">
        <v>265</v>
      </c>
      <c r="E792" s="65" t="s">
        <v>4</v>
      </c>
      <c r="F792" s="88" t="str">
        <f t="shared" si="10"/>
        <v>-</v>
      </c>
      <c r="G792" s="89">
        <v>0.33</v>
      </c>
    </row>
    <row r="793" ht="15.75" customHeight="1">
      <c r="A793" s="86">
        <v>46013.0</v>
      </c>
      <c r="B793" s="86">
        <v>46029.0</v>
      </c>
      <c r="C793" s="87" t="s">
        <v>316</v>
      </c>
      <c r="D793" s="87" t="s">
        <v>261</v>
      </c>
      <c r="E793" s="65" t="s">
        <v>4</v>
      </c>
      <c r="F793" s="88" t="str">
        <f t="shared" si="10"/>
        <v>-</v>
      </c>
      <c r="G793" s="89">
        <v>0.33</v>
      </c>
    </row>
    <row r="794" ht="15.75" customHeight="1">
      <c r="A794" s="86">
        <v>46013.0</v>
      </c>
      <c r="B794" s="86">
        <v>46029.0</v>
      </c>
      <c r="C794" s="87" t="s">
        <v>316</v>
      </c>
      <c r="D794" s="87" t="s">
        <v>24</v>
      </c>
      <c r="E794" s="65">
        <v>29.99</v>
      </c>
      <c r="F794" s="88">
        <f t="shared" si="10"/>
        <v>11.996</v>
      </c>
      <c r="G794" s="89">
        <v>0.6</v>
      </c>
    </row>
    <row r="795" ht="15.75" customHeight="1">
      <c r="A795" s="86">
        <v>46027.0</v>
      </c>
      <c r="B795" s="86">
        <v>46043.0</v>
      </c>
      <c r="C795" s="87" t="s">
        <v>317</v>
      </c>
      <c r="D795" s="87" t="s">
        <v>312</v>
      </c>
      <c r="E795" s="65">
        <v>129.99</v>
      </c>
      <c r="F795" s="88">
        <f t="shared" si="10"/>
        <v>77.994</v>
      </c>
      <c r="G795" s="89">
        <v>0.4</v>
      </c>
    </row>
    <row r="796" ht="15.75" customHeight="1">
      <c r="A796" s="86">
        <v>46027.0</v>
      </c>
      <c r="B796" s="86">
        <v>46043.0</v>
      </c>
      <c r="C796" s="87" t="s">
        <v>317</v>
      </c>
      <c r="D796" s="87" t="s">
        <v>353</v>
      </c>
      <c r="E796" s="65" t="s">
        <v>4</v>
      </c>
      <c r="F796" s="88" t="str">
        <f t="shared" si="10"/>
        <v>-</v>
      </c>
      <c r="G796" s="89">
        <v>0.35</v>
      </c>
    </row>
    <row r="797" ht="15.75" customHeight="1">
      <c r="A797" s="86">
        <v>46027.0</v>
      </c>
      <c r="B797" s="86">
        <v>46043.0</v>
      </c>
      <c r="C797" s="87" t="s">
        <v>317</v>
      </c>
      <c r="D797" s="87" t="s">
        <v>332</v>
      </c>
      <c r="E797" s="65" t="s">
        <v>4</v>
      </c>
      <c r="F797" s="88" t="str">
        <f t="shared" si="10"/>
        <v>-</v>
      </c>
      <c r="G797" s="89">
        <v>0.35</v>
      </c>
    </row>
    <row r="798" ht="15.75" customHeight="1">
      <c r="A798" s="86">
        <v>46027.0</v>
      </c>
      <c r="B798" s="86">
        <v>46043.0</v>
      </c>
      <c r="C798" s="87" t="s">
        <v>317</v>
      </c>
      <c r="D798" s="87" t="s">
        <v>343</v>
      </c>
      <c r="E798" s="65" t="s">
        <v>4</v>
      </c>
      <c r="F798" s="88" t="str">
        <f t="shared" si="10"/>
        <v>-</v>
      </c>
      <c r="G798" s="89">
        <v>0.35</v>
      </c>
    </row>
    <row r="799" ht="15.75" customHeight="1">
      <c r="A799" s="86">
        <v>46027.0</v>
      </c>
      <c r="B799" s="86">
        <v>46043.0</v>
      </c>
      <c r="C799" s="87" t="s">
        <v>317</v>
      </c>
      <c r="D799" s="87" t="s">
        <v>407</v>
      </c>
      <c r="E799" s="65" t="s">
        <v>4</v>
      </c>
      <c r="F799" s="88" t="str">
        <f t="shared" si="10"/>
        <v>-</v>
      </c>
      <c r="G799" s="89">
        <v>0.35</v>
      </c>
    </row>
    <row r="800" ht="15.75" customHeight="1">
      <c r="A800" s="86">
        <v>46027.0</v>
      </c>
      <c r="B800" s="86">
        <v>46043.0</v>
      </c>
      <c r="C800" s="87" t="s">
        <v>317</v>
      </c>
      <c r="D800" s="87" t="s">
        <v>340</v>
      </c>
      <c r="E800" s="65" t="s">
        <v>4</v>
      </c>
      <c r="F800" s="88" t="str">
        <f t="shared" si="10"/>
        <v>-</v>
      </c>
      <c r="G800" s="89">
        <v>0.35</v>
      </c>
    </row>
    <row r="801" ht="15.75" customHeight="1">
      <c r="A801" s="86">
        <v>46027.0</v>
      </c>
      <c r="B801" s="86">
        <v>46043.0</v>
      </c>
      <c r="C801" s="87" t="s">
        <v>317</v>
      </c>
      <c r="D801" s="87" t="s">
        <v>446</v>
      </c>
      <c r="E801" s="65" t="s">
        <v>4</v>
      </c>
      <c r="F801" s="88" t="str">
        <f t="shared" si="10"/>
        <v>-</v>
      </c>
      <c r="G801" s="89">
        <v>0.35</v>
      </c>
    </row>
    <row r="802" ht="15.75" customHeight="1">
      <c r="A802" s="86">
        <v>46027.0</v>
      </c>
      <c r="B802" s="86">
        <v>46043.0</v>
      </c>
      <c r="C802" s="87" t="s">
        <v>317</v>
      </c>
      <c r="D802" s="87" t="s">
        <v>331</v>
      </c>
      <c r="E802" s="65" t="s">
        <v>4</v>
      </c>
      <c r="F802" s="88" t="str">
        <f t="shared" si="10"/>
        <v>-</v>
      </c>
      <c r="G802" s="89">
        <v>0.35</v>
      </c>
    </row>
    <row r="803" ht="15.75" customHeight="1">
      <c r="A803" s="86">
        <v>46027.0</v>
      </c>
      <c r="B803" s="86">
        <v>46043.0</v>
      </c>
      <c r="C803" s="87" t="s">
        <v>317</v>
      </c>
      <c r="D803" s="87" t="s">
        <v>335</v>
      </c>
      <c r="E803" s="65" t="s">
        <v>4</v>
      </c>
      <c r="F803" s="88" t="str">
        <f t="shared" si="10"/>
        <v>-</v>
      </c>
      <c r="G803" s="89">
        <v>0.35</v>
      </c>
    </row>
    <row r="804" ht="15.75" customHeight="1">
      <c r="A804" s="86">
        <v>46027.0</v>
      </c>
      <c r="B804" s="86">
        <v>46043.0</v>
      </c>
      <c r="C804" s="87" t="s">
        <v>317</v>
      </c>
      <c r="D804" s="87" t="s">
        <v>347</v>
      </c>
      <c r="E804" s="65" t="s">
        <v>4</v>
      </c>
      <c r="F804" s="88" t="str">
        <f t="shared" si="10"/>
        <v>-</v>
      </c>
      <c r="G804" s="89">
        <v>0.35</v>
      </c>
    </row>
    <row r="805" ht="15.75" customHeight="1">
      <c r="A805" s="86">
        <v>46027.0</v>
      </c>
      <c r="B805" s="86">
        <v>46043.0</v>
      </c>
      <c r="C805" s="87" t="s">
        <v>317</v>
      </c>
      <c r="D805" s="87" t="s">
        <v>447</v>
      </c>
      <c r="E805" s="65" t="s">
        <v>4</v>
      </c>
      <c r="F805" s="88" t="str">
        <f t="shared" si="10"/>
        <v>-</v>
      </c>
      <c r="G805" s="89">
        <v>0.35</v>
      </c>
    </row>
    <row r="806" ht="15.75" customHeight="1">
      <c r="A806" s="86">
        <v>46027.0</v>
      </c>
      <c r="B806" s="86">
        <v>46043.0</v>
      </c>
      <c r="C806" s="87" t="s">
        <v>317</v>
      </c>
      <c r="D806" s="87" t="s">
        <v>409</v>
      </c>
      <c r="E806" s="65" t="s">
        <v>4</v>
      </c>
      <c r="F806" s="88" t="str">
        <f t="shared" si="10"/>
        <v>-</v>
      </c>
      <c r="G806" s="89">
        <v>0.35</v>
      </c>
    </row>
    <row r="807" ht="15.75" customHeight="1">
      <c r="A807" s="86">
        <v>46027.0</v>
      </c>
      <c r="B807" s="86">
        <v>46043.0</v>
      </c>
      <c r="C807" s="87" t="s">
        <v>317</v>
      </c>
      <c r="D807" s="87" t="s">
        <v>342</v>
      </c>
      <c r="E807" s="65" t="s">
        <v>4</v>
      </c>
      <c r="F807" s="88" t="str">
        <f t="shared" si="10"/>
        <v>-</v>
      </c>
      <c r="G807" s="89">
        <v>0.35</v>
      </c>
    </row>
    <row r="808" ht="15.75" customHeight="1">
      <c r="A808" s="86">
        <v>46027.0</v>
      </c>
      <c r="B808" s="86">
        <v>46043.0</v>
      </c>
      <c r="C808" s="87" t="s">
        <v>317</v>
      </c>
      <c r="D808" s="87" t="s">
        <v>341</v>
      </c>
      <c r="E808" s="65" t="s">
        <v>4</v>
      </c>
      <c r="F808" s="88" t="str">
        <f t="shared" si="10"/>
        <v>-</v>
      </c>
      <c r="G808" s="89">
        <v>0.2</v>
      </c>
    </row>
    <row r="809" ht="15.75" customHeight="1">
      <c r="A809" s="86">
        <v>46027.0</v>
      </c>
      <c r="B809" s="86">
        <v>46043.0</v>
      </c>
      <c r="C809" s="87" t="s">
        <v>317</v>
      </c>
      <c r="D809" s="87" t="s">
        <v>411</v>
      </c>
      <c r="E809" s="65" t="s">
        <v>4</v>
      </c>
      <c r="F809" s="88" t="str">
        <f t="shared" si="10"/>
        <v>-</v>
      </c>
      <c r="G809" s="89">
        <v>0.35</v>
      </c>
    </row>
    <row r="810" ht="15.75" customHeight="1">
      <c r="A810" s="86">
        <v>46027.0</v>
      </c>
      <c r="B810" s="86">
        <v>46043.0</v>
      </c>
      <c r="C810" s="87" t="s">
        <v>317</v>
      </c>
      <c r="D810" s="87" t="s">
        <v>448</v>
      </c>
      <c r="E810" s="65" t="s">
        <v>4</v>
      </c>
      <c r="F810" s="88" t="str">
        <f t="shared" si="10"/>
        <v>-</v>
      </c>
      <c r="G810" s="89">
        <v>0.35</v>
      </c>
    </row>
    <row r="811" ht="15.75" customHeight="1">
      <c r="A811" s="86">
        <v>46027.0</v>
      </c>
      <c r="B811" s="86">
        <v>46043.0</v>
      </c>
      <c r="C811" s="87" t="s">
        <v>317</v>
      </c>
      <c r="D811" s="87" t="s">
        <v>449</v>
      </c>
      <c r="E811" s="65" t="s">
        <v>4</v>
      </c>
      <c r="F811" s="88" t="str">
        <f t="shared" si="10"/>
        <v>-</v>
      </c>
      <c r="G811" s="89">
        <v>0.35</v>
      </c>
    </row>
    <row r="812" ht="15.75" customHeight="1">
      <c r="A812" s="86">
        <v>46027.0</v>
      </c>
      <c r="B812" s="86">
        <v>46043.0</v>
      </c>
      <c r="C812" s="87" t="s">
        <v>317</v>
      </c>
      <c r="D812" s="87" t="s">
        <v>195</v>
      </c>
      <c r="E812" s="65" t="s">
        <v>4</v>
      </c>
      <c r="F812" s="88" t="str">
        <f t="shared" si="10"/>
        <v>-</v>
      </c>
      <c r="G812" s="89">
        <v>0.35</v>
      </c>
    </row>
    <row r="813" ht="15.75" customHeight="1">
      <c r="A813" s="86">
        <v>46027.0</v>
      </c>
      <c r="B813" s="86">
        <v>46043.0</v>
      </c>
      <c r="C813" s="87" t="s">
        <v>317</v>
      </c>
      <c r="D813" s="87" t="s">
        <v>296</v>
      </c>
      <c r="E813" s="65" t="s">
        <v>4</v>
      </c>
      <c r="F813" s="88" t="str">
        <f t="shared" si="10"/>
        <v>-</v>
      </c>
      <c r="G813" s="89">
        <v>0.35</v>
      </c>
    </row>
    <row r="814" ht="15.75" customHeight="1">
      <c r="A814" s="86">
        <v>46027.0</v>
      </c>
      <c r="B814" s="86">
        <v>46043.0</v>
      </c>
      <c r="C814" s="87" t="s">
        <v>317</v>
      </c>
      <c r="D814" s="87" t="s">
        <v>221</v>
      </c>
      <c r="E814" s="65" t="s">
        <v>4</v>
      </c>
      <c r="F814" s="88" t="str">
        <f t="shared" si="10"/>
        <v>-</v>
      </c>
      <c r="G814" s="89">
        <v>0.35</v>
      </c>
    </row>
    <row r="815" ht="15.75" customHeight="1">
      <c r="A815" s="86">
        <v>46027.0</v>
      </c>
      <c r="B815" s="86">
        <v>46043.0</v>
      </c>
      <c r="C815" s="87" t="s">
        <v>317</v>
      </c>
      <c r="D815" s="87" t="s">
        <v>224</v>
      </c>
      <c r="E815" s="65" t="s">
        <v>4</v>
      </c>
      <c r="F815" s="88" t="str">
        <f t="shared" si="10"/>
        <v>-</v>
      </c>
      <c r="G815" s="89">
        <v>0.35</v>
      </c>
    </row>
    <row r="816" ht="15.75" customHeight="1">
      <c r="A816" s="86">
        <v>46027.0</v>
      </c>
      <c r="B816" s="86">
        <v>46043.0</v>
      </c>
      <c r="C816" s="87" t="s">
        <v>317</v>
      </c>
      <c r="D816" s="87" t="s">
        <v>226</v>
      </c>
      <c r="E816" s="65" t="s">
        <v>4</v>
      </c>
      <c r="F816" s="88" t="str">
        <f t="shared" si="10"/>
        <v>-</v>
      </c>
      <c r="G816" s="89">
        <v>0.3</v>
      </c>
    </row>
    <row r="817" ht="15.75" customHeight="1">
      <c r="A817" s="86">
        <v>46027.0</v>
      </c>
      <c r="B817" s="86">
        <v>46043.0</v>
      </c>
      <c r="C817" s="87" t="s">
        <v>317</v>
      </c>
      <c r="D817" s="87" t="s">
        <v>229</v>
      </c>
      <c r="E817" s="65" t="s">
        <v>4</v>
      </c>
      <c r="F817" s="88" t="str">
        <f t="shared" si="10"/>
        <v>-</v>
      </c>
      <c r="G817" s="89">
        <v>0.25</v>
      </c>
    </row>
    <row r="818" ht="15.75" customHeight="1">
      <c r="A818" s="86">
        <v>46027.0</v>
      </c>
      <c r="B818" s="86">
        <v>46043.0</v>
      </c>
      <c r="C818" s="87" t="s">
        <v>317</v>
      </c>
      <c r="D818" s="87" t="s">
        <v>201</v>
      </c>
      <c r="E818" s="65" t="s">
        <v>4</v>
      </c>
      <c r="F818" s="88" t="str">
        <f t="shared" si="10"/>
        <v>-</v>
      </c>
      <c r="G818" s="89">
        <v>0.35</v>
      </c>
    </row>
    <row r="819" ht="15.75" customHeight="1">
      <c r="A819" s="86">
        <v>46027.0</v>
      </c>
      <c r="B819" s="86">
        <v>46043.0</v>
      </c>
      <c r="C819" s="87" t="s">
        <v>317</v>
      </c>
      <c r="D819" s="87" t="s">
        <v>203</v>
      </c>
      <c r="E819" s="65" t="s">
        <v>4</v>
      </c>
      <c r="F819" s="88" t="str">
        <f t="shared" si="10"/>
        <v>-</v>
      </c>
      <c r="G819" s="89">
        <v>0.35</v>
      </c>
    </row>
    <row r="820" ht="15.75" customHeight="1">
      <c r="A820" s="86">
        <v>46027.0</v>
      </c>
      <c r="B820" s="86">
        <v>46043.0</v>
      </c>
      <c r="C820" s="87" t="s">
        <v>317</v>
      </c>
      <c r="D820" s="87" t="s">
        <v>205</v>
      </c>
      <c r="E820" s="65" t="s">
        <v>4</v>
      </c>
      <c r="F820" s="88" t="str">
        <f t="shared" si="10"/>
        <v>-</v>
      </c>
      <c r="G820" s="89">
        <v>0.35</v>
      </c>
    </row>
    <row r="821" ht="15.75" customHeight="1">
      <c r="A821" s="86">
        <v>46027.0</v>
      </c>
      <c r="B821" s="86">
        <v>46043.0</v>
      </c>
      <c r="C821" s="87" t="s">
        <v>317</v>
      </c>
      <c r="D821" s="87" t="s">
        <v>209</v>
      </c>
      <c r="E821" s="65" t="s">
        <v>4</v>
      </c>
      <c r="F821" s="88" t="str">
        <f t="shared" si="10"/>
        <v>-</v>
      </c>
      <c r="G821" s="89">
        <v>0.35</v>
      </c>
    </row>
    <row r="822" ht="15.75" customHeight="1">
      <c r="A822" s="86">
        <v>46027.0</v>
      </c>
      <c r="B822" s="86">
        <v>46043.0</v>
      </c>
      <c r="C822" s="87" t="s">
        <v>317</v>
      </c>
      <c r="D822" s="87" t="s">
        <v>291</v>
      </c>
      <c r="E822" s="65" t="s">
        <v>4</v>
      </c>
      <c r="F822" s="88" t="str">
        <f t="shared" si="10"/>
        <v>-</v>
      </c>
      <c r="G822" s="89">
        <v>0.35</v>
      </c>
    </row>
    <row r="823" ht="15.75" customHeight="1">
      <c r="A823" s="86">
        <v>46027.0</v>
      </c>
      <c r="B823" s="86">
        <v>46043.0</v>
      </c>
      <c r="C823" s="87" t="s">
        <v>317</v>
      </c>
      <c r="D823" s="87" t="s">
        <v>292</v>
      </c>
      <c r="E823" s="65" t="s">
        <v>4</v>
      </c>
      <c r="F823" s="88" t="str">
        <f t="shared" si="10"/>
        <v>-</v>
      </c>
      <c r="G823" s="89">
        <v>0.35</v>
      </c>
    </row>
    <row r="824" ht="15.75" customHeight="1">
      <c r="A824" s="86">
        <v>46027.0</v>
      </c>
      <c r="B824" s="86">
        <v>46043.0</v>
      </c>
      <c r="C824" s="87" t="s">
        <v>317</v>
      </c>
      <c r="D824" s="87" t="s">
        <v>293</v>
      </c>
      <c r="E824" s="65" t="s">
        <v>4</v>
      </c>
      <c r="F824" s="88" t="str">
        <f t="shared" si="10"/>
        <v>-</v>
      </c>
      <c r="G824" s="89">
        <v>0.35</v>
      </c>
    </row>
    <row r="825" ht="15.75" customHeight="1">
      <c r="A825" s="86">
        <v>46027.0</v>
      </c>
      <c r="B825" s="86">
        <v>46043.0</v>
      </c>
      <c r="C825" s="87" t="s">
        <v>317</v>
      </c>
      <c r="D825" s="87" t="s">
        <v>295</v>
      </c>
      <c r="E825" s="65" t="s">
        <v>4</v>
      </c>
      <c r="F825" s="88" t="str">
        <f t="shared" si="10"/>
        <v>-</v>
      </c>
      <c r="G825" s="89">
        <v>0.35</v>
      </c>
    </row>
    <row r="826" ht="15.75" customHeight="1">
      <c r="A826" s="86">
        <v>46027.0</v>
      </c>
      <c r="B826" s="86">
        <v>46043.0</v>
      </c>
      <c r="C826" s="87" t="s">
        <v>317</v>
      </c>
      <c r="D826" s="87" t="s">
        <v>452</v>
      </c>
      <c r="E826" s="65" t="s">
        <v>4</v>
      </c>
      <c r="F826" s="88" t="str">
        <f t="shared" si="10"/>
        <v>-</v>
      </c>
      <c r="G826" s="89">
        <v>0.35</v>
      </c>
    </row>
    <row r="827" ht="15.75" customHeight="1">
      <c r="A827" s="86">
        <v>46027.0</v>
      </c>
      <c r="B827" s="86">
        <v>46043.0</v>
      </c>
      <c r="C827" s="87" t="s">
        <v>317</v>
      </c>
      <c r="D827" s="87" t="s">
        <v>414</v>
      </c>
      <c r="E827" s="65" t="s">
        <v>4</v>
      </c>
      <c r="F827" s="88" t="str">
        <f t="shared" si="10"/>
        <v>-</v>
      </c>
      <c r="G827" s="89">
        <v>0.35</v>
      </c>
    </row>
    <row r="828" ht="15.75" customHeight="1">
      <c r="A828" s="86">
        <v>46027.0</v>
      </c>
      <c r="B828" s="86">
        <v>46043.0</v>
      </c>
      <c r="C828" s="87" t="s">
        <v>317</v>
      </c>
      <c r="D828" s="87" t="s">
        <v>329</v>
      </c>
      <c r="E828" s="65" t="s">
        <v>4</v>
      </c>
      <c r="F828" s="88" t="str">
        <f t="shared" si="10"/>
        <v>-</v>
      </c>
      <c r="G828" s="89">
        <v>0.35</v>
      </c>
    </row>
    <row r="829" ht="15.75" customHeight="1">
      <c r="A829" s="86">
        <v>46027.0</v>
      </c>
      <c r="B829" s="86">
        <v>46043.0</v>
      </c>
      <c r="C829" s="87" t="s">
        <v>317</v>
      </c>
      <c r="D829" s="87" t="s">
        <v>455</v>
      </c>
      <c r="E829" s="65" t="s">
        <v>4</v>
      </c>
      <c r="F829" s="88" t="str">
        <f t="shared" si="10"/>
        <v>-</v>
      </c>
      <c r="G829" s="89">
        <v>0.35</v>
      </c>
    </row>
    <row r="830" ht="15.75" customHeight="1">
      <c r="A830" s="86">
        <v>46027.0</v>
      </c>
      <c r="B830" s="86">
        <v>46043.0</v>
      </c>
      <c r="C830" s="87" t="s">
        <v>317</v>
      </c>
      <c r="D830" s="87" t="s">
        <v>418</v>
      </c>
      <c r="E830" s="65" t="s">
        <v>4</v>
      </c>
      <c r="F830" s="88" t="str">
        <f t="shared" si="10"/>
        <v>-</v>
      </c>
      <c r="G830" s="89">
        <v>0.35</v>
      </c>
    </row>
    <row r="831" ht="15.75" customHeight="1">
      <c r="A831" s="86">
        <v>46027.0</v>
      </c>
      <c r="B831" s="86">
        <v>46043.0</v>
      </c>
      <c r="C831" s="87" t="s">
        <v>317</v>
      </c>
      <c r="D831" s="87" t="s">
        <v>336</v>
      </c>
      <c r="E831" s="65" t="s">
        <v>4</v>
      </c>
      <c r="F831" s="88" t="str">
        <f t="shared" si="10"/>
        <v>-</v>
      </c>
      <c r="G831" s="89">
        <v>0.35</v>
      </c>
    </row>
    <row r="832" ht="15.75" customHeight="1">
      <c r="A832" s="86">
        <v>46027.0</v>
      </c>
      <c r="B832" s="86">
        <v>46043.0</v>
      </c>
      <c r="C832" s="87" t="s">
        <v>317</v>
      </c>
      <c r="D832" s="87" t="s">
        <v>18</v>
      </c>
      <c r="E832" s="65">
        <v>24.99</v>
      </c>
      <c r="F832" s="88">
        <f t="shared" si="10"/>
        <v>16.7433</v>
      </c>
      <c r="G832" s="89">
        <v>0.33</v>
      </c>
    </row>
    <row r="833" ht="15.75" customHeight="1">
      <c r="A833" s="86">
        <v>46027.0</v>
      </c>
      <c r="B833" s="86">
        <v>46043.0</v>
      </c>
      <c r="C833" s="87" t="s">
        <v>317</v>
      </c>
      <c r="D833" s="87" t="s">
        <v>32</v>
      </c>
      <c r="E833" s="65">
        <v>24.99</v>
      </c>
      <c r="F833" s="88">
        <f t="shared" si="10"/>
        <v>16.7433</v>
      </c>
      <c r="G833" s="89">
        <v>0.33</v>
      </c>
    </row>
    <row r="834" ht="15.75" customHeight="1">
      <c r="A834" s="86">
        <v>46027.0</v>
      </c>
      <c r="B834" s="86">
        <v>46043.0</v>
      </c>
      <c r="C834" s="87" t="s">
        <v>317</v>
      </c>
      <c r="D834" s="87" t="s">
        <v>34</v>
      </c>
      <c r="E834" s="65">
        <v>24.99</v>
      </c>
      <c r="F834" s="88">
        <f t="shared" si="10"/>
        <v>16.7433</v>
      </c>
      <c r="G834" s="89">
        <v>0.33</v>
      </c>
    </row>
    <row r="835" ht="15.75" customHeight="1">
      <c r="A835" s="86">
        <v>46027.0</v>
      </c>
      <c r="B835" s="86">
        <v>46043.0</v>
      </c>
      <c r="C835" s="87" t="s">
        <v>317</v>
      </c>
      <c r="D835" s="87" t="s">
        <v>307</v>
      </c>
      <c r="E835" s="65">
        <v>24.99</v>
      </c>
      <c r="F835" s="88">
        <f t="shared" si="10"/>
        <v>16.7433</v>
      </c>
      <c r="G835" s="89">
        <v>0.33</v>
      </c>
    </row>
    <row r="836" ht="15.75" customHeight="1">
      <c r="A836" s="86">
        <v>46057.0</v>
      </c>
      <c r="B836" s="86">
        <v>46078.0</v>
      </c>
      <c r="C836" s="87" t="s">
        <v>143</v>
      </c>
      <c r="D836" s="87" t="s">
        <v>24</v>
      </c>
      <c r="E836" s="65">
        <v>29.99</v>
      </c>
      <c r="F836" s="88">
        <f t="shared" si="10"/>
        <v>11.996</v>
      </c>
      <c r="G836" s="89">
        <v>0.6</v>
      </c>
    </row>
    <row r="837" ht="15.75" customHeight="1">
      <c r="A837" s="86"/>
      <c r="B837" s="86"/>
      <c r="C837" s="87"/>
      <c r="D837" s="87" t="s">
        <v>268</v>
      </c>
      <c r="E837" s="65">
        <v>79.99</v>
      </c>
      <c r="F837" s="88">
        <f t="shared" si="10"/>
        <v>59.9925</v>
      </c>
      <c r="G837" s="89">
        <v>0.25</v>
      </c>
    </row>
    <row r="838" ht="15.75" customHeight="1">
      <c r="A838" s="86"/>
      <c r="B838" s="86"/>
      <c r="C838" s="87"/>
      <c r="D838" s="87" t="s">
        <v>460</v>
      </c>
      <c r="E838" s="65">
        <v>99.99</v>
      </c>
      <c r="F838" s="88">
        <f t="shared" si="10"/>
        <v>79.992</v>
      </c>
      <c r="G838" s="89">
        <v>0.2</v>
      </c>
    </row>
    <row r="839" ht="15.75" customHeight="1">
      <c r="A839" s="86">
        <v>46078.0</v>
      </c>
      <c r="B839" s="86">
        <v>46092.0</v>
      </c>
      <c r="C839" s="87" t="s">
        <v>144</v>
      </c>
      <c r="D839" s="87" t="s">
        <v>17</v>
      </c>
      <c r="E839" s="65">
        <v>39.99</v>
      </c>
      <c r="F839" s="88">
        <f t="shared" si="10"/>
        <v>15.996</v>
      </c>
      <c r="G839" s="89">
        <v>0.6</v>
      </c>
    </row>
    <row r="840" ht="15.75" customHeight="1">
      <c r="A840" s="86"/>
      <c r="B840" s="86"/>
      <c r="C840" s="87"/>
      <c r="D840" s="87" t="s">
        <v>312</v>
      </c>
      <c r="E840" s="65">
        <v>129.99</v>
      </c>
      <c r="F840" s="88">
        <f t="shared" si="10"/>
        <v>77.994</v>
      </c>
      <c r="G840" s="89">
        <v>0.4</v>
      </c>
    </row>
    <row r="841" ht="15.75" customHeight="1">
      <c r="A841" s="86"/>
      <c r="B841" s="86"/>
      <c r="C841" s="87"/>
      <c r="D841" s="87" t="s">
        <v>353</v>
      </c>
      <c r="E841" s="65" t="s">
        <v>4</v>
      </c>
      <c r="F841" s="88" t="str">
        <f t="shared" si="10"/>
        <v>-</v>
      </c>
      <c r="G841" s="89">
        <v>0.35</v>
      </c>
    </row>
    <row r="842" ht="15.75" customHeight="1">
      <c r="A842" s="86"/>
      <c r="B842" s="86"/>
      <c r="C842" s="87"/>
      <c r="D842" s="87" t="s">
        <v>332</v>
      </c>
      <c r="E842" s="65" t="s">
        <v>4</v>
      </c>
      <c r="F842" s="88" t="str">
        <f t="shared" si="10"/>
        <v>-</v>
      </c>
      <c r="G842" s="89">
        <v>0.35</v>
      </c>
    </row>
    <row r="843" ht="15.75" customHeight="1">
      <c r="A843" s="86"/>
      <c r="B843" s="86"/>
      <c r="C843" s="87"/>
      <c r="D843" s="87" t="s">
        <v>343</v>
      </c>
      <c r="E843" s="65" t="s">
        <v>4</v>
      </c>
      <c r="F843" s="88" t="str">
        <f t="shared" si="10"/>
        <v>-</v>
      </c>
      <c r="G843" s="89">
        <v>0.35</v>
      </c>
    </row>
    <row r="844" ht="15.75" customHeight="1">
      <c r="A844" s="86"/>
      <c r="B844" s="86"/>
      <c r="C844" s="87"/>
      <c r="D844" s="87" t="s">
        <v>327</v>
      </c>
      <c r="E844" s="65" t="s">
        <v>4</v>
      </c>
      <c r="F844" s="88" t="str">
        <f t="shared" si="10"/>
        <v>-</v>
      </c>
      <c r="G844" s="89" t="s">
        <v>461</v>
      </c>
    </row>
    <row r="845" ht="15.75" customHeight="1">
      <c r="A845" s="86"/>
      <c r="B845" s="86"/>
      <c r="C845" s="87"/>
      <c r="D845" s="87" t="s">
        <v>407</v>
      </c>
      <c r="E845" s="65" t="s">
        <v>4</v>
      </c>
      <c r="F845" s="88" t="str">
        <f t="shared" si="10"/>
        <v>-</v>
      </c>
      <c r="G845" s="89">
        <v>0.35</v>
      </c>
    </row>
    <row r="846" ht="15.75" customHeight="1">
      <c r="A846" s="86"/>
      <c r="B846" s="86"/>
      <c r="C846" s="87"/>
      <c r="D846" s="87" t="s">
        <v>340</v>
      </c>
      <c r="E846" s="65" t="s">
        <v>4</v>
      </c>
      <c r="F846" s="88" t="str">
        <f t="shared" si="10"/>
        <v>-</v>
      </c>
      <c r="G846" s="89">
        <v>0.35</v>
      </c>
    </row>
    <row r="847" ht="15.75" customHeight="1">
      <c r="A847" s="86"/>
      <c r="B847" s="86"/>
      <c r="C847" s="87"/>
      <c r="D847" s="87" t="s">
        <v>446</v>
      </c>
      <c r="E847" s="65" t="s">
        <v>4</v>
      </c>
      <c r="F847" s="88" t="str">
        <f t="shared" si="10"/>
        <v>-</v>
      </c>
      <c r="G847" s="89">
        <v>0.35</v>
      </c>
    </row>
    <row r="848" ht="15.75" customHeight="1">
      <c r="A848" s="86"/>
      <c r="B848" s="86"/>
      <c r="C848" s="87"/>
      <c r="D848" s="87" t="s">
        <v>331</v>
      </c>
      <c r="E848" s="65" t="s">
        <v>4</v>
      </c>
      <c r="F848" s="88" t="str">
        <f t="shared" si="10"/>
        <v>-</v>
      </c>
      <c r="G848" s="89">
        <v>0.35</v>
      </c>
    </row>
    <row r="849" ht="15.75" customHeight="1">
      <c r="A849" s="86"/>
      <c r="B849" s="86"/>
      <c r="C849" s="87"/>
      <c r="D849" s="87" t="s">
        <v>335</v>
      </c>
      <c r="E849" s="65" t="s">
        <v>4</v>
      </c>
      <c r="F849" s="88" t="str">
        <f t="shared" si="10"/>
        <v>-</v>
      </c>
      <c r="G849" s="89">
        <v>0.35</v>
      </c>
    </row>
    <row r="850" ht="15.75" customHeight="1">
      <c r="A850" s="86"/>
      <c r="B850" s="86"/>
      <c r="C850" s="87"/>
      <c r="D850" s="87" t="s">
        <v>330</v>
      </c>
      <c r="E850" s="65" t="s">
        <v>4</v>
      </c>
      <c r="F850" s="88" t="str">
        <f t="shared" si="10"/>
        <v>-</v>
      </c>
      <c r="G850" s="89" t="s">
        <v>461</v>
      </c>
    </row>
    <row r="851" ht="15.75" customHeight="1">
      <c r="A851" s="86"/>
      <c r="B851" s="86"/>
      <c r="C851" s="87"/>
      <c r="D851" s="87" t="s">
        <v>347</v>
      </c>
      <c r="E851" s="65" t="s">
        <v>4</v>
      </c>
      <c r="F851" s="88" t="str">
        <f t="shared" si="10"/>
        <v>-</v>
      </c>
      <c r="G851" s="89">
        <v>0.35</v>
      </c>
    </row>
    <row r="852" ht="15.75" customHeight="1">
      <c r="A852" s="86"/>
      <c r="B852" s="86"/>
      <c r="C852" s="87"/>
      <c r="D852" s="87" t="s">
        <v>447</v>
      </c>
      <c r="E852" s="65" t="s">
        <v>4</v>
      </c>
      <c r="F852" s="88" t="str">
        <f t="shared" si="10"/>
        <v>-</v>
      </c>
      <c r="G852" s="89">
        <v>0.35</v>
      </c>
    </row>
    <row r="853" ht="15.75" customHeight="1">
      <c r="A853" s="86"/>
      <c r="B853" s="86"/>
      <c r="C853" s="87"/>
      <c r="D853" s="87" t="s">
        <v>409</v>
      </c>
      <c r="E853" s="65" t="s">
        <v>4</v>
      </c>
      <c r="F853" s="88" t="str">
        <f t="shared" si="10"/>
        <v>-</v>
      </c>
      <c r="G853" s="89">
        <v>0.35</v>
      </c>
    </row>
    <row r="854" ht="15.75" customHeight="1">
      <c r="A854" s="86"/>
      <c r="B854" s="86"/>
      <c r="C854" s="87"/>
      <c r="D854" s="87" t="s">
        <v>342</v>
      </c>
      <c r="E854" s="65" t="s">
        <v>4</v>
      </c>
      <c r="F854" s="88" t="str">
        <f t="shared" si="10"/>
        <v>-</v>
      </c>
      <c r="G854" s="89">
        <v>0.35</v>
      </c>
    </row>
    <row r="855" ht="15.75" customHeight="1">
      <c r="A855" s="86"/>
      <c r="B855" s="86"/>
      <c r="C855" s="87"/>
      <c r="D855" s="87" t="s">
        <v>341</v>
      </c>
      <c r="E855" s="65" t="s">
        <v>4</v>
      </c>
      <c r="F855" s="88" t="str">
        <f t="shared" si="10"/>
        <v>-</v>
      </c>
      <c r="G855" s="89">
        <v>0.2</v>
      </c>
    </row>
    <row r="856" ht="15.75" customHeight="1">
      <c r="A856" s="86"/>
      <c r="B856" s="86"/>
      <c r="C856" s="87"/>
      <c r="D856" s="87" t="s">
        <v>411</v>
      </c>
      <c r="E856" s="65" t="s">
        <v>4</v>
      </c>
      <c r="F856" s="88" t="str">
        <f t="shared" si="10"/>
        <v>-</v>
      </c>
      <c r="G856" s="89">
        <v>0.35</v>
      </c>
    </row>
    <row r="857" ht="15.75" customHeight="1">
      <c r="A857" s="86"/>
      <c r="B857" s="86"/>
      <c r="C857" s="87"/>
      <c r="D857" s="87" t="s">
        <v>448</v>
      </c>
      <c r="E857" s="65" t="s">
        <v>4</v>
      </c>
      <c r="F857" s="88" t="str">
        <f t="shared" si="10"/>
        <v>-</v>
      </c>
      <c r="G857" s="89">
        <v>0.35</v>
      </c>
    </row>
    <row r="858" ht="15.75" customHeight="1">
      <c r="A858" s="86"/>
      <c r="B858" s="86"/>
      <c r="C858" s="87"/>
      <c r="D858" s="87" t="s">
        <v>449</v>
      </c>
      <c r="E858" s="65" t="s">
        <v>4</v>
      </c>
      <c r="F858" s="88" t="str">
        <f t="shared" si="10"/>
        <v>-</v>
      </c>
      <c r="G858" s="89">
        <v>0.35</v>
      </c>
    </row>
    <row r="859" ht="15.75" customHeight="1">
      <c r="A859" s="86"/>
      <c r="B859" s="86"/>
      <c r="C859" s="87"/>
      <c r="D859" s="87" t="s">
        <v>195</v>
      </c>
      <c r="E859" s="65">
        <v>6.99</v>
      </c>
      <c r="F859" s="88">
        <f t="shared" si="10"/>
        <v>4.5435</v>
      </c>
      <c r="G859" s="89">
        <v>0.35</v>
      </c>
    </row>
    <row r="860" ht="15.75" customHeight="1">
      <c r="A860" s="86"/>
      <c r="B860" s="86"/>
      <c r="C860" s="87"/>
      <c r="D860" s="87" t="s">
        <v>296</v>
      </c>
      <c r="E860" s="65">
        <v>6.99</v>
      </c>
      <c r="F860" s="88">
        <f t="shared" si="10"/>
        <v>4.5435</v>
      </c>
      <c r="G860" s="89">
        <v>0.35</v>
      </c>
    </row>
    <row r="861" ht="15.75" customHeight="1">
      <c r="A861" s="86"/>
      <c r="B861" s="86"/>
      <c r="C861" s="87"/>
      <c r="D861" s="87" t="s">
        <v>221</v>
      </c>
      <c r="E861" s="65">
        <v>6.99</v>
      </c>
      <c r="F861" s="88">
        <f t="shared" si="10"/>
        <v>4.5435</v>
      </c>
      <c r="G861" s="89">
        <v>0.35</v>
      </c>
    </row>
    <row r="862" ht="15.75" customHeight="1">
      <c r="A862" s="86"/>
      <c r="B862" s="86"/>
      <c r="C862" s="87"/>
      <c r="D862" s="87" t="s">
        <v>224</v>
      </c>
      <c r="E862" s="65">
        <v>11.99</v>
      </c>
      <c r="F862" s="88">
        <f t="shared" si="10"/>
        <v>7.7935</v>
      </c>
      <c r="G862" s="89">
        <v>0.35</v>
      </c>
    </row>
    <row r="863" ht="15.75" customHeight="1">
      <c r="A863" s="86"/>
      <c r="B863" s="86"/>
      <c r="C863" s="87"/>
      <c r="D863" s="87" t="s">
        <v>226</v>
      </c>
      <c r="E863" s="65">
        <v>6.99</v>
      </c>
      <c r="F863" s="88">
        <f t="shared" si="10"/>
        <v>4.893</v>
      </c>
      <c r="G863" s="89">
        <v>0.3</v>
      </c>
    </row>
    <row r="864" ht="15.75" customHeight="1">
      <c r="A864" s="86"/>
      <c r="B864" s="86"/>
      <c r="C864" s="87"/>
      <c r="D864" s="87" t="s">
        <v>229</v>
      </c>
      <c r="E864" s="65">
        <v>6.99</v>
      </c>
      <c r="F864" s="88">
        <f t="shared" si="10"/>
        <v>5.2425</v>
      </c>
      <c r="G864" s="89">
        <v>0.25</v>
      </c>
    </row>
    <row r="865" ht="15.75" customHeight="1">
      <c r="A865" s="86"/>
      <c r="B865" s="86"/>
      <c r="C865" s="87"/>
      <c r="D865" s="87" t="s">
        <v>375</v>
      </c>
      <c r="E865" s="65">
        <v>6.99</v>
      </c>
      <c r="F865" s="88" t="str">
        <f t="shared" si="10"/>
        <v>-</v>
      </c>
      <c r="G865" s="89" t="s">
        <v>461</v>
      </c>
    </row>
    <row r="866" ht="15.75" customHeight="1">
      <c r="A866" s="86"/>
      <c r="B866" s="86"/>
      <c r="C866" s="87"/>
      <c r="D866" s="87" t="s">
        <v>201</v>
      </c>
      <c r="E866" s="65">
        <v>6.99</v>
      </c>
      <c r="F866" s="88">
        <f t="shared" si="10"/>
        <v>4.5435</v>
      </c>
      <c r="G866" s="89">
        <v>0.35</v>
      </c>
    </row>
    <row r="867" ht="15.75" customHeight="1">
      <c r="A867" s="86"/>
      <c r="B867" s="86"/>
      <c r="C867" s="87"/>
      <c r="D867" s="87" t="s">
        <v>203</v>
      </c>
      <c r="E867" s="65">
        <v>6.99</v>
      </c>
      <c r="F867" s="88">
        <f t="shared" si="10"/>
        <v>4.5435</v>
      </c>
      <c r="G867" s="89">
        <v>0.35</v>
      </c>
    </row>
    <row r="868" ht="15.75" customHeight="1">
      <c r="A868" s="86"/>
      <c r="B868" s="86"/>
      <c r="C868" s="87"/>
      <c r="D868" s="87" t="s">
        <v>205</v>
      </c>
      <c r="E868" s="65">
        <v>11.99</v>
      </c>
      <c r="F868" s="88">
        <f t="shared" si="10"/>
        <v>7.7935</v>
      </c>
      <c r="G868" s="89">
        <v>0.35</v>
      </c>
    </row>
    <row r="869" ht="15.75" customHeight="1">
      <c r="A869" s="86"/>
      <c r="B869" s="86"/>
      <c r="C869" s="87"/>
      <c r="D869" s="87" t="s">
        <v>209</v>
      </c>
      <c r="E869" s="65">
        <v>6.99</v>
      </c>
      <c r="F869" s="88">
        <f t="shared" si="10"/>
        <v>4.5435</v>
      </c>
      <c r="G869" s="89">
        <v>0.35</v>
      </c>
    </row>
    <row r="870" ht="15.75" customHeight="1">
      <c r="A870" s="86"/>
      <c r="B870" s="86"/>
      <c r="C870" s="87"/>
      <c r="D870" s="87" t="s">
        <v>291</v>
      </c>
      <c r="E870" s="65">
        <v>6.99</v>
      </c>
      <c r="F870" s="88">
        <f t="shared" si="10"/>
        <v>4.5435</v>
      </c>
      <c r="G870" s="89">
        <v>0.35</v>
      </c>
    </row>
    <row r="871" ht="15.75" customHeight="1">
      <c r="A871" s="86"/>
      <c r="B871" s="86"/>
      <c r="C871" s="87"/>
      <c r="D871" s="87" t="s">
        <v>292</v>
      </c>
      <c r="E871" s="65">
        <v>6.99</v>
      </c>
      <c r="F871" s="88">
        <f t="shared" si="10"/>
        <v>4.5435</v>
      </c>
      <c r="G871" s="89">
        <v>0.35</v>
      </c>
    </row>
    <row r="872" ht="15.75" customHeight="1">
      <c r="A872" s="86"/>
      <c r="B872" s="86"/>
      <c r="C872" s="87"/>
      <c r="D872" s="87" t="s">
        <v>293</v>
      </c>
      <c r="E872" s="65">
        <v>11.99</v>
      </c>
      <c r="F872" s="88">
        <f t="shared" si="10"/>
        <v>7.7935</v>
      </c>
      <c r="G872" s="89">
        <v>0.35</v>
      </c>
    </row>
    <row r="873" ht="15.75" customHeight="1">
      <c r="A873" s="86"/>
      <c r="B873" s="86"/>
      <c r="C873" s="87"/>
      <c r="D873" s="87" t="s">
        <v>295</v>
      </c>
      <c r="E873" s="65">
        <v>6.99</v>
      </c>
      <c r="F873" s="88">
        <f t="shared" si="10"/>
        <v>4.5435</v>
      </c>
      <c r="G873" s="89">
        <v>0.35</v>
      </c>
    </row>
    <row r="874" ht="15.75" customHeight="1">
      <c r="A874" s="86"/>
      <c r="B874" s="86"/>
      <c r="C874" s="87"/>
      <c r="D874" s="87" t="s">
        <v>452</v>
      </c>
      <c r="E874" s="65" t="s">
        <v>4</v>
      </c>
      <c r="F874" s="88" t="str">
        <f t="shared" si="10"/>
        <v>-</v>
      </c>
      <c r="G874" s="89">
        <v>0.35</v>
      </c>
    </row>
    <row r="875" ht="15.75" customHeight="1">
      <c r="A875" s="86"/>
      <c r="B875" s="86"/>
      <c r="C875" s="87"/>
      <c r="D875" s="87" t="s">
        <v>414</v>
      </c>
      <c r="E875" s="65" t="s">
        <v>4</v>
      </c>
      <c r="F875" s="88" t="str">
        <f t="shared" si="10"/>
        <v>-</v>
      </c>
      <c r="G875" s="89">
        <v>0.35</v>
      </c>
    </row>
    <row r="876" ht="15.75" customHeight="1">
      <c r="A876" s="86"/>
      <c r="B876" s="86"/>
      <c r="C876" s="87"/>
      <c r="D876" s="87" t="s">
        <v>329</v>
      </c>
      <c r="E876" s="65" t="s">
        <v>4</v>
      </c>
      <c r="F876" s="88" t="str">
        <f t="shared" si="10"/>
        <v>-</v>
      </c>
      <c r="G876" s="89">
        <v>0.35</v>
      </c>
    </row>
    <row r="877" ht="15.75" customHeight="1">
      <c r="A877" s="86"/>
      <c r="B877" s="86"/>
      <c r="C877" s="87"/>
      <c r="D877" s="87" t="s">
        <v>455</v>
      </c>
      <c r="E877" s="65" t="s">
        <v>4</v>
      </c>
      <c r="F877" s="88" t="str">
        <f t="shared" si="10"/>
        <v>-</v>
      </c>
      <c r="G877" s="89">
        <v>0.35</v>
      </c>
    </row>
    <row r="878" ht="15.75" customHeight="1">
      <c r="A878" s="86"/>
      <c r="B878" s="86"/>
      <c r="C878" s="87"/>
      <c r="D878" s="87" t="s">
        <v>418</v>
      </c>
      <c r="E878" s="65" t="s">
        <v>4</v>
      </c>
      <c r="F878" s="88" t="str">
        <f t="shared" si="10"/>
        <v>-</v>
      </c>
      <c r="G878" s="89">
        <v>0.35</v>
      </c>
    </row>
    <row r="879" ht="15.75" customHeight="1">
      <c r="A879" s="86"/>
      <c r="B879" s="86"/>
      <c r="C879" s="87"/>
      <c r="D879" s="87" t="s">
        <v>336</v>
      </c>
      <c r="E879" s="65" t="s">
        <v>4</v>
      </c>
      <c r="F879" s="88" t="str">
        <f t="shared" si="10"/>
        <v>-</v>
      </c>
      <c r="G879" s="89">
        <v>0.35</v>
      </c>
    </row>
    <row r="880" ht="15.75" customHeight="1">
      <c r="A880" s="86"/>
      <c r="B880" s="86"/>
      <c r="C880" s="87"/>
      <c r="D880" s="87" t="s">
        <v>18</v>
      </c>
      <c r="E880" s="65">
        <v>24.99</v>
      </c>
      <c r="F880" s="88">
        <f t="shared" si="10"/>
        <v>16.7433</v>
      </c>
      <c r="G880" s="89">
        <v>0.33</v>
      </c>
    </row>
    <row r="881" ht="15.75" customHeight="1">
      <c r="A881" s="86"/>
      <c r="B881" s="86"/>
      <c r="C881" s="87"/>
      <c r="D881" s="87" t="s">
        <v>32</v>
      </c>
      <c r="E881" s="65">
        <v>24.99</v>
      </c>
      <c r="F881" s="88">
        <f t="shared" si="10"/>
        <v>16.7433</v>
      </c>
      <c r="G881" s="89">
        <v>0.33</v>
      </c>
    </row>
    <row r="882" ht="15.75" customHeight="1">
      <c r="A882" s="86"/>
      <c r="B882" s="86"/>
      <c r="C882" s="87"/>
      <c r="D882" s="87" t="s">
        <v>34</v>
      </c>
      <c r="E882" s="65">
        <v>24.99</v>
      </c>
      <c r="F882" s="88">
        <f t="shared" si="10"/>
        <v>16.7433</v>
      </c>
      <c r="G882" s="89">
        <v>0.33</v>
      </c>
    </row>
    <row r="883" ht="15.75" customHeight="1">
      <c r="A883" s="86"/>
      <c r="B883" s="86"/>
      <c r="C883" s="87"/>
      <c r="D883" s="87" t="s">
        <v>307</v>
      </c>
      <c r="E883" s="65">
        <v>24.99</v>
      </c>
      <c r="F883" s="88">
        <f t="shared" si="10"/>
        <v>19.992</v>
      </c>
      <c r="G883" s="89">
        <v>0.2</v>
      </c>
    </row>
    <row r="884" ht="15.75" customHeight="1">
      <c r="A884" s="86">
        <v>46101.0</v>
      </c>
      <c r="B884" s="86">
        <v>46105.0</v>
      </c>
      <c r="C884" s="87" t="s">
        <v>145</v>
      </c>
      <c r="D884" s="87" t="s">
        <v>24</v>
      </c>
      <c r="E884" s="65">
        <v>29.99</v>
      </c>
      <c r="F884" s="88">
        <f t="shared" si="10"/>
        <v>11.996</v>
      </c>
      <c r="G884" s="89">
        <v>0.6</v>
      </c>
    </row>
    <row r="885" ht="15.75" customHeight="1">
      <c r="A885" s="86">
        <v>46106.0</v>
      </c>
      <c r="B885" s="86">
        <v>46120.0</v>
      </c>
      <c r="C885" s="87" t="s">
        <v>146</v>
      </c>
      <c r="D885" s="87" t="s">
        <v>24</v>
      </c>
      <c r="E885" s="65">
        <v>29.99</v>
      </c>
      <c r="F885" s="88">
        <f t="shared" si="10"/>
        <v>11.996</v>
      </c>
      <c r="G885" s="89">
        <v>0.6</v>
      </c>
    </row>
    <row r="886" ht="15.75" customHeight="1">
      <c r="A886" s="86"/>
      <c r="B886" s="86"/>
      <c r="C886" s="87"/>
      <c r="D886" s="87" t="s">
        <v>268</v>
      </c>
      <c r="E886" s="65">
        <v>79.99</v>
      </c>
      <c r="F886" s="88">
        <f t="shared" si="10"/>
        <v>59.9925</v>
      </c>
      <c r="G886" s="89">
        <v>0.25</v>
      </c>
    </row>
    <row r="887" ht="15.75" customHeight="1">
      <c r="A887" s="86"/>
      <c r="B887" s="86"/>
      <c r="C887" s="87"/>
      <c r="D887" s="87" t="s">
        <v>460</v>
      </c>
      <c r="E887" s="65">
        <v>99.99</v>
      </c>
      <c r="F887" s="88">
        <f t="shared" si="10"/>
        <v>89.991</v>
      </c>
      <c r="G887" s="89">
        <v>0.1</v>
      </c>
    </row>
    <row r="888" ht="15.75" customHeight="1">
      <c r="A888" s="86">
        <v>46120.0</v>
      </c>
      <c r="B888" s="86">
        <v>46134.0</v>
      </c>
      <c r="C888" s="87" t="s">
        <v>147</v>
      </c>
      <c r="D888" s="87" t="s">
        <v>17</v>
      </c>
      <c r="E888" s="65">
        <v>39.99</v>
      </c>
      <c r="F888" s="88">
        <f t="shared" si="10"/>
        <v>15.996</v>
      </c>
      <c r="G888" s="89">
        <v>0.6</v>
      </c>
    </row>
    <row r="889" ht="15.75" customHeight="1">
      <c r="A889" s="86"/>
      <c r="B889" s="86"/>
      <c r="C889" s="87"/>
      <c r="D889" s="87" t="s">
        <v>312</v>
      </c>
      <c r="E889" s="65">
        <v>129.99</v>
      </c>
      <c r="F889" s="88">
        <f t="shared" si="10"/>
        <v>77.994</v>
      </c>
      <c r="G889" s="89">
        <v>0.4</v>
      </c>
    </row>
    <row r="890" ht="15.75" customHeight="1">
      <c r="A890" s="86"/>
      <c r="B890" s="86"/>
      <c r="C890" s="87"/>
      <c r="D890" s="87" t="s">
        <v>353</v>
      </c>
      <c r="E890" s="65" t="s">
        <v>4</v>
      </c>
      <c r="F890" s="88" t="str">
        <f t="shared" si="10"/>
        <v>-</v>
      </c>
      <c r="G890" s="89">
        <v>0.35</v>
      </c>
    </row>
    <row r="891" ht="15.75" customHeight="1">
      <c r="A891" s="86"/>
      <c r="B891" s="86"/>
      <c r="C891" s="87"/>
      <c r="D891" s="87" t="s">
        <v>332</v>
      </c>
      <c r="E891" s="65" t="s">
        <v>4</v>
      </c>
      <c r="F891" s="88" t="str">
        <f t="shared" si="10"/>
        <v>-</v>
      </c>
      <c r="G891" s="89">
        <v>0.35</v>
      </c>
    </row>
    <row r="892" ht="15.75" customHeight="1">
      <c r="A892" s="86"/>
      <c r="B892" s="86"/>
      <c r="C892" s="87"/>
      <c r="D892" s="87" t="s">
        <v>343</v>
      </c>
      <c r="E892" s="65" t="s">
        <v>4</v>
      </c>
      <c r="F892" s="88" t="str">
        <f t="shared" si="10"/>
        <v>-</v>
      </c>
      <c r="G892" s="89">
        <v>0.35</v>
      </c>
    </row>
    <row r="893" ht="15.75" customHeight="1">
      <c r="A893" s="86"/>
      <c r="B893" s="86"/>
      <c r="C893" s="87"/>
      <c r="D893" s="87" t="s">
        <v>327</v>
      </c>
      <c r="E893" s="65" t="s">
        <v>4</v>
      </c>
      <c r="F893" s="88" t="str">
        <f t="shared" si="10"/>
        <v>-</v>
      </c>
      <c r="G893" s="89" t="s">
        <v>461</v>
      </c>
    </row>
    <row r="894" ht="15.75" customHeight="1">
      <c r="A894" s="86"/>
      <c r="B894" s="86"/>
      <c r="C894" s="87"/>
      <c r="D894" s="87" t="s">
        <v>407</v>
      </c>
      <c r="E894" s="65" t="s">
        <v>4</v>
      </c>
      <c r="F894" s="88" t="str">
        <f t="shared" si="10"/>
        <v>-</v>
      </c>
      <c r="G894" s="89">
        <v>0.35</v>
      </c>
    </row>
    <row r="895" ht="15.75" customHeight="1">
      <c r="A895" s="86"/>
      <c r="B895" s="86"/>
      <c r="C895" s="87"/>
      <c r="D895" s="87" t="s">
        <v>340</v>
      </c>
      <c r="E895" s="65" t="s">
        <v>4</v>
      </c>
      <c r="F895" s="88" t="str">
        <f t="shared" si="10"/>
        <v>-</v>
      </c>
      <c r="G895" s="89">
        <v>0.35</v>
      </c>
    </row>
    <row r="896" ht="15.75" customHeight="1">
      <c r="A896" s="86"/>
      <c r="B896" s="86"/>
      <c r="C896" s="87"/>
      <c r="D896" s="87" t="s">
        <v>446</v>
      </c>
      <c r="E896" s="65" t="s">
        <v>4</v>
      </c>
      <c r="F896" s="88" t="str">
        <f t="shared" si="10"/>
        <v>-</v>
      </c>
      <c r="G896" s="89">
        <v>0.35</v>
      </c>
    </row>
    <row r="897" ht="15.75" customHeight="1">
      <c r="A897" s="86"/>
      <c r="B897" s="86"/>
      <c r="C897" s="87"/>
      <c r="D897" s="87" t="s">
        <v>331</v>
      </c>
      <c r="E897" s="65" t="s">
        <v>4</v>
      </c>
      <c r="F897" s="88" t="str">
        <f t="shared" si="10"/>
        <v>-</v>
      </c>
      <c r="G897" s="89">
        <v>0.35</v>
      </c>
    </row>
    <row r="898" ht="15.75" customHeight="1">
      <c r="A898" s="86"/>
      <c r="B898" s="86"/>
      <c r="C898" s="87"/>
      <c r="D898" s="87" t="s">
        <v>335</v>
      </c>
      <c r="E898" s="65" t="s">
        <v>4</v>
      </c>
      <c r="F898" s="88" t="str">
        <f t="shared" si="10"/>
        <v>-</v>
      </c>
      <c r="G898" s="89">
        <v>0.35</v>
      </c>
    </row>
    <row r="899" ht="15.75" customHeight="1">
      <c r="A899" s="86"/>
      <c r="B899" s="86"/>
      <c r="C899" s="87"/>
      <c r="D899" s="87" t="s">
        <v>330</v>
      </c>
      <c r="E899" s="65" t="s">
        <v>4</v>
      </c>
      <c r="F899" s="88" t="str">
        <f t="shared" si="10"/>
        <v>-</v>
      </c>
      <c r="G899" s="89" t="s">
        <v>461</v>
      </c>
    </row>
    <row r="900" ht="15.75" customHeight="1">
      <c r="A900" s="86"/>
      <c r="B900" s="86"/>
      <c r="C900" s="87"/>
      <c r="D900" s="87" t="s">
        <v>347</v>
      </c>
      <c r="E900" s="65" t="s">
        <v>4</v>
      </c>
      <c r="F900" s="88" t="str">
        <f t="shared" si="10"/>
        <v>-</v>
      </c>
      <c r="G900" s="89">
        <v>0.35</v>
      </c>
    </row>
    <row r="901" ht="15.75" customHeight="1">
      <c r="A901" s="86"/>
      <c r="B901" s="86"/>
      <c r="C901" s="87"/>
      <c r="D901" s="87" t="s">
        <v>447</v>
      </c>
      <c r="E901" s="65" t="s">
        <v>4</v>
      </c>
      <c r="F901" s="88" t="str">
        <f t="shared" si="10"/>
        <v>-</v>
      </c>
      <c r="G901" s="89">
        <v>0.35</v>
      </c>
    </row>
    <row r="902" ht="15.75" customHeight="1">
      <c r="A902" s="86"/>
      <c r="B902" s="86"/>
      <c r="C902" s="87"/>
      <c r="D902" s="87" t="s">
        <v>409</v>
      </c>
      <c r="E902" s="65" t="s">
        <v>4</v>
      </c>
      <c r="F902" s="88" t="str">
        <f t="shared" si="10"/>
        <v>-</v>
      </c>
      <c r="G902" s="89">
        <v>0.35</v>
      </c>
    </row>
    <row r="903" ht="15.75" customHeight="1">
      <c r="A903" s="86"/>
      <c r="B903" s="86"/>
      <c r="C903" s="87"/>
      <c r="D903" s="87" t="s">
        <v>342</v>
      </c>
      <c r="E903" s="65" t="s">
        <v>4</v>
      </c>
      <c r="F903" s="88" t="str">
        <f t="shared" si="10"/>
        <v>-</v>
      </c>
      <c r="G903" s="89">
        <v>0.35</v>
      </c>
    </row>
    <row r="904" ht="15.75" customHeight="1">
      <c r="A904" s="86"/>
      <c r="B904" s="86"/>
      <c r="C904" s="87"/>
      <c r="D904" s="87" t="s">
        <v>341</v>
      </c>
      <c r="E904" s="65" t="s">
        <v>4</v>
      </c>
      <c r="F904" s="88" t="str">
        <f t="shared" si="10"/>
        <v>-</v>
      </c>
      <c r="G904" s="89">
        <v>0.2</v>
      </c>
    </row>
    <row r="905" ht="15.75" customHeight="1">
      <c r="A905" s="86"/>
      <c r="B905" s="86"/>
      <c r="C905" s="87"/>
      <c r="D905" s="87" t="s">
        <v>411</v>
      </c>
      <c r="E905" s="65" t="s">
        <v>4</v>
      </c>
      <c r="F905" s="88" t="str">
        <f t="shared" si="10"/>
        <v>-</v>
      </c>
      <c r="G905" s="89">
        <v>0.35</v>
      </c>
    </row>
    <row r="906" ht="15.75" customHeight="1">
      <c r="A906" s="86"/>
      <c r="B906" s="86"/>
      <c r="C906" s="87"/>
      <c r="D906" s="87" t="s">
        <v>448</v>
      </c>
      <c r="E906" s="65" t="s">
        <v>4</v>
      </c>
      <c r="F906" s="88" t="str">
        <f t="shared" si="10"/>
        <v>-</v>
      </c>
      <c r="G906" s="89">
        <v>0.35</v>
      </c>
    </row>
    <row r="907" ht="15.75" customHeight="1">
      <c r="A907" s="86"/>
      <c r="B907" s="86"/>
      <c r="C907" s="87"/>
      <c r="D907" s="87" t="s">
        <v>449</v>
      </c>
      <c r="E907" s="65" t="s">
        <v>4</v>
      </c>
      <c r="F907" s="88" t="str">
        <f t="shared" si="10"/>
        <v>-</v>
      </c>
      <c r="G907" s="89">
        <v>0.35</v>
      </c>
    </row>
    <row r="908" ht="15.75" customHeight="1">
      <c r="A908" s="86"/>
      <c r="B908" s="86"/>
      <c r="C908" s="87"/>
      <c r="D908" s="87" t="s">
        <v>195</v>
      </c>
      <c r="E908" s="65">
        <v>6.99</v>
      </c>
      <c r="F908" s="88">
        <f t="shared" si="10"/>
        <v>4.5435</v>
      </c>
      <c r="G908" s="89">
        <v>0.35</v>
      </c>
    </row>
    <row r="909" ht="15.75" customHeight="1">
      <c r="A909" s="86"/>
      <c r="B909" s="86"/>
      <c r="C909" s="87"/>
      <c r="D909" s="87" t="s">
        <v>296</v>
      </c>
      <c r="E909" s="65">
        <v>6.99</v>
      </c>
      <c r="F909" s="88">
        <f t="shared" si="10"/>
        <v>4.5435</v>
      </c>
      <c r="G909" s="89">
        <v>0.35</v>
      </c>
    </row>
    <row r="910" ht="15.75" customHeight="1">
      <c r="A910" s="86"/>
      <c r="B910" s="86"/>
      <c r="C910" s="87"/>
      <c r="D910" s="87" t="s">
        <v>221</v>
      </c>
      <c r="E910" s="65">
        <v>6.99</v>
      </c>
      <c r="F910" s="88">
        <f t="shared" si="10"/>
        <v>4.5435</v>
      </c>
      <c r="G910" s="89">
        <v>0.35</v>
      </c>
    </row>
    <row r="911" ht="15.75" customHeight="1">
      <c r="A911" s="86"/>
      <c r="B911" s="86"/>
      <c r="C911" s="87"/>
      <c r="D911" s="87" t="s">
        <v>224</v>
      </c>
      <c r="E911" s="65">
        <v>11.99</v>
      </c>
      <c r="F911" s="88">
        <f t="shared" si="10"/>
        <v>7.7935</v>
      </c>
      <c r="G911" s="89">
        <v>0.35</v>
      </c>
    </row>
    <row r="912" ht="15.75" customHeight="1">
      <c r="A912" s="86"/>
      <c r="B912" s="86"/>
      <c r="C912" s="87"/>
      <c r="D912" s="87" t="s">
        <v>226</v>
      </c>
      <c r="E912" s="65">
        <v>6.99</v>
      </c>
      <c r="F912" s="88">
        <f t="shared" si="10"/>
        <v>4.893</v>
      </c>
      <c r="G912" s="89">
        <v>0.3</v>
      </c>
    </row>
    <row r="913" ht="15.75" customHeight="1">
      <c r="A913" s="86"/>
      <c r="B913" s="86"/>
      <c r="C913" s="87"/>
      <c r="D913" s="87" t="s">
        <v>229</v>
      </c>
      <c r="E913" s="65">
        <v>6.99</v>
      </c>
      <c r="F913" s="88">
        <f t="shared" si="10"/>
        <v>5.2425</v>
      </c>
      <c r="G913" s="89">
        <v>0.25</v>
      </c>
    </row>
    <row r="914" ht="15.75" customHeight="1">
      <c r="A914" s="86"/>
      <c r="B914" s="86"/>
      <c r="C914" s="87"/>
      <c r="D914" s="87" t="s">
        <v>375</v>
      </c>
      <c r="E914" s="65">
        <v>6.99</v>
      </c>
      <c r="F914" s="88" t="str">
        <f t="shared" si="10"/>
        <v>-</v>
      </c>
      <c r="G914" s="89" t="s">
        <v>461</v>
      </c>
    </row>
    <row r="915" ht="15.75" customHeight="1">
      <c r="A915" s="86"/>
      <c r="B915" s="86"/>
      <c r="C915" s="87"/>
      <c r="D915" s="87" t="s">
        <v>201</v>
      </c>
      <c r="E915" s="65">
        <v>6.99</v>
      </c>
      <c r="F915" s="88">
        <f t="shared" si="10"/>
        <v>4.5435</v>
      </c>
      <c r="G915" s="89">
        <v>0.35</v>
      </c>
    </row>
    <row r="916" ht="15.75" customHeight="1">
      <c r="A916" s="86"/>
      <c r="B916" s="86"/>
      <c r="C916" s="87"/>
      <c r="D916" s="87" t="s">
        <v>203</v>
      </c>
      <c r="E916" s="65">
        <v>6.99</v>
      </c>
      <c r="F916" s="88">
        <f t="shared" si="10"/>
        <v>4.5435</v>
      </c>
      <c r="G916" s="89">
        <v>0.35</v>
      </c>
    </row>
    <row r="917" ht="15.75" customHeight="1">
      <c r="A917" s="86"/>
      <c r="B917" s="86"/>
      <c r="C917" s="87"/>
      <c r="D917" s="87" t="s">
        <v>205</v>
      </c>
      <c r="E917" s="65">
        <v>11.99</v>
      </c>
      <c r="F917" s="88">
        <f t="shared" si="10"/>
        <v>7.7935</v>
      </c>
      <c r="G917" s="89">
        <v>0.35</v>
      </c>
    </row>
    <row r="918" ht="15.75" customHeight="1">
      <c r="A918" s="86"/>
      <c r="B918" s="86"/>
      <c r="C918" s="87"/>
      <c r="D918" s="87" t="s">
        <v>209</v>
      </c>
      <c r="E918" s="65">
        <v>6.99</v>
      </c>
      <c r="F918" s="88">
        <f t="shared" si="10"/>
        <v>4.5435</v>
      </c>
      <c r="G918" s="89">
        <v>0.35</v>
      </c>
    </row>
    <row r="919" ht="15.75" customHeight="1">
      <c r="A919" s="86"/>
      <c r="B919" s="86"/>
      <c r="C919" s="87"/>
      <c r="D919" s="87" t="s">
        <v>291</v>
      </c>
      <c r="E919" s="65">
        <v>6.99</v>
      </c>
      <c r="F919" s="88">
        <f t="shared" si="10"/>
        <v>4.5435</v>
      </c>
      <c r="G919" s="89">
        <v>0.35</v>
      </c>
    </row>
    <row r="920" ht="15.75" customHeight="1">
      <c r="A920" s="86"/>
      <c r="B920" s="86"/>
      <c r="C920" s="87"/>
      <c r="D920" s="87" t="s">
        <v>292</v>
      </c>
      <c r="E920" s="65">
        <v>6.99</v>
      </c>
      <c r="F920" s="88">
        <f t="shared" si="10"/>
        <v>4.5435</v>
      </c>
      <c r="G920" s="89">
        <v>0.35</v>
      </c>
    </row>
    <row r="921" ht="15.75" customHeight="1">
      <c r="A921" s="86"/>
      <c r="B921" s="86"/>
      <c r="C921" s="87"/>
      <c r="D921" s="87" t="s">
        <v>293</v>
      </c>
      <c r="E921" s="65">
        <v>11.99</v>
      </c>
      <c r="F921" s="88">
        <f t="shared" si="10"/>
        <v>7.7935</v>
      </c>
      <c r="G921" s="89">
        <v>0.35</v>
      </c>
    </row>
    <row r="922" ht="15.75" customHeight="1">
      <c r="A922" s="86"/>
      <c r="B922" s="86"/>
      <c r="C922" s="87"/>
      <c r="D922" s="87" t="s">
        <v>295</v>
      </c>
      <c r="E922" s="65">
        <v>6.99</v>
      </c>
      <c r="F922" s="88">
        <f t="shared" si="10"/>
        <v>4.5435</v>
      </c>
      <c r="G922" s="89">
        <v>0.35</v>
      </c>
    </row>
    <row r="923" ht="15.75" customHeight="1">
      <c r="A923" s="86"/>
      <c r="B923" s="86"/>
      <c r="C923" s="87"/>
      <c r="D923" s="87" t="s">
        <v>452</v>
      </c>
      <c r="E923" s="65" t="s">
        <v>4</v>
      </c>
      <c r="F923" s="88" t="str">
        <f t="shared" si="10"/>
        <v>-</v>
      </c>
      <c r="G923" s="89">
        <v>0.35</v>
      </c>
    </row>
    <row r="924" ht="15.75" customHeight="1">
      <c r="A924" s="86"/>
      <c r="B924" s="86"/>
      <c r="C924" s="87"/>
      <c r="D924" s="87" t="s">
        <v>414</v>
      </c>
      <c r="E924" s="65" t="s">
        <v>4</v>
      </c>
      <c r="F924" s="88" t="str">
        <f t="shared" si="10"/>
        <v>-</v>
      </c>
      <c r="G924" s="89">
        <v>0.35</v>
      </c>
    </row>
    <row r="925" ht="15.75" customHeight="1">
      <c r="A925" s="86"/>
      <c r="B925" s="86"/>
      <c r="C925" s="87"/>
      <c r="D925" s="87" t="s">
        <v>329</v>
      </c>
      <c r="E925" s="65" t="s">
        <v>4</v>
      </c>
      <c r="F925" s="88" t="str">
        <f t="shared" si="10"/>
        <v>-</v>
      </c>
      <c r="G925" s="89">
        <v>0.35</v>
      </c>
    </row>
    <row r="926" ht="15.75" customHeight="1">
      <c r="A926" s="86"/>
      <c r="B926" s="86"/>
      <c r="C926" s="87"/>
      <c r="D926" s="87" t="s">
        <v>455</v>
      </c>
      <c r="E926" s="65" t="s">
        <v>4</v>
      </c>
      <c r="F926" s="88" t="str">
        <f t="shared" si="10"/>
        <v>-</v>
      </c>
      <c r="G926" s="89">
        <v>0.35</v>
      </c>
    </row>
    <row r="927" ht="15.75" customHeight="1">
      <c r="A927" s="86"/>
      <c r="B927" s="86"/>
      <c r="C927" s="87"/>
      <c r="D927" s="87" t="s">
        <v>418</v>
      </c>
      <c r="E927" s="65" t="s">
        <v>4</v>
      </c>
      <c r="F927" s="88" t="str">
        <f t="shared" si="10"/>
        <v>-</v>
      </c>
      <c r="G927" s="89">
        <v>0.35</v>
      </c>
    </row>
    <row r="928" ht="15.75" customHeight="1">
      <c r="A928" s="86"/>
      <c r="B928" s="86"/>
      <c r="C928" s="87"/>
      <c r="D928" s="87" t="s">
        <v>336</v>
      </c>
      <c r="E928" s="65" t="s">
        <v>4</v>
      </c>
      <c r="F928" s="88" t="str">
        <f t="shared" si="10"/>
        <v>-</v>
      </c>
      <c r="G928" s="89">
        <v>0.35</v>
      </c>
    </row>
    <row r="929" ht="15.75" customHeight="1">
      <c r="A929" s="86"/>
      <c r="B929" s="86"/>
      <c r="C929" s="87"/>
      <c r="D929" s="87" t="s">
        <v>18</v>
      </c>
      <c r="E929" s="65">
        <v>24.99</v>
      </c>
      <c r="F929" s="88">
        <f t="shared" si="10"/>
        <v>16.7433</v>
      </c>
      <c r="G929" s="89">
        <v>0.33</v>
      </c>
    </row>
    <row r="930" ht="15.75" customHeight="1">
      <c r="A930" s="86"/>
      <c r="B930" s="86"/>
      <c r="C930" s="87"/>
      <c r="D930" s="87" t="s">
        <v>32</v>
      </c>
      <c r="E930" s="65">
        <v>24.99</v>
      </c>
      <c r="F930" s="88">
        <f t="shared" si="10"/>
        <v>16.7433</v>
      </c>
      <c r="G930" s="89">
        <v>0.33</v>
      </c>
    </row>
    <row r="931" ht="15.75" customHeight="1">
      <c r="A931" s="86"/>
      <c r="B931" s="86"/>
      <c r="C931" s="87"/>
      <c r="D931" s="87" t="s">
        <v>34</v>
      </c>
      <c r="E931" s="65">
        <v>24.99</v>
      </c>
      <c r="F931" s="88">
        <f t="shared" si="10"/>
        <v>16.7433</v>
      </c>
      <c r="G931" s="89">
        <v>0.33</v>
      </c>
    </row>
    <row r="932" ht="15.75" customHeight="1">
      <c r="A932" s="86"/>
      <c r="B932" s="86"/>
      <c r="C932" s="87"/>
      <c r="D932" s="87" t="s">
        <v>307</v>
      </c>
      <c r="E932" s="65">
        <v>24.99</v>
      </c>
      <c r="F932" s="88">
        <f t="shared" si="10"/>
        <v>19.992</v>
      </c>
      <c r="G932" s="89">
        <v>0.2</v>
      </c>
    </row>
    <row r="933" ht="15.75" customHeight="1">
      <c r="A933" s="86">
        <v>46148.0</v>
      </c>
      <c r="B933" s="86">
        <v>46163.0</v>
      </c>
      <c r="C933" s="87" t="s">
        <v>108</v>
      </c>
      <c r="D933" s="87" t="s">
        <v>24</v>
      </c>
      <c r="E933" s="65">
        <v>29.99</v>
      </c>
      <c r="F933" s="88">
        <f t="shared" si="10"/>
        <v>11.996</v>
      </c>
      <c r="G933" s="89">
        <v>0.6</v>
      </c>
    </row>
    <row r="934" ht="15.75" customHeight="1">
      <c r="A934" s="86"/>
      <c r="B934" s="86"/>
      <c r="C934" s="87"/>
      <c r="D934" s="87" t="s">
        <v>268</v>
      </c>
      <c r="E934" s="65">
        <v>79.99</v>
      </c>
      <c r="F934" s="88">
        <f t="shared" si="10"/>
        <v>59.9925</v>
      </c>
      <c r="G934" s="89">
        <v>0.25</v>
      </c>
    </row>
    <row r="935" ht="15.75" customHeight="1">
      <c r="A935" s="86"/>
      <c r="B935" s="86"/>
      <c r="C935" s="87"/>
      <c r="D935" s="87" t="s">
        <v>460</v>
      </c>
      <c r="E935" s="65">
        <v>99.99</v>
      </c>
      <c r="F935" s="88">
        <f t="shared" si="10"/>
        <v>89.991</v>
      </c>
      <c r="G935" s="89">
        <v>0.1</v>
      </c>
    </row>
    <row r="936" ht="15.75" customHeight="1">
      <c r="A936" s="86">
        <v>46143.0</v>
      </c>
      <c r="B936" s="86">
        <v>46146.0</v>
      </c>
      <c r="C936" s="87" t="s">
        <v>440</v>
      </c>
      <c r="D936" s="87" t="s">
        <v>17</v>
      </c>
      <c r="E936" s="65">
        <v>39.99</v>
      </c>
      <c r="F936" s="88">
        <f t="shared" si="10"/>
        <v>15.996</v>
      </c>
      <c r="G936" s="89">
        <v>0.6</v>
      </c>
    </row>
    <row r="937" ht="15.75" customHeight="1">
      <c r="A937" s="86"/>
      <c r="B937" s="86"/>
      <c r="C937" s="87"/>
      <c r="D937" s="87" t="s">
        <v>312</v>
      </c>
      <c r="E937" s="65">
        <v>129.99</v>
      </c>
      <c r="F937" s="88">
        <f t="shared" si="10"/>
        <v>77.994</v>
      </c>
      <c r="G937" s="89">
        <v>0.4</v>
      </c>
    </row>
    <row r="938" ht="15.75" customHeight="1">
      <c r="A938" s="86">
        <v>46155.0</v>
      </c>
      <c r="B938" s="86">
        <v>46169.0</v>
      </c>
      <c r="C938" s="87" t="s">
        <v>148</v>
      </c>
      <c r="D938" s="87" t="s">
        <v>24</v>
      </c>
      <c r="E938" s="65">
        <v>29.99</v>
      </c>
      <c r="F938" s="88">
        <f t="shared" si="10"/>
        <v>11.996</v>
      </c>
      <c r="G938" s="89">
        <v>0.6</v>
      </c>
    </row>
    <row r="939" ht="15.75" customHeight="1">
      <c r="A939" s="86"/>
      <c r="B939" s="86"/>
      <c r="C939" s="87"/>
      <c r="D939" s="87" t="s">
        <v>268</v>
      </c>
      <c r="E939" s="65">
        <v>79.99</v>
      </c>
      <c r="F939" s="88">
        <f t="shared" si="10"/>
        <v>59.9925</v>
      </c>
      <c r="G939" s="89">
        <v>0.25</v>
      </c>
    </row>
    <row r="940" ht="15.75" customHeight="1">
      <c r="A940" s="86"/>
      <c r="B940" s="86"/>
      <c r="C940" s="87"/>
      <c r="D940" s="87" t="s">
        <v>460</v>
      </c>
      <c r="E940" s="65">
        <v>99.99</v>
      </c>
      <c r="F940" s="88">
        <f t="shared" si="10"/>
        <v>79.992</v>
      </c>
      <c r="G940" s="89">
        <v>0.2</v>
      </c>
    </row>
    <row r="941" ht="15.75" customHeight="1">
      <c r="A941" s="86">
        <v>46169.0</v>
      </c>
      <c r="B941" s="86">
        <v>46183.0</v>
      </c>
      <c r="C941" s="87" t="s">
        <v>151</v>
      </c>
      <c r="D941" s="87" t="s">
        <v>17</v>
      </c>
      <c r="E941" s="65">
        <v>39.99</v>
      </c>
      <c r="F941" s="88">
        <f t="shared" si="10"/>
        <v>15.996</v>
      </c>
      <c r="G941" s="89">
        <v>0.6</v>
      </c>
    </row>
    <row r="942" ht="15.75" customHeight="1">
      <c r="A942" s="86"/>
      <c r="B942" s="86"/>
      <c r="C942" s="87"/>
      <c r="D942" s="87" t="s">
        <v>312</v>
      </c>
      <c r="E942" s="65">
        <v>129.99</v>
      </c>
      <c r="F942" s="88">
        <f t="shared" si="10"/>
        <v>77.994</v>
      </c>
      <c r="G942" s="89">
        <v>0.4</v>
      </c>
    </row>
    <row r="943" ht="15.75" customHeight="1">
      <c r="A943" s="86"/>
      <c r="B943" s="86"/>
      <c r="C943" s="87"/>
      <c r="D943" s="87" t="s">
        <v>353</v>
      </c>
      <c r="E943" s="65" t="s">
        <v>4</v>
      </c>
      <c r="F943" s="88" t="str">
        <f t="shared" si="10"/>
        <v>-</v>
      </c>
      <c r="G943" s="89">
        <v>0.35</v>
      </c>
    </row>
    <row r="944" ht="15.75" customHeight="1">
      <c r="A944" s="86"/>
      <c r="B944" s="86"/>
      <c r="C944" s="87"/>
      <c r="D944" s="87" t="s">
        <v>332</v>
      </c>
      <c r="E944" s="65" t="s">
        <v>4</v>
      </c>
      <c r="F944" s="88" t="str">
        <f t="shared" si="10"/>
        <v>-</v>
      </c>
      <c r="G944" s="89">
        <v>0.35</v>
      </c>
    </row>
    <row r="945" ht="15.75" customHeight="1">
      <c r="A945" s="86"/>
      <c r="B945" s="86"/>
      <c r="C945" s="87"/>
      <c r="D945" s="87" t="s">
        <v>343</v>
      </c>
      <c r="E945" s="65" t="s">
        <v>4</v>
      </c>
      <c r="F945" s="88" t="str">
        <f t="shared" si="10"/>
        <v>-</v>
      </c>
      <c r="G945" s="89">
        <v>0.35</v>
      </c>
    </row>
    <row r="946" ht="15.75" customHeight="1">
      <c r="A946" s="86"/>
      <c r="B946" s="86"/>
      <c r="C946" s="87"/>
      <c r="D946" s="87" t="s">
        <v>436</v>
      </c>
      <c r="E946" s="65" t="s">
        <v>4</v>
      </c>
      <c r="F946" s="88" t="str">
        <f t="shared" si="10"/>
        <v>-</v>
      </c>
      <c r="G946" s="89">
        <v>0.2</v>
      </c>
    </row>
    <row r="947" ht="15.75" customHeight="1">
      <c r="A947" s="86"/>
      <c r="B947" s="86"/>
      <c r="C947" s="87"/>
      <c r="D947" s="87" t="s">
        <v>327</v>
      </c>
      <c r="E947" s="65" t="s">
        <v>4</v>
      </c>
      <c r="F947" s="88" t="str">
        <f t="shared" si="10"/>
        <v>-</v>
      </c>
      <c r="G947" s="89">
        <v>0.2</v>
      </c>
    </row>
    <row r="948" ht="15.75" customHeight="1">
      <c r="A948" s="86"/>
      <c r="B948" s="86"/>
      <c r="C948" s="87"/>
      <c r="D948" s="87" t="s">
        <v>407</v>
      </c>
      <c r="E948" s="65" t="s">
        <v>4</v>
      </c>
      <c r="F948" s="88" t="str">
        <f t="shared" si="10"/>
        <v>-</v>
      </c>
      <c r="G948" s="89">
        <v>0.35</v>
      </c>
    </row>
    <row r="949" ht="15.75" customHeight="1">
      <c r="A949" s="86"/>
      <c r="B949" s="86"/>
      <c r="C949" s="87"/>
      <c r="D949" s="87" t="s">
        <v>340</v>
      </c>
      <c r="E949" s="65" t="s">
        <v>4</v>
      </c>
      <c r="F949" s="88" t="str">
        <f t="shared" si="10"/>
        <v>-</v>
      </c>
      <c r="G949" s="89">
        <v>0.35</v>
      </c>
    </row>
    <row r="950" ht="15.75" customHeight="1">
      <c r="A950" s="86"/>
      <c r="B950" s="86"/>
      <c r="C950" s="87"/>
      <c r="D950" s="87" t="s">
        <v>446</v>
      </c>
      <c r="E950" s="65" t="s">
        <v>4</v>
      </c>
      <c r="F950" s="88" t="str">
        <f t="shared" si="10"/>
        <v>-</v>
      </c>
      <c r="G950" s="89">
        <v>0.35</v>
      </c>
    </row>
    <row r="951" ht="15.75" customHeight="1">
      <c r="A951" s="86"/>
      <c r="B951" s="86"/>
      <c r="C951" s="87"/>
      <c r="D951" s="87" t="s">
        <v>331</v>
      </c>
      <c r="E951" s="65" t="s">
        <v>4</v>
      </c>
      <c r="F951" s="88" t="str">
        <f t="shared" si="10"/>
        <v>-</v>
      </c>
      <c r="G951" s="89">
        <v>0.35</v>
      </c>
    </row>
    <row r="952" ht="15.75" customHeight="1">
      <c r="A952" s="86"/>
      <c r="B952" s="86"/>
      <c r="C952" s="87"/>
      <c r="D952" s="87" t="s">
        <v>335</v>
      </c>
      <c r="E952" s="65" t="s">
        <v>4</v>
      </c>
      <c r="F952" s="88" t="str">
        <f t="shared" si="10"/>
        <v>-</v>
      </c>
      <c r="G952" s="89">
        <v>0.35</v>
      </c>
    </row>
    <row r="953" ht="15.75" customHeight="1">
      <c r="A953" s="86"/>
      <c r="B953" s="86"/>
      <c r="C953" s="87"/>
      <c r="D953" s="87" t="s">
        <v>330</v>
      </c>
      <c r="E953" s="65" t="s">
        <v>4</v>
      </c>
      <c r="F953" s="88" t="str">
        <f t="shared" si="10"/>
        <v>-</v>
      </c>
      <c r="G953" s="89">
        <v>0.2</v>
      </c>
    </row>
    <row r="954" ht="15.75" customHeight="1">
      <c r="A954" s="86"/>
      <c r="B954" s="86"/>
      <c r="C954" s="87"/>
      <c r="D954" s="87" t="s">
        <v>347</v>
      </c>
      <c r="E954" s="65" t="s">
        <v>4</v>
      </c>
      <c r="F954" s="88" t="str">
        <f t="shared" si="10"/>
        <v>-</v>
      </c>
      <c r="G954" s="89">
        <v>0.35</v>
      </c>
    </row>
    <row r="955" ht="15.75" customHeight="1">
      <c r="A955" s="86"/>
      <c r="B955" s="86"/>
      <c r="C955" s="87"/>
      <c r="D955" s="87" t="s">
        <v>447</v>
      </c>
      <c r="E955" s="65" t="s">
        <v>4</v>
      </c>
      <c r="F955" s="88" t="str">
        <f t="shared" si="10"/>
        <v>-</v>
      </c>
      <c r="G955" s="89">
        <v>0.35</v>
      </c>
    </row>
    <row r="956" ht="15.75" customHeight="1">
      <c r="A956" s="86"/>
      <c r="B956" s="86"/>
      <c r="C956" s="87"/>
      <c r="D956" s="87" t="s">
        <v>409</v>
      </c>
      <c r="E956" s="65" t="s">
        <v>4</v>
      </c>
      <c r="F956" s="88" t="str">
        <f t="shared" si="10"/>
        <v>-</v>
      </c>
      <c r="G956" s="89">
        <v>0.35</v>
      </c>
    </row>
    <row r="957" ht="15.75" customHeight="1">
      <c r="A957" s="86"/>
      <c r="B957" s="86"/>
      <c r="C957" s="87"/>
      <c r="D957" s="87" t="s">
        <v>489</v>
      </c>
      <c r="E957" s="65" t="s">
        <v>4</v>
      </c>
      <c r="F957" s="88" t="str">
        <f t="shared" si="10"/>
        <v>-</v>
      </c>
      <c r="G957" s="89">
        <v>0.2</v>
      </c>
    </row>
    <row r="958" ht="15.75" customHeight="1">
      <c r="A958" s="86"/>
      <c r="B958" s="86"/>
      <c r="C958" s="87"/>
      <c r="D958" s="87" t="s">
        <v>342</v>
      </c>
      <c r="E958" s="65" t="s">
        <v>4</v>
      </c>
      <c r="F958" s="88" t="str">
        <f t="shared" si="10"/>
        <v>-</v>
      </c>
      <c r="G958" s="89">
        <v>0.35</v>
      </c>
    </row>
    <row r="959" ht="15.75" customHeight="1">
      <c r="A959" s="86"/>
      <c r="B959" s="86"/>
      <c r="C959" s="87"/>
      <c r="D959" s="87" t="s">
        <v>341</v>
      </c>
      <c r="E959" s="65" t="s">
        <v>4</v>
      </c>
      <c r="F959" s="88" t="str">
        <f t="shared" si="10"/>
        <v>-</v>
      </c>
      <c r="G959" s="89">
        <v>0.2</v>
      </c>
    </row>
    <row r="960" ht="15.75" customHeight="1">
      <c r="A960" s="86"/>
      <c r="B960" s="86"/>
      <c r="C960" s="87"/>
      <c r="D960" s="87" t="s">
        <v>411</v>
      </c>
      <c r="E960" s="65" t="s">
        <v>4</v>
      </c>
      <c r="F960" s="88" t="str">
        <f t="shared" si="10"/>
        <v>-</v>
      </c>
      <c r="G960" s="89">
        <v>0.35</v>
      </c>
    </row>
    <row r="961" ht="15.75" customHeight="1">
      <c r="A961" s="86"/>
      <c r="B961" s="86"/>
      <c r="C961" s="87"/>
      <c r="D961" s="87" t="s">
        <v>448</v>
      </c>
      <c r="E961" s="65" t="s">
        <v>4</v>
      </c>
      <c r="F961" s="88" t="str">
        <f t="shared" si="10"/>
        <v>-</v>
      </c>
      <c r="G961" s="89">
        <v>0.35</v>
      </c>
    </row>
    <row r="962" ht="15.75" customHeight="1">
      <c r="A962" s="86"/>
      <c r="B962" s="86"/>
      <c r="C962" s="87"/>
      <c r="D962" s="87" t="s">
        <v>449</v>
      </c>
      <c r="E962" s="65" t="s">
        <v>4</v>
      </c>
      <c r="F962" s="88" t="str">
        <f t="shared" si="10"/>
        <v>-</v>
      </c>
      <c r="G962" s="89">
        <v>0.35</v>
      </c>
    </row>
    <row r="963" ht="15.75" customHeight="1">
      <c r="A963" s="86"/>
      <c r="B963" s="86"/>
      <c r="C963" s="87"/>
      <c r="D963" s="87" t="s">
        <v>195</v>
      </c>
      <c r="E963" s="65">
        <v>6.99</v>
      </c>
      <c r="F963" s="88">
        <f t="shared" si="10"/>
        <v>4.5435</v>
      </c>
      <c r="G963" s="89">
        <v>0.35</v>
      </c>
    </row>
    <row r="964" ht="15.75" customHeight="1">
      <c r="A964" s="86"/>
      <c r="B964" s="86"/>
      <c r="C964" s="87"/>
      <c r="D964" s="87" t="s">
        <v>296</v>
      </c>
      <c r="E964" s="65">
        <v>6.99</v>
      </c>
      <c r="F964" s="88">
        <f t="shared" si="10"/>
        <v>4.5435</v>
      </c>
      <c r="G964" s="89">
        <v>0.35</v>
      </c>
    </row>
    <row r="965" ht="15.75" customHeight="1">
      <c r="A965" s="86"/>
      <c r="B965" s="86"/>
      <c r="C965" s="87"/>
      <c r="D965" s="87" t="s">
        <v>221</v>
      </c>
      <c r="E965" s="65">
        <v>6.99</v>
      </c>
      <c r="F965" s="88">
        <f t="shared" si="10"/>
        <v>4.5435</v>
      </c>
      <c r="G965" s="89">
        <v>0.35</v>
      </c>
    </row>
    <row r="966" ht="15.75" customHeight="1">
      <c r="A966" s="86"/>
      <c r="B966" s="86"/>
      <c r="C966" s="87"/>
      <c r="D966" s="87" t="s">
        <v>224</v>
      </c>
      <c r="E966" s="65">
        <v>11.99</v>
      </c>
      <c r="F966" s="88">
        <f t="shared" si="10"/>
        <v>7.7935</v>
      </c>
      <c r="G966" s="89">
        <v>0.35</v>
      </c>
    </row>
    <row r="967" ht="15.75" customHeight="1">
      <c r="A967" s="86"/>
      <c r="B967" s="86"/>
      <c r="C967" s="87"/>
      <c r="D967" s="87" t="s">
        <v>226</v>
      </c>
      <c r="E967" s="65">
        <v>6.99</v>
      </c>
      <c r="F967" s="88">
        <f t="shared" si="10"/>
        <v>4.893</v>
      </c>
      <c r="G967" s="89">
        <v>0.3</v>
      </c>
    </row>
    <row r="968" ht="15.75" customHeight="1">
      <c r="A968" s="86"/>
      <c r="B968" s="86"/>
      <c r="C968" s="87"/>
      <c r="D968" s="87" t="s">
        <v>229</v>
      </c>
      <c r="E968" s="65">
        <v>6.99</v>
      </c>
      <c r="F968" s="88">
        <f t="shared" si="10"/>
        <v>5.2425</v>
      </c>
      <c r="G968" s="89">
        <v>0.25</v>
      </c>
    </row>
    <row r="969" ht="15.75" customHeight="1">
      <c r="A969" s="86"/>
      <c r="B969" s="86"/>
      <c r="C969" s="87"/>
      <c r="D969" s="87" t="s">
        <v>375</v>
      </c>
      <c r="E969" s="65">
        <v>6.99</v>
      </c>
      <c r="F969" s="88">
        <f t="shared" si="10"/>
        <v>5.592</v>
      </c>
      <c r="G969" s="89">
        <v>0.2</v>
      </c>
    </row>
    <row r="970" ht="15.75" customHeight="1">
      <c r="A970" s="86"/>
      <c r="B970" s="86"/>
      <c r="C970" s="87"/>
      <c r="D970" s="87" t="s">
        <v>490</v>
      </c>
      <c r="E970" s="65">
        <v>11.99</v>
      </c>
      <c r="F970" s="88">
        <f t="shared" si="10"/>
        <v>9.592</v>
      </c>
      <c r="G970" s="89">
        <v>0.2</v>
      </c>
    </row>
    <row r="971" ht="15.75" customHeight="1">
      <c r="A971" s="86"/>
      <c r="B971" s="86"/>
      <c r="C971" s="87"/>
      <c r="D971" s="87" t="s">
        <v>201</v>
      </c>
      <c r="E971" s="65">
        <v>6.99</v>
      </c>
      <c r="F971" s="88">
        <f t="shared" si="10"/>
        <v>4.5435</v>
      </c>
      <c r="G971" s="89">
        <v>0.35</v>
      </c>
    </row>
    <row r="972" ht="15.75" customHeight="1">
      <c r="A972" s="86"/>
      <c r="B972" s="86"/>
      <c r="C972" s="87"/>
      <c r="D972" s="87" t="s">
        <v>203</v>
      </c>
      <c r="E972" s="65">
        <v>6.99</v>
      </c>
      <c r="F972" s="88">
        <f t="shared" si="10"/>
        <v>4.5435</v>
      </c>
      <c r="G972" s="89">
        <v>0.35</v>
      </c>
    </row>
    <row r="973" ht="15.75" customHeight="1">
      <c r="A973" s="86"/>
      <c r="B973" s="86"/>
      <c r="C973" s="87"/>
      <c r="D973" s="87" t="s">
        <v>205</v>
      </c>
      <c r="E973" s="65">
        <v>11.99</v>
      </c>
      <c r="F973" s="88">
        <f t="shared" si="10"/>
        <v>7.7935</v>
      </c>
      <c r="G973" s="89">
        <v>0.35</v>
      </c>
    </row>
    <row r="974" ht="15.75" customHeight="1">
      <c r="A974" s="86"/>
      <c r="B974" s="86"/>
      <c r="C974" s="87"/>
      <c r="D974" s="87" t="s">
        <v>209</v>
      </c>
      <c r="E974" s="65">
        <v>6.99</v>
      </c>
      <c r="F974" s="88">
        <f t="shared" si="10"/>
        <v>4.5435</v>
      </c>
      <c r="G974" s="89">
        <v>0.35</v>
      </c>
    </row>
    <row r="975" ht="15.75" customHeight="1">
      <c r="A975" s="86"/>
      <c r="B975" s="86"/>
      <c r="C975" s="87"/>
      <c r="D975" s="87" t="s">
        <v>291</v>
      </c>
      <c r="E975" s="65">
        <v>6.99</v>
      </c>
      <c r="F975" s="88">
        <f t="shared" si="10"/>
        <v>4.5435</v>
      </c>
      <c r="G975" s="89">
        <v>0.35</v>
      </c>
    </row>
    <row r="976" ht="15.75" customHeight="1">
      <c r="A976" s="86"/>
      <c r="B976" s="86"/>
      <c r="C976" s="87"/>
      <c r="D976" s="87" t="s">
        <v>292</v>
      </c>
      <c r="E976" s="65">
        <v>6.99</v>
      </c>
      <c r="F976" s="88">
        <f t="shared" si="10"/>
        <v>4.5435</v>
      </c>
      <c r="G976" s="89">
        <v>0.35</v>
      </c>
    </row>
    <row r="977" ht="15.75" customHeight="1">
      <c r="A977" s="86"/>
      <c r="B977" s="86"/>
      <c r="C977" s="87"/>
      <c r="D977" s="87" t="s">
        <v>293</v>
      </c>
      <c r="E977" s="65">
        <v>11.99</v>
      </c>
      <c r="F977" s="88">
        <f t="shared" si="10"/>
        <v>7.7935</v>
      </c>
      <c r="G977" s="89">
        <v>0.35</v>
      </c>
    </row>
    <row r="978" ht="15.75" customHeight="1">
      <c r="A978" s="86"/>
      <c r="B978" s="86"/>
      <c r="C978" s="87"/>
      <c r="D978" s="87" t="s">
        <v>295</v>
      </c>
      <c r="E978" s="65">
        <v>6.99</v>
      </c>
      <c r="F978" s="88">
        <f t="shared" si="10"/>
        <v>4.5435</v>
      </c>
      <c r="G978" s="89">
        <v>0.35</v>
      </c>
    </row>
    <row r="979" ht="15.75" customHeight="1">
      <c r="A979" s="86"/>
      <c r="B979" s="86"/>
      <c r="C979" s="87"/>
      <c r="D979" s="87" t="s">
        <v>452</v>
      </c>
      <c r="E979" s="65" t="s">
        <v>4</v>
      </c>
      <c r="F979" s="88" t="str">
        <f t="shared" si="10"/>
        <v>-</v>
      </c>
      <c r="G979" s="89">
        <v>0.35</v>
      </c>
    </row>
    <row r="980" ht="15.75" customHeight="1">
      <c r="A980" s="86"/>
      <c r="B980" s="86"/>
      <c r="C980" s="87"/>
      <c r="D980" s="87" t="s">
        <v>414</v>
      </c>
      <c r="E980" s="65" t="s">
        <v>4</v>
      </c>
      <c r="F980" s="88" t="str">
        <f t="shared" si="10"/>
        <v>-</v>
      </c>
      <c r="G980" s="89">
        <v>0.35</v>
      </c>
    </row>
    <row r="981" ht="15.75" customHeight="1">
      <c r="A981" s="86"/>
      <c r="B981" s="86"/>
      <c r="C981" s="87"/>
      <c r="D981" s="87" t="s">
        <v>329</v>
      </c>
      <c r="E981" s="65" t="s">
        <v>4</v>
      </c>
      <c r="F981" s="88" t="str">
        <f t="shared" si="10"/>
        <v>-</v>
      </c>
      <c r="G981" s="89">
        <v>0.35</v>
      </c>
    </row>
    <row r="982" ht="15.75" customHeight="1">
      <c r="A982" s="86"/>
      <c r="B982" s="86"/>
      <c r="C982" s="87"/>
      <c r="D982" s="87" t="s">
        <v>455</v>
      </c>
      <c r="E982" s="65" t="s">
        <v>4</v>
      </c>
      <c r="F982" s="88" t="str">
        <f t="shared" si="10"/>
        <v>-</v>
      </c>
      <c r="G982" s="89">
        <v>0.35</v>
      </c>
    </row>
    <row r="983" ht="15.75" customHeight="1">
      <c r="A983" s="86"/>
      <c r="B983" s="86"/>
      <c r="C983" s="87"/>
      <c r="D983" s="87" t="s">
        <v>418</v>
      </c>
      <c r="E983" s="65" t="s">
        <v>4</v>
      </c>
      <c r="F983" s="88" t="str">
        <f t="shared" si="10"/>
        <v>-</v>
      </c>
      <c r="G983" s="89">
        <v>0.35</v>
      </c>
    </row>
    <row r="984" ht="15.75" customHeight="1">
      <c r="A984" s="86"/>
      <c r="B984" s="86"/>
      <c r="C984" s="87"/>
      <c r="D984" s="87" t="s">
        <v>336</v>
      </c>
      <c r="E984" s="65" t="s">
        <v>4</v>
      </c>
      <c r="F984" s="88" t="str">
        <f t="shared" si="10"/>
        <v>-</v>
      </c>
      <c r="G984" s="89">
        <v>0.35</v>
      </c>
    </row>
    <row r="985" ht="15.75" customHeight="1">
      <c r="A985" s="86"/>
      <c r="B985" s="86"/>
      <c r="C985" s="87"/>
      <c r="D985" s="87" t="s">
        <v>18</v>
      </c>
      <c r="E985" s="65">
        <v>24.99</v>
      </c>
      <c r="F985" s="88">
        <f t="shared" si="10"/>
        <v>16.7433</v>
      </c>
      <c r="G985" s="89">
        <v>0.33</v>
      </c>
    </row>
    <row r="986" ht="15.75" customHeight="1">
      <c r="A986" s="86"/>
      <c r="B986" s="86"/>
      <c r="C986" s="87"/>
      <c r="D986" s="87" t="s">
        <v>32</v>
      </c>
      <c r="E986" s="65">
        <v>24.99</v>
      </c>
      <c r="F986" s="88">
        <f t="shared" si="10"/>
        <v>16.7433</v>
      </c>
      <c r="G986" s="89">
        <v>0.33</v>
      </c>
    </row>
    <row r="987" ht="15.75" customHeight="1">
      <c r="A987" s="86"/>
      <c r="B987" s="86"/>
      <c r="C987" s="87"/>
      <c r="D987" s="87" t="s">
        <v>34</v>
      </c>
      <c r="E987" s="65">
        <v>24.99</v>
      </c>
      <c r="F987" s="88">
        <f t="shared" si="10"/>
        <v>16.7433</v>
      </c>
      <c r="G987" s="89">
        <v>0.33</v>
      </c>
    </row>
    <row r="988" ht="15.75" customHeight="1">
      <c r="A988" s="86"/>
      <c r="B988" s="86"/>
      <c r="C988" s="87"/>
      <c r="D988" s="87" t="s">
        <v>307</v>
      </c>
      <c r="E988" s="65">
        <v>24.99</v>
      </c>
      <c r="F988" s="88">
        <f t="shared" si="10"/>
        <v>19.992</v>
      </c>
      <c r="G988" s="89">
        <v>0.2</v>
      </c>
    </row>
    <row r="989" ht="15.75" customHeight="1">
      <c r="A989" s="63">
        <v>46218.0</v>
      </c>
      <c r="B989" s="63">
        <v>46232.0</v>
      </c>
      <c r="C989" s="64" t="s">
        <v>113</v>
      </c>
      <c r="D989" s="87" t="s">
        <v>17</v>
      </c>
      <c r="E989" s="65">
        <v>39.99</v>
      </c>
      <c r="F989" s="88">
        <f t="shared" si="10"/>
        <v>15.996</v>
      </c>
      <c r="G989" s="89">
        <v>0.6</v>
      </c>
    </row>
    <row r="990" ht="15.75" customHeight="1">
      <c r="A990" s="86"/>
      <c r="B990" s="86"/>
      <c r="C990" s="87"/>
      <c r="D990" s="87" t="s">
        <v>312</v>
      </c>
      <c r="E990" s="65">
        <v>129.99</v>
      </c>
      <c r="F990" s="88">
        <f t="shared" si="10"/>
        <v>77.994</v>
      </c>
      <c r="G990" s="89">
        <v>0.4</v>
      </c>
    </row>
    <row r="991" ht="15.75" customHeight="1">
      <c r="A991" s="86"/>
      <c r="B991" s="86"/>
      <c r="C991" s="87"/>
      <c r="D991" s="87" t="s">
        <v>353</v>
      </c>
      <c r="E991" s="65" t="s">
        <v>4</v>
      </c>
      <c r="F991" s="88" t="str">
        <f t="shared" si="10"/>
        <v>-</v>
      </c>
      <c r="G991" s="89">
        <v>0.35</v>
      </c>
    </row>
    <row r="992" ht="15.75" customHeight="1">
      <c r="A992" s="86"/>
      <c r="B992" s="86"/>
      <c r="C992" s="87"/>
      <c r="D992" s="87" t="s">
        <v>332</v>
      </c>
      <c r="E992" s="65" t="s">
        <v>4</v>
      </c>
      <c r="F992" s="88" t="str">
        <f t="shared" si="10"/>
        <v>-</v>
      </c>
      <c r="G992" s="89">
        <v>0.35</v>
      </c>
    </row>
    <row r="993" ht="15.75" customHeight="1">
      <c r="A993" s="86"/>
      <c r="B993" s="86"/>
      <c r="C993" s="87"/>
      <c r="D993" s="87" t="s">
        <v>343</v>
      </c>
      <c r="E993" s="65" t="s">
        <v>4</v>
      </c>
      <c r="F993" s="88" t="str">
        <f t="shared" si="10"/>
        <v>-</v>
      </c>
      <c r="G993" s="89">
        <v>0.35</v>
      </c>
    </row>
    <row r="994" ht="15.75" customHeight="1">
      <c r="A994" s="86"/>
      <c r="B994" s="86"/>
      <c r="C994" s="87"/>
      <c r="D994" s="87" t="s">
        <v>436</v>
      </c>
      <c r="E994" s="65" t="s">
        <v>4</v>
      </c>
      <c r="F994" s="88" t="str">
        <f t="shared" si="10"/>
        <v>-</v>
      </c>
      <c r="G994" s="89">
        <v>0.2</v>
      </c>
    </row>
    <row r="995" ht="15.75" customHeight="1">
      <c r="A995" s="86"/>
      <c r="B995" s="86"/>
      <c r="C995" s="87"/>
      <c r="D995" s="87" t="s">
        <v>327</v>
      </c>
      <c r="E995" s="65" t="s">
        <v>4</v>
      </c>
      <c r="F995" s="88" t="str">
        <f t="shared" si="10"/>
        <v>-</v>
      </c>
      <c r="G995" s="89">
        <v>0.2</v>
      </c>
    </row>
    <row r="996" ht="15.75" customHeight="1">
      <c r="A996" s="86"/>
      <c r="B996" s="86"/>
      <c r="C996" s="87"/>
      <c r="D996" s="87" t="s">
        <v>407</v>
      </c>
      <c r="E996" s="65" t="s">
        <v>4</v>
      </c>
      <c r="F996" s="88" t="str">
        <f t="shared" si="10"/>
        <v>-</v>
      </c>
      <c r="G996" s="89">
        <v>0.35</v>
      </c>
    </row>
    <row r="997" ht="15.75" customHeight="1">
      <c r="A997" s="86"/>
      <c r="B997" s="86"/>
      <c r="C997" s="87"/>
      <c r="D997" s="87" t="s">
        <v>340</v>
      </c>
      <c r="E997" s="65" t="s">
        <v>4</v>
      </c>
      <c r="F997" s="88" t="str">
        <f t="shared" si="10"/>
        <v>-</v>
      </c>
      <c r="G997" s="89">
        <v>0.35</v>
      </c>
    </row>
    <row r="998" ht="15.75" customHeight="1">
      <c r="A998" s="86"/>
      <c r="B998" s="86"/>
      <c r="C998" s="87"/>
      <c r="D998" s="87" t="s">
        <v>446</v>
      </c>
      <c r="E998" s="65" t="s">
        <v>4</v>
      </c>
      <c r="F998" s="88" t="str">
        <f t="shared" si="10"/>
        <v>-</v>
      </c>
      <c r="G998" s="89">
        <v>0.35</v>
      </c>
    </row>
    <row r="999" ht="15.75" customHeight="1">
      <c r="A999" s="86"/>
      <c r="B999" s="86"/>
      <c r="C999" s="87"/>
      <c r="D999" s="87" t="s">
        <v>331</v>
      </c>
      <c r="E999" s="65" t="s">
        <v>4</v>
      </c>
      <c r="F999" s="88" t="str">
        <f t="shared" si="10"/>
        <v>-</v>
      </c>
      <c r="G999" s="89">
        <v>0.35</v>
      </c>
    </row>
    <row r="1000" ht="15.75" customHeight="1">
      <c r="A1000" s="86"/>
      <c r="B1000" s="86"/>
      <c r="C1000" s="87"/>
      <c r="D1000" s="87" t="s">
        <v>335</v>
      </c>
      <c r="E1000" s="65" t="s">
        <v>4</v>
      </c>
      <c r="F1000" s="88" t="str">
        <f t="shared" si="10"/>
        <v>-</v>
      </c>
      <c r="G1000" s="89">
        <v>0.35</v>
      </c>
    </row>
    <row r="1001" ht="15.75" customHeight="1">
      <c r="A1001" s="86"/>
      <c r="B1001" s="86"/>
      <c r="C1001" s="87"/>
      <c r="D1001" s="87" t="s">
        <v>330</v>
      </c>
      <c r="E1001" s="65" t="s">
        <v>4</v>
      </c>
      <c r="F1001" s="88" t="str">
        <f t="shared" si="10"/>
        <v>-</v>
      </c>
      <c r="G1001" s="89">
        <v>0.2</v>
      </c>
    </row>
    <row r="1002" ht="15.75" customHeight="1">
      <c r="A1002" s="86"/>
      <c r="B1002" s="86"/>
      <c r="C1002" s="87"/>
      <c r="D1002" s="87" t="s">
        <v>347</v>
      </c>
      <c r="E1002" s="65" t="s">
        <v>4</v>
      </c>
      <c r="F1002" s="88" t="str">
        <f t="shared" si="10"/>
        <v>-</v>
      </c>
      <c r="G1002" s="89">
        <v>0.35</v>
      </c>
    </row>
    <row r="1003" ht="15.75" customHeight="1">
      <c r="A1003" s="86"/>
      <c r="B1003" s="86"/>
      <c r="C1003" s="87"/>
      <c r="D1003" s="87" t="s">
        <v>447</v>
      </c>
      <c r="E1003" s="65" t="s">
        <v>4</v>
      </c>
      <c r="F1003" s="88" t="str">
        <f t="shared" si="10"/>
        <v>-</v>
      </c>
      <c r="G1003" s="89">
        <v>0.35</v>
      </c>
    </row>
    <row r="1004" ht="15.75" customHeight="1">
      <c r="A1004" s="86"/>
      <c r="B1004" s="86"/>
      <c r="C1004" s="87"/>
      <c r="D1004" s="87" t="s">
        <v>409</v>
      </c>
      <c r="E1004" s="65" t="s">
        <v>4</v>
      </c>
      <c r="F1004" s="88" t="str">
        <f t="shared" si="10"/>
        <v>-</v>
      </c>
      <c r="G1004" s="89">
        <v>0.35</v>
      </c>
    </row>
    <row r="1005" ht="15.75" customHeight="1">
      <c r="A1005" s="86"/>
      <c r="B1005" s="86"/>
      <c r="C1005" s="87"/>
      <c r="D1005" s="87" t="s">
        <v>489</v>
      </c>
      <c r="E1005" s="65" t="s">
        <v>4</v>
      </c>
      <c r="F1005" s="88" t="str">
        <f t="shared" si="10"/>
        <v>-</v>
      </c>
      <c r="G1005" s="89">
        <v>0.2</v>
      </c>
    </row>
    <row r="1006" ht="15.75" customHeight="1">
      <c r="A1006" s="86"/>
      <c r="B1006" s="86"/>
      <c r="C1006" s="87"/>
      <c r="D1006" s="87" t="s">
        <v>342</v>
      </c>
      <c r="E1006" s="65" t="s">
        <v>4</v>
      </c>
      <c r="F1006" s="88" t="str">
        <f t="shared" si="10"/>
        <v>-</v>
      </c>
      <c r="G1006" s="89">
        <v>0.35</v>
      </c>
    </row>
    <row r="1007" ht="15.75" customHeight="1">
      <c r="A1007" s="86"/>
      <c r="B1007" s="86"/>
      <c r="C1007" s="87"/>
      <c r="D1007" s="87" t="s">
        <v>341</v>
      </c>
      <c r="E1007" s="65" t="s">
        <v>4</v>
      </c>
      <c r="F1007" s="88" t="str">
        <f t="shared" si="10"/>
        <v>-</v>
      </c>
      <c r="G1007" s="89">
        <v>0.2</v>
      </c>
    </row>
    <row r="1008" ht="15.75" customHeight="1">
      <c r="A1008" s="86"/>
      <c r="B1008" s="86"/>
      <c r="C1008" s="87"/>
      <c r="D1008" s="87" t="s">
        <v>411</v>
      </c>
      <c r="E1008" s="65" t="s">
        <v>4</v>
      </c>
      <c r="F1008" s="88" t="str">
        <f t="shared" si="10"/>
        <v>-</v>
      </c>
      <c r="G1008" s="89">
        <v>0.35</v>
      </c>
    </row>
    <row r="1009" ht="15.75" customHeight="1">
      <c r="A1009" s="86"/>
      <c r="B1009" s="86"/>
      <c r="C1009" s="87"/>
      <c r="D1009" s="87" t="s">
        <v>448</v>
      </c>
      <c r="E1009" s="65" t="s">
        <v>4</v>
      </c>
      <c r="F1009" s="88" t="str">
        <f t="shared" si="10"/>
        <v>-</v>
      </c>
      <c r="G1009" s="89">
        <v>0.35</v>
      </c>
    </row>
    <row r="1010" ht="15.75" customHeight="1">
      <c r="A1010" s="86"/>
      <c r="B1010" s="86"/>
      <c r="C1010" s="87"/>
      <c r="D1010" s="87" t="s">
        <v>449</v>
      </c>
      <c r="E1010" s="65" t="s">
        <v>4</v>
      </c>
      <c r="F1010" s="88" t="str">
        <f t="shared" si="10"/>
        <v>-</v>
      </c>
      <c r="G1010" s="89">
        <v>0.35</v>
      </c>
    </row>
    <row r="1011" ht="15.75" customHeight="1">
      <c r="A1011" s="86"/>
      <c r="B1011" s="86"/>
      <c r="C1011" s="87"/>
      <c r="D1011" s="87" t="s">
        <v>195</v>
      </c>
      <c r="E1011" s="65">
        <v>6.99</v>
      </c>
      <c r="F1011" s="88">
        <f t="shared" si="10"/>
        <v>4.5435</v>
      </c>
      <c r="G1011" s="89">
        <v>0.35</v>
      </c>
    </row>
    <row r="1012" ht="15.75" customHeight="1">
      <c r="A1012" s="86"/>
      <c r="B1012" s="86"/>
      <c r="C1012" s="87"/>
      <c r="D1012" s="87" t="s">
        <v>296</v>
      </c>
      <c r="E1012" s="65">
        <v>6.99</v>
      </c>
      <c r="F1012" s="88">
        <f t="shared" si="10"/>
        <v>4.5435</v>
      </c>
      <c r="G1012" s="89">
        <v>0.35</v>
      </c>
    </row>
    <row r="1013" ht="15.75" customHeight="1">
      <c r="A1013" s="86"/>
      <c r="B1013" s="86"/>
      <c r="C1013" s="87"/>
      <c r="D1013" s="87" t="s">
        <v>221</v>
      </c>
      <c r="E1013" s="65">
        <v>6.99</v>
      </c>
      <c r="F1013" s="88">
        <f t="shared" si="10"/>
        <v>4.5435</v>
      </c>
      <c r="G1013" s="89">
        <v>0.35</v>
      </c>
    </row>
    <row r="1014" ht="15.75" customHeight="1">
      <c r="A1014" s="86"/>
      <c r="B1014" s="86"/>
      <c r="C1014" s="87"/>
      <c r="D1014" s="87" t="s">
        <v>224</v>
      </c>
      <c r="E1014" s="65">
        <v>11.99</v>
      </c>
      <c r="F1014" s="88">
        <f t="shared" si="10"/>
        <v>7.7935</v>
      </c>
      <c r="G1014" s="89">
        <v>0.35</v>
      </c>
    </row>
    <row r="1015" ht="15.75" customHeight="1">
      <c r="A1015" s="86"/>
      <c r="B1015" s="86"/>
      <c r="C1015" s="87"/>
      <c r="D1015" s="87" t="s">
        <v>226</v>
      </c>
      <c r="E1015" s="65">
        <v>6.99</v>
      </c>
      <c r="F1015" s="88">
        <f t="shared" si="10"/>
        <v>4.893</v>
      </c>
      <c r="G1015" s="89">
        <v>0.3</v>
      </c>
    </row>
    <row r="1016" ht="15.75" customHeight="1">
      <c r="A1016" s="86"/>
      <c r="B1016" s="86"/>
      <c r="C1016" s="87"/>
      <c r="D1016" s="87" t="s">
        <v>229</v>
      </c>
      <c r="E1016" s="65">
        <v>6.99</v>
      </c>
      <c r="F1016" s="88">
        <f t="shared" si="10"/>
        <v>5.2425</v>
      </c>
      <c r="G1016" s="89">
        <v>0.25</v>
      </c>
    </row>
    <row r="1017" ht="15.75" customHeight="1">
      <c r="A1017" s="86"/>
      <c r="B1017" s="86"/>
      <c r="C1017" s="87"/>
      <c r="D1017" s="87" t="s">
        <v>375</v>
      </c>
      <c r="E1017" s="65">
        <v>6.99</v>
      </c>
      <c r="F1017" s="88">
        <f t="shared" si="10"/>
        <v>5.592</v>
      </c>
      <c r="G1017" s="89">
        <v>0.2</v>
      </c>
    </row>
    <row r="1018" ht="15.75" customHeight="1">
      <c r="A1018" s="86"/>
      <c r="B1018" s="86"/>
      <c r="C1018" s="87"/>
      <c r="D1018" s="87" t="s">
        <v>490</v>
      </c>
      <c r="E1018" s="65">
        <v>11.99</v>
      </c>
      <c r="F1018" s="88">
        <f t="shared" si="10"/>
        <v>9.592</v>
      </c>
      <c r="G1018" s="89">
        <v>0.2</v>
      </c>
    </row>
    <row r="1019" ht="15.75" customHeight="1">
      <c r="A1019" s="86"/>
      <c r="B1019" s="86"/>
      <c r="C1019" s="87"/>
      <c r="D1019" s="87" t="s">
        <v>201</v>
      </c>
      <c r="E1019" s="65">
        <v>6.99</v>
      </c>
      <c r="F1019" s="88">
        <f t="shared" si="10"/>
        <v>4.5435</v>
      </c>
      <c r="G1019" s="89">
        <v>0.35</v>
      </c>
    </row>
    <row r="1020" ht="15.75" customHeight="1">
      <c r="A1020" s="86"/>
      <c r="B1020" s="86"/>
      <c r="C1020" s="87"/>
      <c r="D1020" s="87" t="s">
        <v>203</v>
      </c>
      <c r="E1020" s="65">
        <v>6.99</v>
      </c>
      <c r="F1020" s="88">
        <f t="shared" si="10"/>
        <v>4.5435</v>
      </c>
      <c r="G1020" s="89">
        <v>0.35</v>
      </c>
    </row>
    <row r="1021" ht="15.75" customHeight="1">
      <c r="A1021" s="86"/>
      <c r="B1021" s="86"/>
      <c r="C1021" s="87"/>
      <c r="D1021" s="87" t="s">
        <v>205</v>
      </c>
      <c r="E1021" s="65">
        <v>11.99</v>
      </c>
      <c r="F1021" s="88">
        <f t="shared" si="10"/>
        <v>7.7935</v>
      </c>
      <c r="G1021" s="89">
        <v>0.35</v>
      </c>
    </row>
    <row r="1022" ht="15.75" customHeight="1">
      <c r="A1022" s="86"/>
      <c r="B1022" s="86"/>
      <c r="C1022" s="87"/>
      <c r="D1022" s="87" t="s">
        <v>209</v>
      </c>
      <c r="E1022" s="65">
        <v>6.99</v>
      </c>
      <c r="F1022" s="88">
        <f t="shared" si="10"/>
        <v>4.5435</v>
      </c>
      <c r="G1022" s="89">
        <v>0.35</v>
      </c>
    </row>
    <row r="1023" ht="15.75" customHeight="1">
      <c r="A1023" s="86"/>
      <c r="B1023" s="86"/>
      <c r="C1023" s="87"/>
      <c r="D1023" s="87" t="s">
        <v>291</v>
      </c>
      <c r="E1023" s="65">
        <v>6.99</v>
      </c>
      <c r="F1023" s="88">
        <f t="shared" si="10"/>
        <v>4.5435</v>
      </c>
      <c r="G1023" s="89">
        <v>0.35</v>
      </c>
    </row>
    <row r="1024" ht="15.75" customHeight="1">
      <c r="A1024" s="86"/>
      <c r="B1024" s="86"/>
      <c r="C1024" s="87"/>
      <c r="D1024" s="87" t="s">
        <v>292</v>
      </c>
      <c r="E1024" s="65">
        <v>6.99</v>
      </c>
      <c r="F1024" s="88">
        <f t="shared" si="10"/>
        <v>4.5435</v>
      </c>
      <c r="G1024" s="89">
        <v>0.35</v>
      </c>
    </row>
    <row r="1025" ht="15.75" customHeight="1">
      <c r="A1025" s="86"/>
      <c r="B1025" s="86"/>
      <c r="C1025" s="87"/>
      <c r="D1025" s="87" t="s">
        <v>293</v>
      </c>
      <c r="E1025" s="65">
        <v>11.99</v>
      </c>
      <c r="F1025" s="88">
        <f t="shared" si="10"/>
        <v>7.7935</v>
      </c>
      <c r="G1025" s="89">
        <v>0.35</v>
      </c>
    </row>
    <row r="1026" ht="15.75" customHeight="1">
      <c r="A1026" s="86"/>
      <c r="B1026" s="86"/>
      <c r="C1026" s="87"/>
      <c r="D1026" s="87" t="s">
        <v>295</v>
      </c>
      <c r="E1026" s="65">
        <v>6.99</v>
      </c>
      <c r="F1026" s="88">
        <f t="shared" si="10"/>
        <v>4.5435</v>
      </c>
      <c r="G1026" s="89">
        <v>0.35</v>
      </c>
    </row>
    <row r="1027" ht="15.75" customHeight="1">
      <c r="A1027" s="86"/>
      <c r="B1027" s="86"/>
      <c r="C1027" s="87"/>
      <c r="D1027" s="87" t="s">
        <v>452</v>
      </c>
      <c r="E1027" s="65" t="s">
        <v>4</v>
      </c>
      <c r="F1027" s="88" t="str">
        <f t="shared" si="10"/>
        <v>-</v>
      </c>
      <c r="G1027" s="89">
        <v>0.35</v>
      </c>
    </row>
    <row r="1028" ht="15.75" customHeight="1">
      <c r="A1028" s="86"/>
      <c r="B1028" s="86"/>
      <c r="C1028" s="87"/>
      <c r="D1028" s="87" t="s">
        <v>414</v>
      </c>
      <c r="E1028" s="65" t="s">
        <v>4</v>
      </c>
      <c r="F1028" s="88" t="str">
        <f t="shared" si="10"/>
        <v>-</v>
      </c>
      <c r="G1028" s="89">
        <v>0.35</v>
      </c>
    </row>
    <row r="1029" ht="15.75" customHeight="1">
      <c r="A1029" s="86"/>
      <c r="B1029" s="86"/>
      <c r="C1029" s="87"/>
      <c r="D1029" s="87" t="s">
        <v>329</v>
      </c>
      <c r="E1029" s="65" t="s">
        <v>4</v>
      </c>
      <c r="F1029" s="88" t="str">
        <f t="shared" si="10"/>
        <v>-</v>
      </c>
      <c r="G1029" s="89">
        <v>0.35</v>
      </c>
    </row>
    <row r="1030" ht="15.75" customHeight="1">
      <c r="A1030" s="86"/>
      <c r="B1030" s="86"/>
      <c r="C1030" s="87"/>
      <c r="D1030" s="87" t="s">
        <v>455</v>
      </c>
      <c r="E1030" s="65" t="s">
        <v>4</v>
      </c>
      <c r="F1030" s="88" t="str">
        <f t="shared" si="10"/>
        <v>-</v>
      </c>
      <c r="G1030" s="89">
        <v>0.35</v>
      </c>
    </row>
    <row r="1031" ht="15.75" customHeight="1">
      <c r="A1031" s="86"/>
      <c r="B1031" s="86"/>
      <c r="C1031" s="87"/>
      <c r="D1031" s="87" t="s">
        <v>418</v>
      </c>
      <c r="E1031" s="65" t="s">
        <v>4</v>
      </c>
      <c r="F1031" s="88" t="str">
        <f t="shared" si="10"/>
        <v>-</v>
      </c>
      <c r="G1031" s="89">
        <v>0.35</v>
      </c>
    </row>
    <row r="1032" ht="15.75" customHeight="1">
      <c r="A1032" s="86"/>
      <c r="B1032" s="86"/>
      <c r="C1032" s="87"/>
      <c r="D1032" s="87" t="s">
        <v>336</v>
      </c>
      <c r="E1032" s="65" t="s">
        <v>4</v>
      </c>
      <c r="F1032" s="88" t="str">
        <f t="shared" si="10"/>
        <v>-</v>
      </c>
      <c r="G1032" s="89">
        <v>0.35</v>
      </c>
    </row>
    <row r="1033" ht="15.75" customHeight="1">
      <c r="A1033" s="86"/>
      <c r="B1033" s="86"/>
      <c r="C1033" s="87"/>
      <c r="D1033" s="87" t="s">
        <v>18</v>
      </c>
      <c r="E1033" s="65">
        <v>24.99</v>
      </c>
      <c r="F1033" s="88">
        <f t="shared" si="10"/>
        <v>16.7433</v>
      </c>
      <c r="G1033" s="89">
        <v>0.33</v>
      </c>
    </row>
    <row r="1034" ht="15.75" customHeight="1">
      <c r="A1034" s="86"/>
      <c r="B1034" s="86"/>
      <c r="C1034" s="87"/>
      <c r="D1034" s="87" t="s">
        <v>32</v>
      </c>
      <c r="E1034" s="65">
        <v>24.99</v>
      </c>
      <c r="F1034" s="88">
        <f t="shared" si="10"/>
        <v>16.7433</v>
      </c>
      <c r="G1034" s="89">
        <v>0.33</v>
      </c>
    </row>
    <row r="1035" ht="15.75" customHeight="1">
      <c r="A1035" s="86"/>
      <c r="B1035" s="86"/>
      <c r="C1035" s="87"/>
      <c r="D1035" s="87" t="s">
        <v>34</v>
      </c>
      <c r="E1035" s="65">
        <v>24.99</v>
      </c>
      <c r="F1035" s="88">
        <f t="shared" si="10"/>
        <v>16.7433</v>
      </c>
      <c r="G1035" s="89">
        <v>0.33</v>
      </c>
    </row>
    <row r="1036" ht="15.75" customHeight="1">
      <c r="A1036" s="86"/>
      <c r="B1036" s="86"/>
      <c r="C1036" s="87"/>
      <c r="D1036" s="87" t="s">
        <v>307</v>
      </c>
      <c r="E1036" s="65">
        <v>24.99</v>
      </c>
      <c r="F1036" s="88">
        <f t="shared" si="10"/>
        <v>19.992</v>
      </c>
      <c r="G1036" s="89">
        <v>0.2</v>
      </c>
    </row>
    <row r="1037" ht="15.75" customHeight="1">
      <c r="A1037" s="86">
        <v>46230.0</v>
      </c>
      <c r="B1037" s="86">
        <v>46246.0</v>
      </c>
      <c r="C1037" s="87" t="s">
        <v>118</v>
      </c>
      <c r="D1037" s="87" t="s">
        <v>24</v>
      </c>
      <c r="E1037" s="65">
        <v>29.99</v>
      </c>
      <c r="F1037" s="88">
        <f t="shared" si="10"/>
        <v>11.996</v>
      </c>
      <c r="G1037" s="89">
        <v>0.6</v>
      </c>
    </row>
    <row r="1038" ht="15.75" customHeight="1">
      <c r="A1038" s="86"/>
      <c r="B1038" s="86"/>
      <c r="C1038" s="87"/>
      <c r="D1038" s="87" t="s">
        <v>268</v>
      </c>
      <c r="E1038" s="65">
        <v>79.99</v>
      </c>
      <c r="F1038" s="88">
        <f t="shared" si="10"/>
        <v>59.9925</v>
      </c>
      <c r="G1038" s="89">
        <v>0.25</v>
      </c>
    </row>
    <row r="1039" ht="15.75" customHeight="1">
      <c r="A1039" s="86"/>
      <c r="B1039" s="86"/>
      <c r="C1039" s="87"/>
      <c r="D1039" s="87" t="s">
        <v>460</v>
      </c>
      <c r="E1039" s="65">
        <v>99.99</v>
      </c>
      <c r="F1039" s="88">
        <f t="shared" si="10"/>
        <v>79.992</v>
      </c>
      <c r="G1039" s="89">
        <v>0.2</v>
      </c>
    </row>
    <row r="1040" ht="15.75" customHeight="1">
      <c r="A1040" s="86">
        <v>46260.0</v>
      </c>
      <c r="B1040" s="86">
        <v>46274.0</v>
      </c>
      <c r="C1040" s="87" t="s">
        <v>121</v>
      </c>
      <c r="D1040" s="87" t="s">
        <v>17</v>
      </c>
      <c r="E1040" s="65">
        <v>39.99</v>
      </c>
      <c r="F1040" s="65">
        <f t="shared" si="10"/>
        <v>15.996</v>
      </c>
      <c r="G1040" s="89">
        <v>0.6</v>
      </c>
    </row>
    <row r="1041" ht="15.75" customHeight="1">
      <c r="A1041" s="86"/>
      <c r="B1041" s="86"/>
      <c r="C1041" s="87"/>
      <c r="D1041" s="87" t="s">
        <v>312</v>
      </c>
      <c r="E1041" s="65">
        <v>129.99</v>
      </c>
      <c r="F1041" s="65">
        <f t="shared" si="10"/>
        <v>77.994</v>
      </c>
      <c r="G1041" s="89">
        <v>0.4</v>
      </c>
    </row>
    <row r="1042" ht="15.75" customHeight="1">
      <c r="A1042" s="86"/>
      <c r="B1042" s="86"/>
      <c r="C1042" s="87"/>
      <c r="D1042" s="87" t="s">
        <v>353</v>
      </c>
      <c r="E1042" s="65" t="s">
        <v>4</v>
      </c>
      <c r="F1042" s="65" t="str">
        <f t="shared" si="10"/>
        <v>-</v>
      </c>
      <c r="G1042" s="89">
        <v>0.35</v>
      </c>
    </row>
    <row r="1043" ht="15.75" customHeight="1">
      <c r="A1043" s="86"/>
      <c r="B1043" s="86"/>
      <c r="C1043" s="87"/>
      <c r="D1043" s="87" t="s">
        <v>332</v>
      </c>
      <c r="E1043" s="65" t="s">
        <v>4</v>
      </c>
      <c r="F1043" s="65" t="str">
        <f t="shared" si="10"/>
        <v>-</v>
      </c>
      <c r="G1043" s="89">
        <v>0.35</v>
      </c>
    </row>
    <row r="1044" ht="15.75" customHeight="1">
      <c r="A1044" s="86"/>
      <c r="B1044" s="86"/>
      <c r="C1044" s="87"/>
      <c r="D1044" s="87" t="s">
        <v>343</v>
      </c>
      <c r="E1044" s="65" t="s">
        <v>4</v>
      </c>
      <c r="F1044" s="65" t="str">
        <f t="shared" si="10"/>
        <v>-</v>
      </c>
      <c r="G1044" s="89">
        <v>0.35</v>
      </c>
    </row>
    <row r="1045" ht="15.75" customHeight="1">
      <c r="A1045" s="86"/>
      <c r="B1045" s="86"/>
      <c r="C1045" s="87"/>
      <c r="D1045" s="87" t="s">
        <v>436</v>
      </c>
      <c r="E1045" s="65" t="s">
        <v>4</v>
      </c>
      <c r="F1045" s="65" t="str">
        <f t="shared" si="10"/>
        <v>-</v>
      </c>
      <c r="G1045" s="89">
        <v>0.2</v>
      </c>
    </row>
    <row r="1046" ht="15.75" customHeight="1">
      <c r="A1046" s="86"/>
      <c r="B1046" s="86"/>
      <c r="C1046" s="87"/>
      <c r="D1046" s="87" t="s">
        <v>327</v>
      </c>
      <c r="E1046" s="65" t="s">
        <v>4</v>
      </c>
      <c r="F1046" s="65" t="str">
        <f t="shared" si="10"/>
        <v>-</v>
      </c>
      <c r="G1046" s="89">
        <v>0.2</v>
      </c>
    </row>
    <row r="1047" ht="15.75" customHeight="1">
      <c r="A1047" s="86"/>
      <c r="B1047" s="86"/>
      <c r="C1047" s="87"/>
      <c r="D1047" s="87" t="s">
        <v>407</v>
      </c>
      <c r="E1047" s="65" t="s">
        <v>4</v>
      </c>
      <c r="F1047" s="65" t="str">
        <f t="shared" si="10"/>
        <v>-</v>
      </c>
      <c r="G1047" s="89">
        <v>0.35</v>
      </c>
    </row>
    <row r="1048" ht="15.75" customHeight="1">
      <c r="A1048" s="86"/>
      <c r="B1048" s="86"/>
      <c r="C1048" s="87"/>
      <c r="D1048" s="87" t="s">
        <v>340</v>
      </c>
      <c r="E1048" s="65" t="s">
        <v>4</v>
      </c>
      <c r="F1048" s="65" t="str">
        <f t="shared" si="10"/>
        <v>-</v>
      </c>
      <c r="G1048" s="89">
        <v>0.35</v>
      </c>
    </row>
    <row r="1049" ht="15.75" customHeight="1">
      <c r="A1049" s="86"/>
      <c r="B1049" s="86"/>
      <c r="C1049" s="87"/>
      <c r="D1049" s="87" t="s">
        <v>446</v>
      </c>
      <c r="E1049" s="65" t="s">
        <v>4</v>
      </c>
      <c r="F1049" s="65" t="str">
        <f t="shared" si="10"/>
        <v>-</v>
      </c>
      <c r="G1049" s="89">
        <v>0.35</v>
      </c>
    </row>
    <row r="1050" ht="15.75" customHeight="1">
      <c r="A1050" s="86"/>
      <c r="B1050" s="86"/>
      <c r="C1050" s="87"/>
      <c r="D1050" s="87" t="s">
        <v>331</v>
      </c>
      <c r="E1050" s="65" t="s">
        <v>4</v>
      </c>
      <c r="F1050" s="65" t="str">
        <f t="shared" si="10"/>
        <v>-</v>
      </c>
      <c r="G1050" s="89">
        <v>0.35</v>
      </c>
    </row>
    <row r="1051" ht="15.75" customHeight="1">
      <c r="A1051" s="86"/>
      <c r="B1051" s="86"/>
      <c r="C1051" s="87"/>
      <c r="D1051" s="87" t="s">
        <v>330</v>
      </c>
      <c r="E1051" s="65" t="s">
        <v>4</v>
      </c>
      <c r="F1051" s="65" t="str">
        <f t="shared" si="10"/>
        <v>-</v>
      </c>
      <c r="G1051" s="89">
        <v>0.2</v>
      </c>
    </row>
    <row r="1052" ht="15.75" customHeight="1">
      <c r="A1052" s="86"/>
      <c r="B1052" s="86"/>
      <c r="C1052" s="87"/>
      <c r="D1052" s="87" t="s">
        <v>335</v>
      </c>
      <c r="E1052" s="65" t="s">
        <v>4</v>
      </c>
      <c r="F1052" s="65" t="str">
        <f t="shared" si="10"/>
        <v>-</v>
      </c>
      <c r="G1052" s="89">
        <v>0.35</v>
      </c>
    </row>
    <row r="1053" ht="15.75" customHeight="1">
      <c r="A1053" s="86"/>
      <c r="B1053" s="86"/>
      <c r="C1053" s="87"/>
      <c r="D1053" s="87" t="s">
        <v>347</v>
      </c>
      <c r="E1053" s="65" t="s">
        <v>4</v>
      </c>
      <c r="F1053" s="65" t="str">
        <f t="shared" si="10"/>
        <v>-</v>
      </c>
      <c r="G1053" s="89">
        <v>0.35</v>
      </c>
    </row>
    <row r="1054" ht="15.75" customHeight="1">
      <c r="A1054" s="86"/>
      <c r="B1054" s="86"/>
      <c r="C1054" s="87"/>
      <c r="D1054" s="87" t="s">
        <v>447</v>
      </c>
      <c r="E1054" s="65" t="s">
        <v>4</v>
      </c>
      <c r="F1054" s="65" t="str">
        <f t="shared" si="10"/>
        <v>-</v>
      </c>
      <c r="G1054" s="89">
        <v>0.35</v>
      </c>
    </row>
    <row r="1055" ht="15.75" customHeight="1">
      <c r="A1055" s="86"/>
      <c r="B1055" s="86"/>
      <c r="C1055" s="87"/>
      <c r="D1055" s="87" t="s">
        <v>409</v>
      </c>
      <c r="E1055" s="65" t="s">
        <v>4</v>
      </c>
      <c r="F1055" s="65" t="str">
        <f t="shared" si="10"/>
        <v>-</v>
      </c>
      <c r="G1055" s="89">
        <v>0.35</v>
      </c>
    </row>
    <row r="1056" ht="15.75" customHeight="1">
      <c r="A1056" s="86"/>
      <c r="B1056" s="86"/>
      <c r="C1056" s="87"/>
      <c r="D1056" s="87" t="s">
        <v>489</v>
      </c>
      <c r="E1056" s="65" t="s">
        <v>4</v>
      </c>
      <c r="F1056" s="65" t="str">
        <f t="shared" si="10"/>
        <v>-</v>
      </c>
      <c r="G1056" s="89">
        <v>0.2</v>
      </c>
    </row>
    <row r="1057" ht="15.75" customHeight="1">
      <c r="A1057" s="86"/>
      <c r="B1057" s="86"/>
      <c r="C1057" s="87"/>
      <c r="D1057" s="87" t="s">
        <v>342</v>
      </c>
      <c r="E1057" s="65" t="s">
        <v>4</v>
      </c>
      <c r="F1057" s="65" t="str">
        <f t="shared" si="10"/>
        <v>-</v>
      </c>
      <c r="G1057" s="89">
        <v>0.35</v>
      </c>
    </row>
    <row r="1058" ht="15.75" customHeight="1">
      <c r="A1058" s="86"/>
      <c r="B1058" s="86"/>
      <c r="C1058" s="87"/>
      <c r="D1058" s="87" t="s">
        <v>341</v>
      </c>
      <c r="E1058" s="65" t="s">
        <v>4</v>
      </c>
      <c r="F1058" s="65" t="str">
        <f t="shared" si="10"/>
        <v>-</v>
      </c>
      <c r="G1058" s="89">
        <v>0.2</v>
      </c>
    </row>
    <row r="1059" ht="15.75" customHeight="1">
      <c r="A1059" s="86"/>
      <c r="B1059" s="86"/>
      <c r="C1059" s="87"/>
      <c r="D1059" s="87" t="s">
        <v>411</v>
      </c>
      <c r="E1059" s="65" t="s">
        <v>4</v>
      </c>
      <c r="F1059" s="65" t="str">
        <f t="shared" si="10"/>
        <v>-</v>
      </c>
      <c r="G1059" s="89">
        <v>0.35</v>
      </c>
    </row>
    <row r="1060" ht="15.75" customHeight="1">
      <c r="A1060" s="86"/>
      <c r="B1060" s="86"/>
      <c r="C1060" s="87"/>
      <c r="D1060" s="87" t="s">
        <v>448</v>
      </c>
      <c r="E1060" s="65" t="s">
        <v>4</v>
      </c>
      <c r="F1060" s="65" t="str">
        <f t="shared" si="10"/>
        <v>-</v>
      </c>
      <c r="G1060" s="89">
        <v>0.35</v>
      </c>
    </row>
    <row r="1061" ht="15.75" customHeight="1">
      <c r="A1061" s="86"/>
      <c r="B1061" s="86"/>
      <c r="C1061" s="87"/>
      <c r="D1061" s="87" t="s">
        <v>449</v>
      </c>
      <c r="E1061" s="65" t="s">
        <v>4</v>
      </c>
      <c r="F1061" s="65" t="str">
        <f t="shared" si="10"/>
        <v>-</v>
      </c>
      <c r="G1061" s="89">
        <v>0.35</v>
      </c>
    </row>
    <row r="1062" ht="15.75" customHeight="1">
      <c r="A1062" s="86"/>
      <c r="B1062" s="86"/>
      <c r="C1062" s="87"/>
      <c r="D1062" s="87" t="s">
        <v>195</v>
      </c>
      <c r="E1062" s="65">
        <v>6.99</v>
      </c>
      <c r="F1062" s="65">
        <f t="shared" si="10"/>
        <v>4.194</v>
      </c>
      <c r="G1062" s="89">
        <v>0.4</v>
      </c>
    </row>
    <row r="1063" ht="15.75" customHeight="1">
      <c r="A1063" s="86"/>
      <c r="B1063" s="86"/>
      <c r="C1063" s="87"/>
      <c r="D1063" s="87" t="s">
        <v>296</v>
      </c>
      <c r="E1063" s="65">
        <v>6.99</v>
      </c>
      <c r="F1063" s="65">
        <f t="shared" si="10"/>
        <v>4.5435</v>
      </c>
      <c r="G1063" s="89">
        <v>0.35</v>
      </c>
    </row>
    <row r="1064" ht="15.75" customHeight="1">
      <c r="A1064" s="86"/>
      <c r="B1064" s="86"/>
      <c r="C1064" s="87"/>
      <c r="D1064" s="87" t="s">
        <v>221</v>
      </c>
      <c r="E1064" s="65">
        <v>6.99</v>
      </c>
      <c r="F1064" s="65">
        <f t="shared" si="10"/>
        <v>4.5435</v>
      </c>
      <c r="G1064" s="89">
        <v>0.35</v>
      </c>
    </row>
    <row r="1065" ht="15.75" customHeight="1">
      <c r="A1065" s="86"/>
      <c r="B1065" s="86"/>
      <c r="C1065" s="87"/>
      <c r="D1065" s="87" t="s">
        <v>224</v>
      </c>
      <c r="E1065" s="65">
        <v>11.99</v>
      </c>
      <c r="F1065" s="65">
        <f t="shared" si="10"/>
        <v>7.7935</v>
      </c>
      <c r="G1065" s="89">
        <v>0.35</v>
      </c>
    </row>
    <row r="1066" ht="15.75" customHeight="1">
      <c r="A1066" s="86"/>
      <c r="B1066" s="86"/>
      <c r="C1066" s="87"/>
      <c r="D1066" s="87" t="s">
        <v>226</v>
      </c>
      <c r="E1066" s="65">
        <v>6.99</v>
      </c>
      <c r="F1066" s="65">
        <f t="shared" si="10"/>
        <v>4.5435</v>
      </c>
      <c r="G1066" s="89">
        <v>0.35</v>
      </c>
    </row>
    <row r="1067" ht="15.75" customHeight="1">
      <c r="A1067" s="86"/>
      <c r="B1067" s="86"/>
      <c r="C1067" s="87"/>
      <c r="D1067" s="87" t="s">
        <v>229</v>
      </c>
      <c r="E1067" s="65">
        <v>6.99</v>
      </c>
      <c r="F1067" s="65">
        <f t="shared" si="10"/>
        <v>4.5435</v>
      </c>
      <c r="G1067" s="89">
        <v>0.35</v>
      </c>
    </row>
    <row r="1068" ht="15.75" customHeight="1">
      <c r="A1068" s="86"/>
      <c r="B1068" s="86"/>
      <c r="C1068" s="87"/>
      <c r="D1068" s="87" t="s">
        <v>375</v>
      </c>
      <c r="E1068" s="65">
        <v>6.99</v>
      </c>
      <c r="F1068" s="65">
        <f t="shared" si="10"/>
        <v>4.893</v>
      </c>
      <c r="G1068" s="89">
        <v>0.3</v>
      </c>
    </row>
    <row r="1069" ht="15.75" customHeight="1">
      <c r="A1069" s="86"/>
      <c r="B1069" s="86"/>
      <c r="C1069" s="87"/>
      <c r="D1069" s="87" t="s">
        <v>490</v>
      </c>
      <c r="E1069" s="65">
        <v>11.99</v>
      </c>
      <c r="F1069" s="65">
        <f t="shared" si="10"/>
        <v>8.9925</v>
      </c>
      <c r="G1069" s="89">
        <v>0.25</v>
      </c>
    </row>
    <row r="1070" ht="15.75" customHeight="1">
      <c r="A1070" s="86"/>
      <c r="B1070" s="86"/>
      <c r="C1070" s="87"/>
      <c r="D1070" s="87" t="s">
        <v>403</v>
      </c>
      <c r="E1070" s="65">
        <v>6.99</v>
      </c>
      <c r="F1070" s="65">
        <f t="shared" si="10"/>
        <v>5.592</v>
      </c>
      <c r="G1070" s="89">
        <v>0.2</v>
      </c>
    </row>
    <row r="1071" ht="15.75" customHeight="1">
      <c r="A1071" s="86"/>
      <c r="B1071" s="86"/>
      <c r="C1071" s="87"/>
      <c r="D1071" s="87" t="s">
        <v>201</v>
      </c>
      <c r="E1071" s="65">
        <v>6.99</v>
      </c>
      <c r="F1071" s="65">
        <f t="shared" si="10"/>
        <v>4.194</v>
      </c>
      <c r="G1071" s="89">
        <v>0.4</v>
      </c>
    </row>
    <row r="1072" ht="15.75" customHeight="1">
      <c r="A1072" s="86"/>
      <c r="B1072" s="86"/>
      <c r="C1072" s="87"/>
      <c r="D1072" s="87" t="s">
        <v>203</v>
      </c>
      <c r="E1072" s="65">
        <v>6.99</v>
      </c>
      <c r="F1072" s="65">
        <f t="shared" si="10"/>
        <v>4.194</v>
      </c>
      <c r="G1072" s="89">
        <v>0.4</v>
      </c>
    </row>
    <row r="1073" ht="15.75" customHeight="1">
      <c r="A1073" s="86"/>
      <c r="B1073" s="86"/>
      <c r="C1073" s="87"/>
      <c r="D1073" s="87" t="s">
        <v>205</v>
      </c>
      <c r="E1073" s="65">
        <v>11.99</v>
      </c>
      <c r="F1073" s="65">
        <f t="shared" si="10"/>
        <v>7.194</v>
      </c>
      <c r="G1073" s="89">
        <v>0.4</v>
      </c>
    </row>
    <row r="1074" ht="15.75" customHeight="1">
      <c r="A1074" s="86"/>
      <c r="B1074" s="86"/>
      <c r="C1074" s="87"/>
      <c r="D1074" s="87" t="s">
        <v>209</v>
      </c>
      <c r="E1074" s="65">
        <v>6.99</v>
      </c>
      <c r="F1074" s="65">
        <f t="shared" si="10"/>
        <v>4.5435</v>
      </c>
      <c r="G1074" s="89">
        <v>0.35</v>
      </c>
    </row>
    <row r="1075" ht="15.75" customHeight="1">
      <c r="A1075" s="86"/>
      <c r="B1075" s="86"/>
      <c r="C1075" s="87"/>
      <c r="D1075" s="87" t="s">
        <v>291</v>
      </c>
      <c r="E1075" s="65">
        <v>6.99</v>
      </c>
      <c r="F1075" s="65">
        <f t="shared" si="10"/>
        <v>4.5435</v>
      </c>
      <c r="G1075" s="89">
        <v>0.35</v>
      </c>
    </row>
    <row r="1076" ht="15.75" customHeight="1">
      <c r="A1076" s="86"/>
      <c r="B1076" s="86"/>
      <c r="C1076" s="87"/>
      <c r="D1076" s="87" t="s">
        <v>292</v>
      </c>
      <c r="E1076" s="65">
        <v>6.99</v>
      </c>
      <c r="F1076" s="65">
        <f t="shared" si="10"/>
        <v>4.5435</v>
      </c>
      <c r="G1076" s="89">
        <v>0.35</v>
      </c>
    </row>
    <row r="1077" ht="15.75" customHeight="1">
      <c r="A1077" s="86"/>
      <c r="B1077" s="86"/>
      <c r="C1077" s="87"/>
      <c r="D1077" s="87" t="s">
        <v>293</v>
      </c>
      <c r="E1077" s="65">
        <v>11.99</v>
      </c>
      <c r="F1077" s="65">
        <f t="shared" si="10"/>
        <v>7.7935</v>
      </c>
      <c r="G1077" s="89">
        <v>0.35</v>
      </c>
    </row>
    <row r="1078" ht="15.75" customHeight="1">
      <c r="A1078" s="86"/>
      <c r="B1078" s="86"/>
      <c r="C1078" s="87"/>
      <c r="D1078" s="87" t="s">
        <v>295</v>
      </c>
      <c r="E1078" s="65">
        <v>6.99</v>
      </c>
      <c r="F1078" s="65">
        <f t="shared" si="10"/>
        <v>4.5435</v>
      </c>
      <c r="G1078" s="89">
        <v>0.35</v>
      </c>
    </row>
    <row r="1079" ht="15.75" customHeight="1">
      <c r="A1079" s="86"/>
      <c r="B1079" s="86"/>
      <c r="C1079" s="87"/>
      <c r="D1079" s="87" t="s">
        <v>452</v>
      </c>
      <c r="E1079" s="65" t="s">
        <v>4</v>
      </c>
      <c r="F1079" s="65" t="str">
        <f t="shared" si="10"/>
        <v>-</v>
      </c>
      <c r="G1079" s="89">
        <v>0.35</v>
      </c>
    </row>
    <row r="1080" ht="15.75" customHeight="1">
      <c r="A1080" s="86"/>
      <c r="B1080" s="86"/>
      <c r="C1080" s="87"/>
      <c r="D1080" s="87" t="s">
        <v>414</v>
      </c>
      <c r="E1080" s="65" t="s">
        <v>4</v>
      </c>
      <c r="F1080" s="65" t="str">
        <f t="shared" si="10"/>
        <v>-</v>
      </c>
      <c r="G1080" s="89">
        <v>0.35</v>
      </c>
    </row>
    <row r="1081" ht="15.75" customHeight="1">
      <c r="A1081" s="86"/>
      <c r="B1081" s="86"/>
      <c r="C1081" s="87"/>
      <c r="D1081" s="87" t="s">
        <v>329</v>
      </c>
      <c r="E1081" s="65" t="s">
        <v>4</v>
      </c>
      <c r="F1081" s="65" t="str">
        <f t="shared" si="10"/>
        <v>-</v>
      </c>
      <c r="G1081" s="89">
        <v>0.35</v>
      </c>
    </row>
    <row r="1082" ht="15.75" customHeight="1">
      <c r="A1082" s="86"/>
      <c r="B1082" s="86"/>
      <c r="C1082" s="87"/>
      <c r="D1082" s="87" t="s">
        <v>455</v>
      </c>
      <c r="E1082" s="65" t="s">
        <v>4</v>
      </c>
      <c r="F1082" s="65" t="str">
        <f t="shared" si="10"/>
        <v>-</v>
      </c>
      <c r="G1082" s="89">
        <v>0.35</v>
      </c>
    </row>
    <row r="1083" ht="15.75" customHeight="1">
      <c r="A1083" s="86"/>
      <c r="B1083" s="86"/>
      <c r="C1083" s="87"/>
      <c r="D1083" s="87" t="s">
        <v>418</v>
      </c>
      <c r="E1083" s="65" t="s">
        <v>4</v>
      </c>
      <c r="F1083" s="65" t="str">
        <f t="shared" si="10"/>
        <v>-</v>
      </c>
      <c r="G1083" s="89">
        <v>0.35</v>
      </c>
    </row>
    <row r="1084" ht="15.75" customHeight="1">
      <c r="A1084" s="86"/>
      <c r="B1084" s="86"/>
      <c r="C1084" s="87"/>
      <c r="D1084" s="87" t="s">
        <v>336</v>
      </c>
      <c r="E1084" s="65" t="s">
        <v>4</v>
      </c>
      <c r="F1084" s="65" t="str">
        <f t="shared" si="10"/>
        <v>-</v>
      </c>
      <c r="G1084" s="89">
        <v>0.35</v>
      </c>
    </row>
    <row r="1085" ht="15.75" customHeight="1">
      <c r="A1085" s="86"/>
      <c r="B1085" s="86"/>
      <c r="C1085" s="87"/>
      <c r="D1085" s="87" t="s">
        <v>18</v>
      </c>
      <c r="E1085" s="65">
        <v>24.99</v>
      </c>
      <c r="F1085" s="65">
        <f t="shared" si="10"/>
        <v>16.7433</v>
      </c>
      <c r="G1085" s="89">
        <v>0.33</v>
      </c>
    </row>
    <row r="1086" ht="15.75" customHeight="1">
      <c r="A1086" s="86"/>
      <c r="B1086" s="86"/>
      <c r="C1086" s="87"/>
      <c r="D1086" s="87" t="s">
        <v>32</v>
      </c>
      <c r="E1086" s="65">
        <v>24.99</v>
      </c>
      <c r="F1086" s="65">
        <f t="shared" si="10"/>
        <v>16.7433</v>
      </c>
      <c r="G1086" s="89">
        <v>0.33</v>
      </c>
    </row>
    <row r="1087" ht="15.75" customHeight="1">
      <c r="A1087" s="86"/>
      <c r="B1087" s="86"/>
      <c r="C1087" s="87"/>
      <c r="D1087" s="87" t="s">
        <v>34</v>
      </c>
      <c r="E1087" s="65">
        <v>24.99</v>
      </c>
      <c r="F1087" s="65">
        <f t="shared" si="10"/>
        <v>16.7433</v>
      </c>
      <c r="G1087" s="89">
        <v>0.33</v>
      </c>
    </row>
    <row r="1088" ht="15.75" customHeight="1">
      <c r="A1088" s="86"/>
      <c r="B1088" s="86"/>
      <c r="C1088" s="87"/>
      <c r="D1088" s="87" t="s">
        <v>307</v>
      </c>
      <c r="E1088" s="65">
        <v>24.99</v>
      </c>
      <c r="F1088" s="65">
        <f t="shared" si="10"/>
        <v>16.7433</v>
      </c>
      <c r="G1088" s="89">
        <v>0.33</v>
      </c>
    </row>
    <row r="1089" ht="15.75" customHeight="1">
      <c r="A1089" s="86"/>
      <c r="B1089" s="86"/>
      <c r="C1089" s="87"/>
      <c r="D1089" s="87" t="s">
        <v>499</v>
      </c>
      <c r="E1089" s="65">
        <v>24.99</v>
      </c>
      <c r="F1089" s="65">
        <f t="shared" si="10"/>
        <v>19.992</v>
      </c>
      <c r="G1089" s="89">
        <v>0.2</v>
      </c>
    </row>
    <row r="1090" ht="15.75" customHeight="1">
      <c r="A1090" s="86">
        <v>46274.0</v>
      </c>
      <c r="B1090" s="86">
        <v>46288.0</v>
      </c>
      <c r="C1090" s="87" t="s">
        <v>123</v>
      </c>
      <c r="D1090" s="87" t="s">
        <v>24</v>
      </c>
      <c r="E1090" s="65">
        <v>29.99</v>
      </c>
      <c r="F1090" s="65">
        <f t="shared" si="10"/>
        <v>11.996</v>
      </c>
      <c r="G1090" s="89">
        <v>0.6</v>
      </c>
    </row>
    <row r="1091" ht="15.75" customHeight="1">
      <c r="A1091" s="86"/>
      <c r="B1091" s="86"/>
      <c r="C1091" s="87"/>
      <c r="D1091" s="87" t="s">
        <v>268</v>
      </c>
      <c r="E1091" s="65">
        <v>79.99</v>
      </c>
      <c r="F1091" s="65">
        <f t="shared" si="10"/>
        <v>55.993</v>
      </c>
      <c r="G1091" s="89">
        <v>0.3</v>
      </c>
    </row>
    <row r="1092" ht="15.75" customHeight="1">
      <c r="A1092" s="86"/>
      <c r="B1092" s="86"/>
      <c r="C1092" s="87"/>
      <c r="D1092" s="87" t="s">
        <v>460</v>
      </c>
      <c r="E1092" s="65">
        <v>99.99</v>
      </c>
      <c r="F1092" s="65">
        <f t="shared" si="10"/>
        <v>69.993</v>
      </c>
      <c r="G1092" s="89">
        <v>0.3</v>
      </c>
    </row>
    <row r="1093" ht="15.75" customHeight="1">
      <c r="A1093" s="87" t="s">
        <v>108</v>
      </c>
      <c r="B1093" s="87" t="s">
        <v>108</v>
      </c>
      <c r="C1093" s="87" t="s">
        <v>108</v>
      </c>
      <c r="D1093" s="87" t="s">
        <v>17</v>
      </c>
      <c r="E1093" s="65">
        <v>39.99</v>
      </c>
      <c r="F1093" s="65">
        <f t="shared" si="10"/>
        <v>15.996</v>
      </c>
      <c r="G1093" s="89">
        <v>0.6</v>
      </c>
    </row>
    <row r="1094" ht="15.75" customHeight="1">
      <c r="A1094" s="86"/>
      <c r="B1094" s="86"/>
      <c r="C1094" s="87"/>
      <c r="D1094" s="87" t="s">
        <v>312</v>
      </c>
      <c r="E1094" s="65">
        <v>129.99</v>
      </c>
      <c r="F1094" s="65">
        <f t="shared" si="10"/>
        <v>77.994</v>
      </c>
      <c r="G1094" s="89">
        <v>0.4</v>
      </c>
    </row>
    <row r="1095" ht="15.75" customHeight="1">
      <c r="A1095" s="86"/>
      <c r="B1095" s="86"/>
      <c r="C1095" s="87"/>
      <c r="D1095" s="87" t="s">
        <v>353</v>
      </c>
      <c r="E1095" s="65" t="s">
        <v>4</v>
      </c>
      <c r="F1095" s="65" t="str">
        <f t="shared" si="10"/>
        <v>-</v>
      </c>
      <c r="G1095" s="89">
        <v>0.35</v>
      </c>
    </row>
    <row r="1096" ht="15.75" customHeight="1">
      <c r="A1096" s="86"/>
      <c r="B1096" s="86"/>
      <c r="C1096" s="87"/>
      <c r="D1096" s="87" t="s">
        <v>332</v>
      </c>
      <c r="E1096" s="65" t="s">
        <v>4</v>
      </c>
      <c r="F1096" s="65" t="str">
        <f t="shared" si="10"/>
        <v>-</v>
      </c>
      <c r="G1096" s="89">
        <v>0.35</v>
      </c>
    </row>
    <row r="1097" ht="15.75" customHeight="1">
      <c r="A1097" s="86"/>
      <c r="B1097" s="86"/>
      <c r="C1097" s="87"/>
      <c r="D1097" s="87" t="s">
        <v>343</v>
      </c>
      <c r="E1097" s="65" t="s">
        <v>4</v>
      </c>
      <c r="F1097" s="65" t="str">
        <f t="shared" si="10"/>
        <v>-</v>
      </c>
      <c r="G1097" s="89">
        <v>0.35</v>
      </c>
    </row>
    <row r="1098" ht="15.75" customHeight="1">
      <c r="A1098" s="86"/>
      <c r="B1098" s="86"/>
      <c r="C1098" s="87"/>
      <c r="D1098" s="87" t="s">
        <v>436</v>
      </c>
      <c r="E1098" s="65" t="s">
        <v>4</v>
      </c>
      <c r="F1098" s="65" t="str">
        <f t="shared" si="10"/>
        <v>-</v>
      </c>
      <c r="G1098" s="89">
        <v>0.2</v>
      </c>
    </row>
    <row r="1099" ht="15.75" customHeight="1">
      <c r="A1099" s="86"/>
      <c r="B1099" s="86"/>
      <c r="C1099" s="87"/>
      <c r="D1099" s="87" t="s">
        <v>327</v>
      </c>
      <c r="E1099" s="65" t="s">
        <v>4</v>
      </c>
      <c r="F1099" s="65" t="str">
        <f t="shared" si="10"/>
        <v>-</v>
      </c>
      <c r="G1099" s="89">
        <v>0.2</v>
      </c>
    </row>
    <row r="1100" ht="15.75" customHeight="1">
      <c r="A1100" s="86"/>
      <c r="B1100" s="86"/>
      <c r="C1100" s="87"/>
      <c r="D1100" s="87" t="s">
        <v>407</v>
      </c>
      <c r="E1100" s="65" t="s">
        <v>4</v>
      </c>
      <c r="F1100" s="65" t="str">
        <f t="shared" si="10"/>
        <v>-</v>
      </c>
      <c r="G1100" s="89">
        <v>0.35</v>
      </c>
    </row>
    <row r="1101" ht="15.75" customHeight="1">
      <c r="A1101" s="86"/>
      <c r="B1101" s="86"/>
      <c r="C1101" s="87"/>
      <c r="D1101" s="87" t="s">
        <v>340</v>
      </c>
      <c r="E1101" s="65" t="s">
        <v>4</v>
      </c>
      <c r="F1101" s="65" t="str">
        <f t="shared" si="10"/>
        <v>-</v>
      </c>
      <c r="G1101" s="89">
        <v>0.35</v>
      </c>
    </row>
    <row r="1102" ht="15.75" customHeight="1">
      <c r="A1102" s="86"/>
      <c r="B1102" s="86"/>
      <c r="C1102" s="87"/>
      <c r="D1102" s="87" t="s">
        <v>446</v>
      </c>
      <c r="E1102" s="65" t="s">
        <v>4</v>
      </c>
      <c r="F1102" s="65" t="str">
        <f t="shared" si="10"/>
        <v>-</v>
      </c>
      <c r="G1102" s="89">
        <v>0.35</v>
      </c>
    </row>
    <row r="1103" ht="15.75" customHeight="1">
      <c r="A1103" s="86"/>
      <c r="B1103" s="86"/>
      <c r="C1103" s="87"/>
      <c r="D1103" s="87" t="s">
        <v>331</v>
      </c>
      <c r="E1103" s="65" t="s">
        <v>4</v>
      </c>
      <c r="F1103" s="65" t="str">
        <f t="shared" si="10"/>
        <v>-</v>
      </c>
      <c r="G1103" s="89">
        <v>0.35</v>
      </c>
    </row>
    <row r="1104" ht="15.75" customHeight="1">
      <c r="A1104" s="86"/>
      <c r="B1104" s="86"/>
      <c r="C1104" s="87"/>
      <c r="D1104" s="87" t="s">
        <v>330</v>
      </c>
      <c r="E1104" s="65" t="s">
        <v>4</v>
      </c>
      <c r="F1104" s="65" t="str">
        <f t="shared" si="10"/>
        <v>-</v>
      </c>
      <c r="G1104" s="89">
        <v>0.2</v>
      </c>
    </row>
    <row r="1105" ht="15.75" customHeight="1">
      <c r="A1105" s="86"/>
      <c r="B1105" s="86"/>
      <c r="C1105" s="87"/>
      <c r="D1105" s="87" t="s">
        <v>335</v>
      </c>
      <c r="E1105" s="65" t="s">
        <v>4</v>
      </c>
      <c r="F1105" s="65" t="str">
        <f t="shared" si="10"/>
        <v>-</v>
      </c>
      <c r="G1105" s="89">
        <v>0.35</v>
      </c>
    </row>
    <row r="1106" ht="15.75" customHeight="1">
      <c r="A1106" s="86"/>
      <c r="B1106" s="86"/>
      <c r="C1106" s="87"/>
      <c r="D1106" s="87" t="s">
        <v>347</v>
      </c>
      <c r="E1106" s="65" t="s">
        <v>4</v>
      </c>
      <c r="F1106" s="65" t="str">
        <f t="shared" si="10"/>
        <v>-</v>
      </c>
      <c r="G1106" s="89">
        <v>0.35</v>
      </c>
    </row>
    <row r="1107" ht="15.75" customHeight="1">
      <c r="A1107" s="86"/>
      <c r="B1107" s="86"/>
      <c r="C1107" s="87"/>
      <c r="D1107" s="87" t="s">
        <v>447</v>
      </c>
      <c r="E1107" s="65" t="s">
        <v>4</v>
      </c>
      <c r="F1107" s="65" t="str">
        <f t="shared" si="10"/>
        <v>-</v>
      </c>
      <c r="G1107" s="89">
        <v>0.35</v>
      </c>
    </row>
    <row r="1108" ht="15.75" customHeight="1">
      <c r="A1108" s="86"/>
      <c r="B1108" s="86"/>
      <c r="C1108" s="87"/>
      <c r="D1108" s="87" t="s">
        <v>409</v>
      </c>
      <c r="E1108" s="65" t="s">
        <v>4</v>
      </c>
      <c r="F1108" s="65" t="str">
        <f t="shared" si="10"/>
        <v>-</v>
      </c>
      <c r="G1108" s="89">
        <v>0.35</v>
      </c>
    </row>
    <row r="1109" ht="15.75" customHeight="1">
      <c r="A1109" s="86"/>
      <c r="B1109" s="86"/>
      <c r="C1109" s="87"/>
      <c r="D1109" s="87" t="s">
        <v>489</v>
      </c>
      <c r="E1109" s="65" t="s">
        <v>4</v>
      </c>
      <c r="F1109" s="65" t="str">
        <f t="shared" si="10"/>
        <v>-</v>
      </c>
      <c r="G1109" s="89">
        <v>0.2</v>
      </c>
    </row>
    <row r="1110" ht="15.75" customHeight="1">
      <c r="A1110" s="86"/>
      <c r="B1110" s="86"/>
      <c r="C1110" s="87"/>
      <c r="D1110" s="87" t="s">
        <v>342</v>
      </c>
      <c r="E1110" s="65" t="s">
        <v>4</v>
      </c>
      <c r="F1110" s="65" t="str">
        <f t="shared" si="10"/>
        <v>-</v>
      </c>
      <c r="G1110" s="89">
        <v>0.35</v>
      </c>
    </row>
    <row r="1111" ht="15.75" customHeight="1">
      <c r="A1111" s="86"/>
      <c r="B1111" s="86"/>
      <c r="C1111" s="87"/>
      <c r="D1111" s="87" t="s">
        <v>341</v>
      </c>
      <c r="E1111" s="65" t="s">
        <v>4</v>
      </c>
      <c r="F1111" s="65" t="str">
        <f t="shared" si="10"/>
        <v>-</v>
      </c>
      <c r="G1111" s="89">
        <v>0.2</v>
      </c>
    </row>
    <row r="1112" ht="15.75" customHeight="1">
      <c r="A1112" s="86"/>
      <c r="B1112" s="86"/>
      <c r="C1112" s="87"/>
      <c r="D1112" s="87" t="s">
        <v>411</v>
      </c>
      <c r="E1112" s="65" t="s">
        <v>4</v>
      </c>
      <c r="F1112" s="65" t="str">
        <f t="shared" si="10"/>
        <v>-</v>
      </c>
      <c r="G1112" s="89">
        <v>0.35</v>
      </c>
    </row>
    <row r="1113" ht="15.75" customHeight="1">
      <c r="A1113" s="86"/>
      <c r="B1113" s="86"/>
      <c r="C1113" s="87"/>
      <c r="D1113" s="87" t="s">
        <v>448</v>
      </c>
      <c r="E1113" s="65" t="s">
        <v>4</v>
      </c>
      <c r="F1113" s="65" t="str">
        <f t="shared" si="10"/>
        <v>-</v>
      </c>
      <c r="G1113" s="89">
        <v>0.35</v>
      </c>
    </row>
    <row r="1114" ht="15.75" customHeight="1">
      <c r="A1114" s="86"/>
      <c r="B1114" s="86"/>
      <c r="C1114" s="87"/>
      <c r="D1114" s="87" t="s">
        <v>449</v>
      </c>
      <c r="E1114" s="65" t="s">
        <v>4</v>
      </c>
      <c r="F1114" s="65" t="str">
        <f t="shared" si="10"/>
        <v>-</v>
      </c>
      <c r="G1114" s="89">
        <v>0.35</v>
      </c>
    </row>
    <row r="1115" ht="15.75" customHeight="1">
      <c r="A1115" s="86"/>
      <c r="B1115" s="86"/>
      <c r="C1115" s="87"/>
      <c r="D1115" s="87" t="s">
        <v>195</v>
      </c>
      <c r="E1115" s="65">
        <v>6.99</v>
      </c>
      <c r="F1115" s="65">
        <f t="shared" si="10"/>
        <v>4.194</v>
      </c>
      <c r="G1115" s="89">
        <v>0.4</v>
      </c>
    </row>
    <row r="1116" ht="15.75" customHeight="1">
      <c r="A1116" s="86"/>
      <c r="B1116" s="86"/>
      <c r="C1116" s="87"/>
      <c r="D1116" s="87" t="s">
        <v>296</v>
      </c>
      <c r="E1116" s="65">
        <v>6.99</v>
      </c>
      <c r="F1116" s="65">
        <f t="shared" si="10"/>
        <v>4.5435</v>
      </c>
      <c r="G1116" s="89">
        <v>0.35</v>
      </c>
    </row>
    <row r="1117" ht="15.75" customHeight="1">
      <c r="A1117" s="86"/>
      <c r="B1117" s="86"/>
      <c r="C1117" s="87"/>
      <c r="D1117" s="87" t="s">
        <v>221</v>
      </c>
      <c r="E1117" s="65">
        <v>6.99</v>
      </c>
      <c r="F1117" s="65">
        <f t="shared" si="10"/>
        <v>4.5435</v>
      </c>
      <c r="G1117" s="89">
        <v>0.35</v>
      </c>
    </row>
    <row r="1118" ht="15.75" customHeight="1">
      <c r="A1118" s="86"/>
      <c r="B1118" s="86"/>
      <c r="C1118" s="87"/>
      <c r="D1118" s="87" t="s">
        <v>224</v>
      </c>
      <c r="E1118" s="65">
        <v>11.99</v>
      </c>
      <c r="F1118" s="65">
        <f t="shared" si="10"/>
        <v>7.7935</v>
      </c>
      <c r="G1118" s="89">
        <v>0.35</v>
      </c>
    </row>
    <row r="1119" ht="15.75" customHeight="1">
      <c r="A1119" s="86"/>
      <c r="B1119" s="86"/>
      <c r="C1119" s="87"/>
      <c r="D1119" s="87" t="s">
        <v>226</v>
      </c>
      <c r="E1119" s="65">
        <v>6.99</v>
      </c>
      <c r="F1119" s="65">
        <f t="shared" si="10"/>
        <v>4.5435</v>
      </c>
      <c r="G1119" s="89">
        <v>0.35</v>
      </c>
    </row>
    <row r="1120" ht="15.75" customHeight="1">
      <c r="A1120" s="86"/>
      <c r="B1120" s="86"/>
      <c r="C1120" s="87"/>
      <c r="D1120" s="87" t="s">
        <v>229</v>
      </c>
      <c r="E1120" s="65">
        <v>6.99</v>
      </c>
      <c r="F1120" s="65">
        <f t="shared" si="10"/>
        <v>4.5435</v>
      </c>
      <c r="G1120" s="89">
        <v>0.35</v>
      </c>
    </row>
    <row r="1121" ht="15.75" customHeight="1">
      <c r="A1121" s="86"/>
      <c r="B1121" s="86"/>
      <c r="C1121" s="87"/>
      <c r="D1121" s="87" t="s">
        <v>375</v>
      </c>
      <c r="E1121" s="65">
        <v>6.99</v>
      </c>
      <c r="F1121" s="65">
        <f t="shared" si="10"/>
        <v>4.893</v>
      </c>
      <c r="G1121" s="89">
        <v>0.3</v>
      </c>
    </row>
    <row r="1122" ht="15.75" customHeight="1">
      <c r="A1122" s="86"/>
      <c r="B1122" s="86"/>
      <c r="C1122" s="87"/>
      <c r="D1122" s="87" t="s">
        <v>490</v>
      </c>
      <c r="E1122" s="65">
        <v>11.99</v>
      </c>
      <c r="F1122" s="65">
        <f t="shared" si="10"/>
        <v>8.9925</v>
      </c>
      <c r="G1122" s="89">
        <v>0.25</v>
      </c>
    </row>
    <row r="1123" ht="15.75" customHeight="1">
      <c r="A1123" s="86"/>
      <c r="B1123" s="86"/>
      <c r="C1123" s="87"/>
      <c r="D1123" s="87" t="s">
        <v>403</v>
      </c>
      <c r="E1123" s="65">
        <v>6.99</v>
      </c>
      <c r="F1123" s="65">
        <f t="shared" si="10"/>
        <v>5.592</v>
      </c>
      <c r="G1123" s="89">
        <v>0.2</v>
      </c>
    </row>
    <row r="1124" ht="15.75" customHeight="1">
      <c r="A1124" s="86"/>
      <c r="B1124" s="86"/>
      <c r="C1124" s="87"/>
      <c r="D1124" s="87" t="s">
        <v>201</v>
      </c>
      <c r="E1124" s="65">
        <v>6.99</v>
      </c>
      <c r="F1124" s="65">
        <f t="shared" si="10"/>
        <v>4.194</v>
      </c>
      <c r="G1124" s="89">
        <v>0.4</v>
      </c>
    </row>
    <row r="1125" ht="15.75" customHeight="1">
      <c r="A1125" s="86"/>
      <c r="B1125" s="86"/>
      <c r="C1125" s="87"/>
      <c r="D1125" s="87" t="s">
        <v>203</v>
      </c>
      <c r="E1125" s="65">
        <v>6.99</v>
      </c>
      <c r="F1125" s="65">
        <f t="shared" si="10"/>
        <v>4.194</v>
      </c>
      <c r="G1125" s="89">
        <v>0.4</v>
      </c>
    </row>
    <row r="1126" ht="15.75" customHeight="1">
      <c r="A1126" s="86"/>
      <c r="B1126" s="86"/>
      <c r="C1126" s="87"/>
      <c r="D1126" s="87" t="s">
        <v>205</v>
      </c>
      <c r="E1126" s="65">
        <v>11.99</v>
      </c>
      <c r="F1126" s="65">
        <f t="shared" si="10"/>
        <v>7.194</v>
      </c>
      <c r="G1126" s="89">
        <v>0.4</v>
      </c>
    </row>
    <row r="1127" ht="15.75" customHeight="1">
      <c r="A1127" s="86"/>
      <c r="B1127" s="86"/>
      <c r="C1127" s="87"/>
      <c r="D1127" s="87" t="s">
        <v>209</v>
      </c>
      <c r="E1127" s="65">
        <v>6.99</v>
      </c>
      <c r="F1127" s="65">
        <f t="shared" si="10"/>
        <v>4.5435</v>
      </c>
      <c r="G1127" s="89">
        <v>0.35</v>
      </c>
    </row>
    <row r="1128" ht="15.75" customHeight="1">
      <c r="A1128" s="86"/>
      <c r="B1128" s="86"/>
      <c r="C1128" s="87"/>
      <c r="D1128" s="87" t="s">
        <v>291</v>
      </c>
      <c r="E1128" s="65">
        <v>6.99</v>
      </c>
      <c r="F1128" s="65">
        <f t="shared" si="10"/>
        <v>4.5435</v>
      </c>
      <c r="G1128" s="89">
        <v>0.35</v>
      </c>
    </row>
    <row r="1129" ht="15.75" customHeight="1">
      <c r="A1129" s="86"/>
      <c r="B1129" s="86"/>
      <c r="C1129" s="87"/>
      <c r="D1129" s="87" t="s">
        <v>292</v>
      </c>
      <c r="E1129" s="65">
        <v>6.99</v>
      </c>
      <c r="F1129" s="65">
        <f t="shared" si="10"/>
        <v>4.5435</v>
      </c>
      <c r="G1129" s="89">
        <v>0.35</v>
      </c>
    </row>
    <row r="1130" ht="15.75" customHeight="1">
      <c r="A1130" s="86"/>
      <c r="B1130" s="86"/>
      <c r="C1130" s="87"/>
      <c r="D1130" s="87" t="s">
        <v>293</v>
      </c>
      <c r="E1130" s="65">
        <v>11.99</v>
      </c>
      <c r="F1130" s="65">
        <f t="shared" si="10"/>
        <v>7.7935</v>
      </c>
      <c r="G1130" s="89">
        <v>0.35</v>
      </c>
    </row>
    <row r="1131" ht="15.75" customHeight="1">
      <c r="A1131" s="86"/>
      <c r="B1131" s="86"/>
      <c r="C1131" s="87"/>
      <c r="D1131" s="87" t="s">
        <v>295</v>
      </c>
      <c r="E1131" s="65">
        <v>6.99</v>
      </c>
      <c r="F1131" s="65">
        <f t="shared" si="10"/>
        <v>4.5435</v>
      </c>
      <c r="G1131" s="89">
        <v>0.35</v>
      </c>
    </row>
    <row r="1132" ht="15.75" customHeight="1">
      <c r="A1132" s="86"/>
      <c r="B1132" s="86"/>
      <c r="C1132" s="87"/>
      <c r="D1132" s="87" t="s">
        <v>452</v>
      </c>
      <c r="E1132" s="65" t="s">
        <v>4</v>
      </c>
      <c r="F1132" s="65" t="str">
        <f t="shared" si="10"/>
        <v>-</v>
      </c>
      <c r="G1132" s="89">
        <v>0.35</v>
      </c>
    </row>
    <row r="1133" ht="15.75" customHeight="1">
      <c r="A1133" s="86"/>
      <c r="B1133" s="86"/>
      <c r="C1133" s="87"/>
      <c r="D1133" s="87" t="s">
        <v>414</v>
      </c>
      <c r="E1133" s="65" t="s">
        <v>4</v>
      </c>
      <c r="F1133" s="65" t="str">
        <f t="shared" si="10"/>
        <v>-</v>
      </c>
      <c r="G1133" s="89">
        <v>0.35</v>
      </c>
    </row>
    <row r="1134" ht="15.75" customHeight="1">
      <c r="A1134" s="86"/>
      <c r="B1134" s="86"/>
      <c r="C1134" s="87"/>
      <c r="D1134" s="87" t="s">
        <v>329</v>
      </c>
      <c r="E1134" s="65" t="s">
        <v>4</v>
      </c>
      <c r="F1134" s="65" t="str">
        <f t="shared" si="10"/>
        <v>-</v>
      </c>
      <c r="G1134" s="89">
        <v>0.35</v>
      </c>
    </row>
    <row r="1135" ht="15.75" customHeight="1">
      <c r="A1135" s="86"/>
      <c r="B1135" s="86"/>
      <c r="C1135" s="87"/>
      <c r="D1135" s="87" t="s">
        <v>455</v>
      </c>
      <c r="E1135" s="65" t="s">
        <v>4</v>
      </c>
      <c r="F1135" s="65" t="str">
        <f t="shared" si="10"/>
        <v>-</v>
      </c>
      <c r="G1135" s="89">
        <v>0.35</v>
      </c>
    </row>
    <row r="1136" ht="15.75" customHeight="1">
      <c r="A1136" s="86"/>
      <c r="B1136" s="86"/>
      <c r="C1136" s="87"/>
      <c r="D1136" s="87" t="s">
        <v>418</v>
      </c>
      <c r="E1136" s="65" t="s">
        <v>4</v>
      </c>
      <c r="F1136" s="65" t="str">
        <f t="shared" si="10"/>
        <v>-</v>
      </c>
      <c r="G1136" s="89">
        <v>0.35</v>
      </c>
    </row>
    <row r="1137" ht="15.75" customHeight="1">
      <c r="A1137" s="86"/>
      <c r="B1137" s="86"/>
      <c r="C1137" s="87"/>
      <c r="D1137" s="87" t="s">
        <v>336</v>
      </c>
      <c r="E1137" s="65" t="s">
        <v>4</v>
      </c>
      <c r="F1137" s="65" t="str">
        <f t="shared" si="10"/>
        <v>-</v>
      </c>
      <c r="G1137" s="89">
        <v>0.35</v>
      </c>
    </row>
    <row r="1138" ht="15.75" customHeight="1">
      <c r="A1138" s="86"/>
      <c r="B1138" s="86"/>
      <c r="C1138" s="87"/>
      <c r="D1138" s="87" t="s">
        <v>18</v>
      </c>
      <c r="E1138" s="65">
        <v>24.99</v>
      </c>
      <c r="F1138" s="65">
        <f t="shared" si="10"/>
        <v>16.7433</v>
      </c>
      <c r="G1138" s="89">
        <v>0.33</v>
      </c>
    </row>
    <row r="1139" ht="15.75" customHeight="1">
      <c r="A1139" s="86"/>
      <c r="B1139" s="86"/>
      <c r="C1139" s="87"/>
      <c r="D1139" s="87" t="s">
        <v>32</v>
      </c>
      <c r="E1139" s="65">
        <v>24.99</v>
      </c>
      <c r="F1139" s="65">
        <f t="shared" si="10"/>
        <v>16.7433</v>
      </c>
      <c r="G1139" s="89">
        <v>0.33</v>
      </c>
    </row>
    <row r="1140" ht="15.75" customHeight="1">
      <c r="A1140" s="86"/>
      <c r="B1140" s="86"/>
      <c r="C1140" s="87"/>
      <c r="D1140" s="87" t="s">
        <v>34</v>
      </c>
      <c r="E1140" s="65">
        <v>24.99</v>
      </c>
      <c r="F1140" s="65">
        <f t="shared" si="10"/>
        <v>16.7433</v>
      </c>
      <c r="G1140" s="89">
        <v>0.33</v>
      </c>
    </row>
    <row r="1141" ht="15.75" customHeight="1">
      <c r="A1141" s="86"/>
      <c r="B1141" s="86"/>
      <c r="C1141" s="87"/>
      <c r="D1141" s="87" t="s">
        <v>307</v>
      </c>
      <c r="E1141" s="65">
        <v>24.99</v>
      </c>
      <c r="F1141" s="65">
        <f t="shared" si="10"/>
        <v>16.7433</v>
      </c>
      <c r="G1141" s="89">
        <v>0.33</v>
      </c>
    </row>
    <row r="1142" ht="15.75" customHeight="1">
      <c r="A1142" s="86"/>
      <c r="B1142" s="86"/>
      <c r="C1142" s="87"/>
      <c r="D1142" s="87" t="s">
        <v>499</v>
      </c>
      <c r="E1142" s="65">
        <v>24.99</v>
      </c>
      <c r="F1142" s="65">
        <f t="shared" si="10"/>
        <v>19.992</v>
      </c>
      <c r="G1142" s="89">
        <v>0.2</v>
      </c>
    </row>
  </sheetData>
  <mergeCells count="4">
    <mergeCell ref="A1:G1"/>
    <mergeCell ref="A3:G3"/>
    <mergeCell ref="A160:G160"/>
    <mergeCell ref="A790:G790"/>
  </mergeCells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75"/>
    <col customWidth="1" min="2" max="2" width="7.88"/>
    <col customWidth="1" min="3" max="3" width="31.5"/>
    <col customWidth="1" min="4" max="4" width="44.5"/>
    <col customWidth="1" min="5" max="5" width="15.75"/>
    <col customWidth="1" min="6" max="6" width="15.0"/>
    <col customWidth="1" min="7" max="7" width="9.38"/>
  </cols>
  <sheetData>
    <row r="1" ht="15.75" customHeight="1">
      <c r="A1" s="2">
        <v>2026.0</v>
      </c>
    </row>
    <row r="2" ht="15.75" customHeight="1">
      <c r="A2" s="4" t="s">
        <v>2</v>
      </c>
      <c r="B2" s="4" t="s">
        <v>6</v>
      </c>
      <c r="C2" s="4" t="s">
        <v>7</v>
      </c>
      <c r="D2" s="4" t="s">
        <v>8</v>
      </c>
      <c r="E2" s="7" t="s">
        <v>9</v>
      </c>
      <c r="F2" s="7" t="s">
        <v>10</v>
      </c>
      <c r="G2" s="7" t="s">
        <v>11</v>
      </c>
    </row>
    <row r="3" ht="15.75" customHeight="1">
      <c r="A3" s="9" t="s">
        <v>14</v>
      </c>
    </row>
    <row r="4" ht="15.75" customHeight="1">
      <c r="A4" s="11">
        <v>46030.0</v>
      </c>
      <c r="B4" s="12">
        <v>46044.0</v>
      </c>
      <c r="C4" s="1" t="s">
        <v>27</v>
      </c>
      <c r="D4" s="6" t="s">
        <v>35</v>
      </c>
      <c r="E4" s="8">
        <v>39.99</v>
      </c>
      <c r="F4" s="8">
        <f t="shared" ref="F4:F14" si="1">E4*(1-G4)</f>
        <v>17.9955</v>
      </c>
      <c r="G4" s="19">
        <v>0.55</v>
      </c>
    </row>
    <row r="5" ht="15.75" customHeight="1">
      <c r="A5" s="11">
        <v>46030.0</v>
      </c>
      <c r="B5" s="12">
        <v>46044.0</v>
      </c>
      <c r="C5" s="1" t="s">
        <v>27</v>
      </c>
      <c r="D5" s="6" t="s">
        <v>37</v>
      </c>
      <c r="E5" s="8">
        <v>59.99</v>
      </c>
      <c r="F5" s="8">
        <f t="shared" si="1"/>
        <v>26.9955</v>
      </c>
      <c r="G5" s="19">
        <v>0.55</v>
      </c>
    </row>
    <row r="6" ht="15.75" customHeight="1">
      <c r="A6" s="11">
        <v>46030.0</v>
      </c>
      <c r="B6" s="12">
        <v>46044.0</v>
      </c>
      <c r="C6" s="1" t="s">
        <v>27</v>
      </c>
      <c r="D6" s="6" t="s">
        <v>36</v>
      </c>
      <c r="E6" s="8">
        <v>69.99</v>
      </c>
      <c r="F6" s="8">
        <f t="shared" si="1"/>
        <v>31.4955</v>
      </c>
      <c r="G6" s="19">
        <v>0.55</v>
      </c>
    </row>
    <row r="7" ht="15.75" customHeight="1">
      <c r="A7" s="11">
        <v>46030.0</v>
      </c>
      <c r="B7" s="12">
        <v>46044.0</v>
      </c>
      <c r="C7" s="1" t="s">
        <v>27</v>
      </c>
      <c r="D7" s="13" t="s">
        <v>212</v>
      </c>
      <c r="E7" s="8">
        <v>29.99</v>
      </c>
      <c r="F7" s="8">
        <f t="shared" si="1"/>
        <v>22.4925</v>
      </c>
      <c r="G7" s="19">
        <v>0.25</v>
      </c>
    </row>
    <row r="8" ht="15.75" customHeight="1">
      <c r="A8" s="11">
        <v>46030.0</v>
      </c>
      <c r="B8" s="12">
        <v>46044.0</v>
      </c>
      <c r="C8" s="1" t="s">
        <v>27</v>
      </c>
      <c r="D8" s="13" t="s">
        <v>216</v>
      </c>
      <c r="E8" s="8">
        <v>11.99</v>
      </c>
      <c r="F8" s="8">
        <f t="shared" si="1"/>
        <v>8.9925</v>
      </c>
      <c r="G8" s="19">
        <v>0.25</v>
      </c>
    </row>
    <row r="9" ht="15.75" customHeight="1">
      <c r="A9" s="11">
        <v>46030.0</v>
      </c>
      <c r="B9" s="12">
        <v>46044.0</v>
      </c>
      <c r="C9" s="1" t="s">
        <v>27</v>
      </c>
      <c r="D9" s="6" t="s">
        <v>219</v>
      </c>
      <c r="E9" s="8">
        <v>2.99</v>
      </c>
      <c r="F9" s="8">
        <f t="shared" si="1"/>
        <v>2.392</v>
      </c>
      <c r="G9" s="19">
        <v>0.2</v>
      </c>
    </row>
    <row r="10" ht="15.75" customHeight="1">
      <c r="A10" s="11">
        <v>46030.0</v>
      </c>
      <c r="B10" s="12">
        <v>46044.0</v>
      </c>
      <c r="C10" s="1" t="s">
        <v>27</v>
      </c>
      <c r="D10" s="6" t="s">
        <v>222</v>
      </c>
      <c r="E10" s="8">
        <v>2.99</v>
      </c>
      <c r="F10" s="8">
        <f t="shared" si="1"/>
        <v>2.392</v>
      </c>
      <c r="G10" s="19">
        <v>0.2</v>
      </c>
    </row>
    <row r="11" ht="15.75" customHeight="1">
      <c r="A11" s="11">
        <v>46030.0</v>
      </c>
      <c r="B11" s="12">
        <v>46044.0</v>
      </c>
      <c r="C11" s="1" t="s">
        <v>27</v>
      </c>
      <c r="D11" s="55" t="s">
        <v>227</v>
      </c>
      <c r="E11" s="55">
        <v>6.99</v>
      </c>
      <c r="F11" s="8">
        <f t="shared" si="1"/>
        <v>5.2425</v>
      </c>
      <c r="G11" s="19">
        <v>0.25</v>
      </c>
    </row>
    <row r="12" ht="15.75" customHeight="1">
      <c r="A12" s="11">
        <v>46030.0</v>
      </c>
      <c r="B12" s="12">
        <v>46044.0</v>
      </c>
      <c r="C12" s="1" t="s">
        <v>27</v>
      </c>
      <c r="D12" s="55" t="s">
        <v>231</v>
      </c>
      <c r="E12" s="55">
        <v>6.99</v>
      </c>
      <c r="F12" s="8">
        <f t="shared" si="1"/>
        <v>5.592</v>
      </c>
      <c r="G12" s="19">
        <v>0.2</v>
      </c>
    </row>
    <row r="13" ht="15.75" customHeight="1">
      <c r="A13" s="11">
        <v>46030.0</v>
      </c>
      <c r="B13" s="12">
        <v>46044.0</v>
      </c>
      <c r="C13" s="1" t="s">
        <v>27</v>
      </c>
      <c r="D13" s="55" t="s">
        <v>232</v>
      </c>
      <c r="E13" s="55">
        <v>6.99</v>
      </c>
      <c r="F13" s="8">
        <f t="shared" si="1"/>
        <v>5.592</v>
      </c>
      <c r="G13" s="19">
        <v>0.2</v>
      </c>
    </row>
    <row r="14" ht="15.75" customHeight="1">
      <c r="A14" s="11">
        <v>46030.0</v>
      </c>
      <c r="B14" s="12">
        <v>46044.0</v>
      </c>
      <c r="C14" s="1" t="s">
        <v>27</v>
      </c>
      <c r="D14" s="55" t="s">
        <v>235</v>
      </c>
      <c r="E14" s="55">
        <v>6.99</v>
      </c>
      <c r="F14" s="8">
        <f t="shared" si="1"/>
        <v>6.99</v>
      </c>
      <c r="G14" s="19">
        <v>0.0</v>
      </c>
    </row>
    <row r="15" ht="15.75" customHeight="1">
      <c r="A15" s="11"/>
      <c r="B15" s="12"/>
      <c r="C15" s="1"/>
    </row>
    <row r="16" ht="15.75" customHeight="1">
      <c r="A16" s="11">
        <v>46074.0</v>
      </c>
      <c r="B16" s="12">
        <v>46088.0</v>
      </c>
      <c r="C16" s="1" t="s">
        <v>27</v>
      </c>
      <c r="D16" s="6" t="s">
        <v>35</v>
      </c>
      <c r="E16" s="8">
        <v>39.99</v>
      </c>
      <c r="F16" s="8">
        <f t="shared" ref="F16:F26" si="2">E16*(1-G16)</f>
        <v>17.9955</v>
      </c>
      <c r="G16" s="19">
        <v>0.55</v>
      </c>
      <c r="H16" s="5"/>
    </row>
    <row r="17" ht="15.75" customHeight="1">
      <c r="A17" s="11">
        <v>46074.0</v>
      </c>
      <c r="B17" s="12">
        <v>46088.0</v>
      </c>
      <c r="C17" s="1" t="s">
        <v>27</v>
      </c>
      <c r="D17" s="6" t="s">
        <v>37</v>
      </c>
      <c r="E17" s="8">
        <v>59.99</v>
      </c>
      <c r="F17" s="8">
        <f t="shared" si="2"/>
        <v>26.9955</v>
      </c>
      <c r="G17" s="19">
        <v>0.55</v>
      </c>
      <c r="H17" s="5"/>
    </row>
    <row r="18" ht="15.75" customHeight="1">
      <c r="A18" s="11">
        <v>46074.0</v>
      </c>
      <c r="B18" s="12">
        <v>46088.0</v>
      </c>
      <c r="C18" s="1" t="s">
        <v>27</v>
      </c>
      <c r="D18" s="6" t="s">
        <v>36</v>
      </c>
      <c r="E18" s="8">
        <v>69.99</v>
      </c>
      <c r="F18" s="8">
        <f t="shared" si="2"/>
        <v>31.4955</v>
      </c>
      <c r="G18" s="19">
        <v>0.55</v>
      </c>
      <c r="H18" s="5"/>
    </row>
    <row r="19" ht="15.75" customHeight="1">
      <c r="A19" s="11">
        <v>46074.0</v>
      </c>
      <c r="B19" s="12">
        <v>46088.0</v>
      </c>
      <c r="C19" s="1" t="s">
        <v>27</v>
      </c>
      <c r="D19" s="13" t="s">
        <v>212</v>
      </c>
      <c r="E19" s="8">
        <v>29.99</v>
      </c>
      <c r="F19" s="8">
        <f t="shared" si="2"/>
        <v>22.4925</v>
      </c>
      <c r="G19" s="19">
        <v>0.25</v>
      </c>
      <c r="H19" s="5"/>
    </row>
    <row r="20" ht="15.75" customHeight="1">
      <c r="A20" s="11">
        <v>46074.0</v>
      </c>
      <c r="B20" s="12">
        <v>46088.0</v>
      </c>
      <c r="C20" s="1" t="s">
        <v>27</v>
      </c>
      <c r="D20" s="13" t="s">
        <v>216</v>
      </c>
      <c r="E20" s="8">
        <v>11.99</v>
      </c>
      <c r="F20" s="8">
        <f t="shared" si="2"/>
        <v>8.9925</v>
      </c>
      <c r="G20" s="19">
        <v>0.25</v>
      </c>
    </row>
    <row r="21" ht="15.75" customHeight="1">
      <c r="A21" s="11">
        <v>46074.0</v>
      </c>
      <c r="B21" s="12">
        <v>46088.0</v>
      </c>
      <c r="C21" s="1" t="s">
        <v>27</v>
      </c>
      <c r="D21" s="6" t="s">
        <v>219</v>
      </c>
      <c r="E21" s="8">
        <v>2.99</v>
      </c>
      <c r="F21" s="8">
        <f t="shared" si="2"/>
        <v>2.392</v>
      </c>
      <c r="G21" s="19">
        <v>0.2</v>
      </c>
    </row>
    <row r="22" ht="15.75" customHeight="1">
      <c r="A22" s="11">
        <v>46074.0</v>
      </c>
      <c r="B22" s="12">
        <v>46088.0</v>
      </c>
      <c r="C22" s="1" t="s">
        <v>27</v>
      </c>
      <c r="D22" s="6" t="s">
        <v>222</v>
      </c>
      <c r="E22" s="8">
        <v>2.99</v>
      </c>
      <c r="F22" s="8">
        <f t="shared" si="2"/>
        <v>2.392</v>
      </c>
      <c r="G22" s="19">
        <v>0.2</v>
      </c>
    </row>
    <row r="23" ht="15.75" customHeight="1">
      <c r="A23" s="11">
        <v>46074.0</v>
      </c>
      <c r="B23" s="12">
        <v>46088.0</v>
      </c>
      <c r="C23" s="1" t="s">
        <v>27</v>
      </c>
      <c r="D23" s="55" t="s">
        <v>227</v>
      </c>
      <c r="E23" s="55">
        <v>6.99</v>
      </c>
      <c r="F23" s="8">
        <f t="shared" si="2"/>
        <v>5.2425</v>
      </c>
      <c r="G23" s="19">
        <v>0.25</v>
      </c>
    </row>
    <row r="24" ht="15.75" customHeight="1">
      <c r="A24" s="11">
        <v>46074.0</v>
      </c>
      <c r="B24" s="12">
        <v>46088.0</v>
      </c>
      <c r="C24" s="1" t="s">
        <v>27</v>
      </c>
      <c r="D24" s="55" t="s">
        <v>231</v>
      </c>
      <c r="E24" s="55">
        <v>6.99</v>
      </c>
      <c r="F24" s="8">
        <f t="shared" si="2"/>
        <v>5.592</v>
      </c>
      <c r="G24" s="19">
        <v>0.2</v>
      </c>
    </row>
    <row r="25" ht="15.75" customHeight="1">
      <c r="A25" s="11">
        <v>46074.0</v>
      </c>
      <c r="B25" s="12">
        <v>46088.0</v>
      </c>
      <c r="C25" s="1" t="s">
        <v>27</v>
      </c>
      <c r="D25" s="55" t="s">
        <v>232</v>
      </c>
      <c r="E25" s="55">
        <v>6.99</v>
      </c>
      <c r="F25" s="8">
        <f t="shared" si="2"/>
        <v>5.592</v>
      </c>
      <c r="G25" s="19">
        <v>0.2</v>
      </c>
    </row>
    <row r="26" ht="15.75" customHeight="1">
      <c r="A26" s="11">
        <v>46074.0</v>
      </c>
      <c r="B26" s="12">
        <v>46088.0</v>
      </c>
      <c r="C26" s="1" t="s">
        <v>27</v>
      </c>
      <c r="D26" s="55" t="s">
        <v>235</v>
      </c>
      <c r="E26" s="55">
        <v>6.99</v>
      </c>
      <c r="F26" s="8">
        <f t="shared" si="2"/>
        <v>6.99</v>
      </c>
      <c r="G26" s="19">
        <v>0.0</v>
      </c>
    </row>
    <row r="27" ht="15.75" customHeight="1"/>
    <row r="28" ht="15.75" customHeight="1">
      <c r="A28" s="11">
        <v>46100.0</v>
      </c>
      <c r="B28" s="12">
        <v>46107.0</v>
      </c>
      <c r="C28" s="1" t="s">
        <v>54</v>
      </c>
      <c r="D28" s="6" t="s">
        <v>35</v>
      </c>
      <c r="E28" s="8">
        <v>39.99</v>
      </c>
      <c r="F28" s="8">
        <f t="shared" ref="F28:F38" si="3">E28*(1-G28)</f>
        <v>17.9955</v>
      </c>
      <c r="G28" s="19">
        <v>0.55</v>
      </c>
    </row>
    <row r="29" ht="15.75" customHeight="1">
      <c r="A29" s="11">
        <v>46100.0</v>
      </c>
      <c r="B29" s="12">
        <v>46107.0</v>
      </c>
      <c r="C29" s="1" t="s">
        <v>54</v>
      </c>
      <c r="D29" s="6" t="s">
        <v>37</v>
      </c>
      <c r="E29" s="8">
        <v>59.99</v>
      </c>
      <c r="F29" s="8">
        <f t="shared" si="3"/>
        <v>26.9955</v>
      </c>
      <c r="G29" s="19">
        <v>0.55</v>
      </c>
    </row>
    <row r="30" ht="15.75" customHeight="1">
      <c r="A30" s="11">
        <v>46100.0</v>
      </c>
      <c r="B30" s="12">
        <v>46107.0</v>
      </c>
      <c r="C30" s="1" t="s">
        <v>54</v>
      </c>
      <c r="D30" s="6" t="s">
        <v>36</v>
      </c>
      <c r="E30" s="8">
        <v>69.99</v>
      </c>
      <c r="F30" s="8">
        <f t="shared" si="3"/>
        <v>31.4955</v>
      </c>
      <c r="G30" s="19">
        <v>0.55</v>
      </c>
    </row>
    <row r="31" ht="15.75" customHeight="1">
      <c r="A31" s="11">
        <v>46100.0</v>
      </c>
      <c r="B31" s="12">
        <v>46107.0</v>
      </c>
      <c r="C31" s="1" t="s">
        <v>54</v>
      </c>
      <c r="D31" s="13" t="s">
        <v>212</v>
      </c>
      <c r="E31" s="8">
        <v>29.99</v>
      </c>
      <c r="F31" s="8">
        <f t="shared" si="3"/>
        <v>22.4925</v>
      </c>
      <c r="G31" s="19">
        <v>0.25</v>
      </c>
    </row>
    <row r="32" ht="15.75" customHeight="1">
      <c r="A32" s="11">
        <v>46100.0</v>
      </c>
      <c r="B32" s="12">
        <v>46107.0</v>
      </c>
      <c r="C32" s="1" t="s">
        <v>54</v>
      </c>
      <c r="D32" s="13" t="s">
        <v>216</v>
      </c>
      <c r="E32" s="8">
        <v>11.99</v>
      </c>
      <c r="F32" s="8">
        <f t="shared" si="3"/>
        <v>8.9925</v>
      </c>
      <c r="G32" s="19">
        <v>0.25</v>
      </c>
    </row>
    <row r="33" ht="15.75" customHeight="1">
      <c r="A33" s="11">
        <v>46100.0</v>
      </c>
      <c r="B33" s="12">
        <v>46107.0</v>
      </c>
      <c r="C33" s="1" t="s">
        <v>54</v>
      </c>
      <c r="D33" s="6" t="s">
        <v>219</v>
      </c>
      <c r="E33" s="8">
        <v>2.99</v>
      </c>
      <c r="F33" s="8">
        <f t="shared" si="3"/>
        <v>2.392</v>
      </c>
      <c r="G33" s="19">
        <v>0.2</v>
      </c>
    </row>
    <row r="34" ht="15.75" customHeight="1">
      <c r="A34" s="11">
        <v>46100.0</v>
      </c>
      <c r="B34" s="12">
        <v>46107.0</v>
      </c>
      <c r="C34" s="1" t="s">
        <v>54</v>
      </c>
      <c r="D34" s="6" t="s">
        <v>222</v>
      </c>
      <c r="E34" s="8">
        <v>2.99</v>
      </c>
      <c r="F34" s="8">
        <f t="shared" si="3"/>
        <v>2.392</v>
      </c>
      <c r="G34" s="19">
        <v>0.2</v>
      </c>
    </row>
    <row r="35" ht="15.75" customHeight="1">
      <c r="A35" s="11">
        <v>46100.0</v>
      </c>
      <c r="B35" s="12">
        <v>46107.0</v>
      </c>
      <c r="C35" s="1" t="s">
        <v>54</v>
      </c>
      <c r="D35" s="55" t="s">
        <v>227</v>
      </c>
      <c r="E35" s="55">
        <v>6.99</v>
      </c>
      <c r="F35" s="8">
        <f t="shared" si="3"/>
        <v>5.2425</v>
      </c>
      <c r="G35" s="19">
        <v>0.25</v>
      </c>
    </row>
    <row r="36" ht="15.75" customHeight="1">
      <c r="A36" s="11">
        <v>46100.0</v>
      </c>
      <c r="B36" s="12">
        <v>46107.0</v>
      </c>
      <c r="C36" s="1" t="s">
        <v>54</v>
      </c>
      <c r="D36" s="55" t="s">
        <v>231</v>
      </c>
      <c r="E36" s="55">
        <v>6.99</v>
      </c>
      <c r="F36" s="8">
        <f t="shared" si="3"/>
        <v>5.592</v>
      </c>
      <c r="G36" s="19">
        <v>0.2</v>
      </c>
    </row>
    <row r="37" ht="15.75" customHeight="1">
      <c r="A37" s="11">
        <v>46100.0</v>
      </c>
      <c r="B37" s="12">
        <v>46107.0</v>
      </c>
      <c r="C37" s="1" t="s">
        <v>54</v>
      </c>
      <c r="D37" s="55" t="s">
        <v>232</v>
      </c>
      <c r="E37" s="55">
        <v>6.99</v>
      </c>
      <c r="F37" s="8">
        <f t="shared" si="3"/>
        <v>5.592</v>
      </c>
      <c r="G37" s="19">
        <v>0.2</v>
      </c>
    </row>
    <row r="38" ht="15.75" customHeight="1">
      <c r="A38" s="11">
        <v>46100.0</v>
      </c>
      <c r="B38" s="12">
        <v>46107.0</v>
      </c>
      <c r="C38" s="1" t="s">
        <v>54</v>
      </c>
      <c r="D38" s="55" t="s">
        <v>235</v>
      </c>
      <c r="E38" s="55">
        <v>6.99</v>
      </c>
      <c r="F38" s="8">
        <f t="shared" si="3"/>
        <v>6.99</v>
      </c>
      <c r="G38" s="19">
        <v>0.0</v>
      </c>
    </row>
    <row r="39" ht="15.75" customHeight="1"/>
    <row r="40" ht="15.75" customHeight="1">
      <c r="A40" s="11">
        <v>46118.0</v>
      </c>
      <c r="B40" s="12">
        <v>46132.0</v>
      </c>
      <c r="C40" s="1" t="s">
        <v>27</v>
      </c>
      <c r="D40" s="6" t="s">
        <v>35</v>
      </c>
      <c r="E40" s="8">
        <v>39.99</v>
      </c>
      <c r="F40" s="8">
        <f t="shared" ref="F40:F50" si="4">E40*(1-G40)</f>
        <v>17.9955</v>
      </c>
      <c r="G40" s="19">
        <v>0.55</v>
      </c>
    </row>
    <row r="41" ht="15.75" customHeight="1">
      <c r="A41" s="11">
        <v>46118.0</v>
      </c>
      <c r="B41" s="12">
        <v>46132.0</v>
      </c>
      <c r="C41" s="1" t="s">
        <v>27</v>
      </c>
      <c r="D41" s="6" t="s">
        <v>37</v>
      </c>
      <c r="E41" s="8">
        <v>59.99</v>
      </c>
      <c r="F41" s="8">
        <f t="shared" si="4"/>
        <v>26.9955</v>
      </c>
      <c r="G41" s="19">
        <v>0.55</v>
      </c>
    </row>
    <row r="42" ht="15.75" customHeight="1">
      <c r="A42" s="11">
        <v>46118.0</v>
      </c>
      <c r="B42" s="12">
        <v>46132.0</v>
      </c>
      <c r="C42" s="1" t="s">
        <v>27</v>
      </c>
      <c r="D42" s="6" t="s">
        <v>36</v>
      </c>
      <c r="E42" s="8">
        <v>69.99</v>
      </c>
      <c r="F42" s="8">
        <f t="shared" si="4"/>
        <v>31.4955</v>
      </c>
      <c r="G42" s="19">
        <v>0.55</v>
      </c>
    </row>
    <row r="43" ht="15.75" customHeight="1">
      <c r="A43" s="11">
        <v>46118.0</v>
      </c>
      <c r="B43" s="12">
        <v>46132.0</v>
      </c>
      <c r="C43" s="1" t="s">
        <v>27</v>
      </c>
      <c r="D43" s="13" t="s">
        <v>212</v>
      </c>
      <c r="E43" s="8">
        <v>29.99</v>
      </c>
      <c r="F43" s="8">
        <f t="shared" si="4"/>
        <v>22.4925</v>
      </c>
      <c r="G43" s="19">
        <v>0.25</v>
      </c>
    </row>
    <row r="44" ht="15.75" customHeight="1">
      <c r="A44" s="11">
        <v>46118.0</v>
      </c>
      <c r="B44" s="12">
        <v>46132.0</v>
      </c>
      <c r="C44" s="1" t="s">
        <v>27</v>
      </c>
      <c r="D44" s="13" t="s">
        <v>216</v>
      </c>
      <c r="E44" s="8">
        <v>11.99</v>
      </c>
      <c r="F44" s="8">
        <f t="shared" si="4"/>
        <v>8.9925</v>
      </c>
      <c r="G44" s="19">
        <v>0.25</v>
      </c>
    </row>
    <row r="45" ht="15.75" customHeight="1">
      <c r="A45" s="11">
        <v>46118.0</v>
      </c>
      <c r="B45" s="12">
        <v>46132.0</v>
      </c>
      <c r="C45" s="1" t="s">
        <v>27</v>
      </c>
      <c r="D45" s="6" t="s">
        <v>219</v>
      </c>
      <c r="E45" s="8">
        <v>2.99</v>
      </c>
      <c r="F45" s="8">
        <f t="shared" si="4"/>
        <v>2.392</v>
      </c>
      <c r="G45" s="19">
        <v>0.2</v>
      </c>
    </row>
    <row r="46" ht="15.75" customHeight="1">
      <c r="A46" s="11">
        <v>46118.0</v>
      </c>
      <c r="B46" s="12">
        <v>46132.0</v>
      </c>
      <c r="C46" s="1" t="s">
        <v>27</v>
      </c>
      <c r="D46" s="6" t="s">
        <v>222</v>
      </c>
      <c r="E46" s="8">
        <v>2.99</v>
      </c>
      <c r="F46" s="8">
        <f t="shared" si="4"/>
        <v>2.392</v>
      </c>
      <c r="G46" s="19">
        <v>0.2</v>
      </c>
    </row>
    <row r="47" ht="15.75" customHeight="1">
      <c r="A47" s="11">
        <v>46118.0</v>
      </c>
      <c r="B47" s="12">
        <v>46132.0</v>
      </c>
      <c r="C47" s="1" t="s">
        <v>27</v>
      </c>
      <c r="D47" s="55" t="s">
        <v>227</v>
      </c>
      <c r="E47" s="55">
        <v>6.99</v>
      </c>
      <c r="F47" s="8">
        <f t="shared" si="4"/>
        <v>5.2425</v>
      </c>
      <c r="G47" s="19">
        <v>0.25</v>
      </c>
    </row>
    <row r="48" ht="15.75" customHeight="1">
      <c r="A48" s="11">
        <v>46118.0</v>
      </c>
      <c r="B48" s="12">
        <v>46132.0</v>
      </c>
      <c r="C48" s="1" t="s">
        <v>27</v>
      </c>
      <c r="D48" s="55" t="s">
        <v>231</v>
      </c>
      <c r="E48" s="55">
        <v>6.99</v>
      </c>
      <c r="F48" s="8">
        <f t="shared" si="4"/>
        <v>5.592</v>
      </c>
      <c r="G48" s="19">
        <v>0.2</v>
      </c>
    </row>
    <row r="49" ht="15.75" customHeight="1">
      <c r="A49" s="11">
        <v>46118.0</v>
      </c>
      <c r="B49" s="12">
        <v>46132.0</v>
      </c>
      <c r="C49" s="1" t="s">
        <v>27</v>
      </c>
      <c r="D49" s="55" t="s">
        <v>232</v>
      </c>
      <c r="E49" s="55">
        <v>6.99</v>
      </c>
      <c r="F49" s="8">
        <f t="shared" si="4"/>
        <v>5.592</v>
      </c>
      <c r="G49" s="19">
        <v>0.2</v>
      </c>
    </row>
    <row r="50" ht="15.75" customHeight="1">
      <c r="A50" s="11">
        <v>46118.0</v>
      </c>
      <c r="B50" s="12">
        <v>46132.0</v>
      </c>
      <c r="C50" s="1" t="s">
        <v>27</v>
      </c>
      <c r="D50" s="55" t="s">
        <v>235</v>
      </c>
      <c r="E50" s="55">
        <v>6.99</v>
      </c>
      <c r="F50" s="8">
        <f t="shared" si="4"/>
        <v>6.99</v>
      </c>
      <c r="G50" s="19">
        <v>0.0</v>
      </c>
    </row>
    <row r="51" ht="15.75" customHeight="1"/>
    <row r="52" ht="15.75" customHeight="1">
      <c r="A52" s="11">
        <v>46162.0</v>
      </c>
      <c r="B52" s="12">
        <v>46176.0</v>
      </c>
      <c r="C52" s="1" t="s">
        <v>27</v>
      </c>
      <c r="D52" s="6" t="s">
        <v>35</v>
      </c>
      <c r="E52" s="8">
        <v>39.99</v>
      </c>
      <c r="F52" s="8">
        <f t="shared" ref="F52:F62" si="5">E52*(1-G52)</f>
        <v>15.996</v>
      </c>
      <c r="G52" s="32">
        <v>0.6</v>
      </c>
    </row>
    <row r="53" ht="15.75" customHeight="1">
      <c r="A53" s="11">
        <v>46162.0</v>
      </c>
      <c r="B53" s="12">
        <v>46176.0</v>
      </c>
      <c r="C53" s="1" t="s">
        <v>27</v>
      </c>
      <c r="D53" s="6" t="s">
        <v>37</v>
      </c>
      <c r="E53" s="8">
        <v>59.99</v>
      </c>
      <c r="F53" s="8">
        <f t="shared" si="5"/>
        <v>23.996</v>
      </c>
      <c r="G53" s="32">
        <v>0.6</v>
      </c>
    </row>
    <row r="54" ht="15.75" customHeight="1">
      <c r="A54" s="11">
        <v>46162.0</v>
      </c>
      <c r="B54" s="12">
        <v>46176.0</v>
      </c>
      <c r="C54" s="1" t="s">
        <v>27</v>
      </c>
      <c r="D54" s="6" t="s">
        <v>36</v>
      </c>
      <c r="E54" s="8">
        <v>69.99</v>
      </c>
      <c r="F54" s="8">
        <f t="shared" si="5"/>
        <v>27.996</v>
      </c>
      <c r="G54" s="32">
        <v>0.6</v>
      </c>
    </row>
    <row r="55" ht="15.75" customHeight="1">
      <c r="A55" s="11">
        <v>46162.0</v>
      </c>
      <c r="B55" s="12">
        <v>46176.0</v>
      </c>
      <c r="C55" s="1" t="s">
        <v>27</v>
      </c>
      <c r="D55" s="13" t="s">
        <v>212</v>
      </c>
      <c r="E55" s="8">
        <v>29.99</v>
      </c>
      <c r="F55" s="8">
        <f t="shared" si="5"/>
        <v>19.4935</v>
      </c>
      <c r="G55" s="32">
        <v>0.35</v>
      </c>
    </row>
    <row r="56" ht="15.75" customHeight="1">
      <c r="A56" s="11">
        <v>46162.0</v>
      </c>
      <c r="B56" s="12">
        <v>46176.0</v>
      </c>
      <c r="C56" s="1" t="s">
        <v>27</v>
      </c>
      <c r="D56" s="13" t="s">
        <v>216</v>
      </c>
      <c r="E56" s="8">
        <v>11.99</v>
      </c>
      <c r="F56" s="8">
        <f t="shared" si="5"/>
        <v>8.9925</v>
      </c>
      <c r="G56" s="32">
        <v>0.25</v>
      </c>
    </row>
    <row r="57" ht="15.75" customHeight="1">
      <c r="A57" s="11">
        <v>46162.0</v>
      </c>
      <c r="B57" s="12">
        <v>46176.0</v>
      </c>
      <c r="C57" s="1" t="s">
        <v>27</v>
      </c>
      <c r="D57" s="6" t="s">
        <v>219</v>
      </c>
      <c r="E57" s="8">
        <v>2.99</v>
      </c>
      <c r="F57" s="8">
        <f t="shared" si="5"/>
        <v>2.2425</v>
      </c>
      <c r="G57" s="32">
        <v>0.25</v>
      </c>
    </row>
    <row r="58" ht="15.75" customHeight="1">
      <c r="A58" s="11">
        <v>46162.0</v>
      </c>
      <c r="B58" s="12">
        <v>46176.0</v>
      </c>
      <c r="C58" s="1" t="s">
        <v>27</v>
      </c>
      <c r="D58" s="6" t="s">
        <v>222</v>
      </c>
      <c r="E58" s="8">
        <v>2.99</v>
      </c>
      <c r="F58" s="8">
        <f t="shared" si="5"/>
        <v>2.2425</v>
      </c>
      <c r="G58" s="32">
        <v>0.25</v>
      </c>
    </row>
    <row r="59" ht="15.75" customHeight="1">
      <c r="A59" s="11">
        <v>46162.0</v>
      </c>
      <c r="B59" s="12">
        <v>46176.0</v>
      </c>
      <c r="C59" s="1" t="s">
        <v>27</v>
      </c>
      <c r="D59" s="55" t="s">
        <v>227</v>
      </c>
      <c r="E59" s="55">
        <v>6.99</v>
      </c>
      <c r="F59" s="8">
        <f t="shared" si="5"/>
        <v>5.2425</v>
      </c>
      <c r="G59" s="32">
        <v>0.25</v>
      </c>
    </row>
    <row r="60" ht="15.75" customHeight="1">
      <c r="A60" s="11">
        <v>46162.0</v>
      </c>
      <c r="B60" s="12">
        <v>46176.0</v>
      </c>
      <c r="C60" s="1" t="s">
        <v>27</v>
      </c>
      <c r="D60" s="55" t="s">
        <v>231</v>
      </c>
      <c r="E60" s="55">
        <v>6.99</v>
      </c>
      <c r="F60" s="8">
        <f t="shared" si="5"/>
        <v>5.2425</v>
      </c>
      <c r="G60" s="32">
        <v>0.25</v>
      </c>
    </row>
    <row r="61" ht="15.75" customHeight="1">
      <c r="A61" s="11">
        <v>46162.0</v>
      </c>
      <c r="B61" s="12">
        <v>46176.0</v>
      </c>
      <c r="C61" s="1" t="s">
        <v>27</v>
      </c>
      <c r="D61" s="55" t="s">
        <v>232</v>
      </c>
      <c r="E61" s="55">
        <v>6.99</v>
      </c>
      <c r="F61" s="8">
        <f t="shared" si="5"/>
        <v>5.2425</v>
      </c>
      <c r="G61" s="32">
        <v>0.25</v>
      </c>
    </row>
    <row r="62" ht="15.75" customHeight="1">
      <c r="A62" s="11">
        <v>46162.0</v>
      </c>
      <c r="B62" s="12">
        <v>46176.0</v>
      </c>
      <c r="C62" s="1" t="s">
        <v>27</v>
      </c>
      <c r="D62" s="55" t="s">
        <v>235</v>
      </c>
      <c r="E62" s="55">
        <v>6.99</v>
      </c>
      <c r="F62" s="8">
        <f t="shared" si="5"/>
        <v>5.592</v>
      </c>
      <c r="G62" s="32">
        <v>0.2</v>
      </c>
    </row>
    <row r="63" ht="15.75" customHeight="1"/>
    <row r="64" ht="15.75" customHeight="1">
      <c r="A64" s="11">
        <v>46198.0</v>
      </c>
      <c r="B64" s="12">
        <v>46212.0</v>
      </c>
      <c r="C64" s="1" t="s">
        <v>56</v>
      </c>
      <c r="D64" s="6" t="s">
        <v>35</v>
      </c>
      <c r="E64" s="8">
        <v>39.99</v>
      </c>
      <c r="F64" s="8">
        <f t="shared" ref="F64:F74" si="6">E64*(1-G64)</f>
        <v>15.996</v>
      </c>
      <c r="G64" s="19">
        <v>0.6</v>
      </c>
    </row>
    <row r="65" ht="15.75" customHeight="1">
      <c r="A65" s="11">
        <v>46198.0</v>
      </c>
      <c r="B65" s="12">
        <v>46212.0</v>
      </c>
      <c r="C65" s="1" t="s">
        <v>56</v>
      </c>
      <c r="D65" s="6" t="s">
        <v>37</v>
      </c>
      <c r="E65" s="8">
        <v>59.99</v>
      </c>
      <c r="F65" s="8">
        <f t="shared" si="6"/>
        <v>23.996</v>
      </c>
      <c r="G65" s="19">
        <v>0.6</v>
      </c>
    </row>
    <row r="66" ht="15.75" customHeight="1">
      <c r="A66" s="11">
        <v>46198.0</v>
      </c>
      <c r="B66" s="12">
        <v>46212.0</v>
      </c>
      <c r="C66" s="1" t="s">
        <v>56</v>
      </c>
      <c r="D66" s="6" t="s">
        <v>36</v>
      </c>
      <c r="E66" s="8">
        <v>69.99</v>
      </c>
      <c r="F66" s="8">
        <f t="shared" si="6"/>
        <v>27.996</v>
      </c>
      <c r="G66" s="19">
        <v>0.6</v>
      </c>
    </row>
    <row r="67" ht="15.75" customHeight="1">
      <c r="A67" s="11">
        <v>46198.0</v>
      </c>
      <c r="B67" s="12">
        <v>46212.0</v>
      </c>
      <c r="C67" s="1" t="s">
        <v>56</v>
      </c>
      <c r="D67" s="13" t="s">
        <v>212</v>
      </c>
      <c r="E67" s="8">
        <v>29.99</v>
      </c>
      <c r="F67" s="8">
        <f t="shared" si="6"/>
        <v>19.4935</v>
      </c>
      <c r="G67" s="19">
        <v>0.35</v>
      </c>
    </row>
    <row r="68" ht="15.75" customHeight="1">
      <c r="A68" s="11">
        <v>46198.0</v>
      </c>
      <c r="B68" s="12">
        <v>46212.0</v>
      </c>
      <c r="C68" s="1" t="s">
        <v>56</v>
      </c>
      <c r="D68" s="13" t="s">
        <v>216</v>
      </c>
      <c r="E68" s="8">
        <v>11.99</v>
      </c>
      <c r="F68" s="8">
        <f t="shared" si="6"/>
        <v>8.9925</v>
      </c>
      <c r="G68" s="19">
        <v>0.25</v>
      </c>
    </row>
    <row r="69" ht="15.75" customHeight="1">
      <c r="A69" s="11">
        <v>46198.0</v>
      </c>
      <c r="B69" s="12">
        <v>46212.0</v>
      </c>
      <c r="C69" s="1" t="s">
        <v>56</v>
      </c>
      <c r="D69" s="6" t="s">
        <v>219</v>
      </c>
      <c r="E69" s="8">
        <v>2.99</v>
      </c>
      <c r="F69" s="8">
        <f t="shared" si="6"/>
        <v>2.2425</v>
      </c>
      <c r="G69" s="19">
        <v>0.25</v>
      </c>
    </row>
    <row r="70" ht="15.75" customHeight="1">
      <c r="A70" s="11">
        <v>46198.0</v>
      </c>
      <c r="B70" s="12">
        <v>46212.0</v>
      </c>
      <c r="C70" s="1" t="s">
        <v>56</v>
      </c>
      <c r="D70" s="6" t="s">
        <v>222</v>
      </c>
      <c r="E70" s="8">
        <v>2.99</v>
      </c>
      <c r="F70" s="8">
        <f t="shared" si="6"/>
        <v>2.2425</v>
      </c>
      <c r="G70" s="19">
        <v>0.25</v>
      </c>
    </row>
    <row r="71" ht="15.75" customHeight="1">
      <c r="A71" s="11">
        <v>46198.0</v>
      </c>
      <c r="B71" s="12">
        <v>46212.0</v>
      </c>
      <c r="C71" s="1" t="s">
        <v>56</v>
      </c>
      <c r="D71" s="55" t="s">
        <v>227</v>
      </c>
      <c r="E71" s="55">
        <v>6.99</v>
      </c>
      <c r="F71" s="8">
        <f t="shared" si="6"/>
        <v>5.2425</v>
      </c>
      <c r="G71" s="19">
        <v>0.25</v>
      </c>
    </row>
    <row r="72" ht="15.75" customHeight="1">
      <c r="A72" s="11">
        <v>46198.0</v>
      </c>
      <c r="B72" s="12">
        <v>46212.0</v>
      </c>
      <c r="C72" s="1" t="s">
        <v>56</v>
      </c>
      <c r="D72" s="55" t="s">
        <v>231</v>
      </c>
      <c r="E72" s="55">
        <v>6.99</v>
      </c>
      <c r="F72" s="8">
        <f t="shared" si="6"/>
        <v>5.2425</v>
      </c>
      <c r="G72" s="19">
        <v>0.25</v>
      </c>
    </row>
    <row r="73" ht="15.75" customHeight="1">
      <c r="A73" s="11">
        <v>46198.0</v>
      </c>
      <c r="B73" s="12">
        <v>46212.0</v>
      </c>
      <c r="C73" s="1" t="s">
        <v>56</v>
      </c>
      <c r="D73" s="55" t="s">
        <v>232</v>
      </c>
      <c r="E73" s="55">
        <v>6.99</v>
      </c>
      <c r="F73" s="8">
        <f t="shared" si="6"/>
        <v>5.2425</v>
      </c>
      <c r="G73" s="19">
        <v>0.25</v>
      </c>
    </row>
    <row r="74" ht="15.75" customHeight="1">
      <c r="A74" s="11">
        <v>46198.0</v>
      </c>
      <c r="B74" s="12">
        <v>46212.0</v>
      </c>
      <c r="C74" s="1" t="s">
        <v>56</v>
      </c>
      <c r="D74" s="55" t="s">
        <v>235</v>
      </c>
      <c r="E74" s="55">
        <v>6.99</v>
      </c>
      <c r="F74" s="8">
        <f t="shared" si="6"/>
        <v>5.592</v>
      </c>
      <c r="G74" s="19">
        <v>0.2</v>
      </c>
    </row>
    <row r="75" ht="15.75" customHeight="1"/>
    <row r="76" ht="15.75" customHeight="1">
      <c r="A76" s="11">
        <v>46219.0</v>
      </c>
      <c r="B76" s="12">
        <v>46233.0</v>
      </c>
      <c r="C76" s="1" t="s">
        <v>27</v>
      </c>
      <c r="D76" s="6" t="s">
        <v>35</v>
      </c>
      <c r="E76" s="8">
        <v>39.99</v>
      </c>
      <c r="F76" s="8">
        <f t="shared" ref="F76:F86" si="7">E76*(1-G76)</f>
        <v>15.996</v>
      </c>
      <c r="G76" s="19">
        <v>0.6</v>
      </c>
    </row>
    <row r="77" ht="15.75" customHeight="1">
      <c r="A77" s="11">
        <v>46219.0</v>
      </c>
      <c r="B77" s="12">
        <v>46233.0</v>
      </c>
      <c r="C77" s="1" t="s">
        <v>27</v>
      </c>
      <c r="D77" s="6" t="s">
        <v>37</v>
      </c>
      <c r="E77" s="8">
        <v>59.99</v>
      </c>
      <c r="F77" s="8">
        <f t="shared" si="7"/>
        <v>23.996</v>
      </c>
      <c r="G77" s="19">
        <v>0.6</v>
      </c>
    </row>
    <row r="78" ht="15.75" customHeight="1">
      <c r="A78" s="11">
        <v>46219.0</v>
      </c>
      <c r="B78" s="12">
        <v>46233.0</v>
      </c>
      <c r="C78" s="1" t="s">
        <v>27</v>
      </c>
      <c r="D78" s="6" t="s">
        <v>36</v>
      </c>
      <c r="E78" s="8">
        <v>69.99</v>
      </c>
      <c r="F78" s="8">
        <f t="shared" si="7"/>
        <v>27.996</v>
      </c>
      <c r="G78" s="19">
        <v>0.6</v>
      </c>
    </row>
    <row r="79" ht="15.75" customHeight="1">
      <c r="A79" s="11">
        <v>46219.0</v>
      </c>
      <c r="B79" s="12">
        <v>46233.0</v>
      </c>
      <c r="C79" s="1" t="s">
        <v>27</v>
      </c>
      <c r="D79" s="13" t="s">
        <v>212</v>
      </c>
      <c r="E79" s="8">
        <v>29.99</v>
      </c>
      <c r="F79" s="8">
        <f t="shared" si="7"/>
        <v>19.4935</v>
      </c>
      <c r="G79" s="19">
        <v>0.35</v>
      </c>
    </row>
    <row r="80" ht="15.75" customHeight="1">
      <c r="A80" s="11">
        <v>46219.0</v>
      </c>
      <c r="B80" s="12">
        <v>46233.0</v>
      </c>
      <c r="C80" s="1" t="s">
        <v>27</v>
      </c>
      <c r="D80" s="13" t="s">
        <v>216</v>
      </c>
      <c r="E80" s="8">
        <v>11.99</v>
      </c>
      <c r="F80" s="8">
        <f t="shared" si="7"/>
        <v>8.9925</v>
      </c>
      <c r="G80" s="19">
        <v>0.25</v>
      </c>
    </row>
    <row r="81" ht="15.75" customHeight="1">
      <c r="A81" s="11">
        <v>46219.0</v>
      </c>
      <c r="B81" s="12">
        <v>46233.0</v>
      </c>
      <c r="C81" s="1" t="s">
        <v>27</v>
      </c>
      <c r="D81" s="6" t="s">
        <v>219</v>
      </c>
      <c r="E81" s="8">
        <v>2.99</v>
      </c>
      <c r="F81" s="8">
        <f t="shared" si="7"/>
        <v>2.2425</v>
      </c>
      <c r="G81" s="19">
        <v>0.25</v>
      </c>
    </row>
    <row r="82" ht="15.75" customHeight="1">
      <c r="A82" s="11">
        <v>46219.0</v>
      </c>
      <c r="B82" s="12">
        <v>46233.0</v>
      </c>
      <c r="C82" s="1" t="s">
        <v>27</v>
      </c>
      <c r="D82" s="6" t="s">
        <v>222</v>
      </c>
      <c r="E82" s="8">
        <v>2.99</v>
      </c>
      <c r="F82" s="8">
        <f t="shared" si="7"/>
        <v>2.2425</v>
      </c>
      <c r="G82" s="19">
        <v>0.25</v>
      </c>
    </row>
    <row r="83" ht="15.75" customHeight="1">
      <c r="A83" s="11">
        <v>46219.0</v>
      </c>
      <c r="B83" s="12">
        <v>46233.0</v>
      </c>
      <c r="C83" s="1" t="s">
        <v>27</v>
      </c>
      <c r="D83" s="55" t="s">
        <v>227</v>
      </c>
      <c r="E83" s="55">
        <v>6.99</v>
      </c>
      <c r="F83" s="8">
        <f t="shared" si="7"/>
        <v>5.2425</v>
      </c>
      <c r="G83" s="19">
        <v>0.25</v>
      </c>
    </row>
    <row r="84" ht="15.75" customHeight="1">
      <c r="A84" s="11">
        <v>46219.0</v>
      </c>
      <c r="B84" s="12">
        <v>46233.0</v>
      </c>
      <c r="C84" s="1" t="s">
        <v>27</v>
      </c>
      <c r="D84" s="55" t="s">
        <v>231</v>
      </c>
      <c r="E84" s="55">
        <v>6.99</v>
      </c>
      <c r="F84" s="8">
        <f t="shared" si="7"/>
        <v>5.2425</v>
      </c>
      <c r="G84" s="19">
        <v>0.25</v>
      </c>
    </row>
    <row r="85" ht="15.75" customHeight="1">
      <c r="A85" s="11">
        <v>46219.0</v>
      </c>
      <c r="B85" s="12">
        <v>46233.0</v>
      </c>
      <c r="C85" s="1" t="s">
        <v>27</v>
      </c>
      <c r="D85" s="55" t="s">
        <v>232</v>
      </c>
      <c r="E85" s="55">
        <v>6.99</v>
      </c>
      <c r="F85" s="8">
        <f t="shared" si="7"/>
        <v>5.2425</v>
      </c>
      <c r="G85" s="19">
        <v>0.25</v>
      </c>
    </row>
    <row r="86" ht="15.75" customHeight="1">
      <c r="A86" s="11">
        <v>46219.0</v>
      </c>
      <c r="B86" s="12">
        <v>46233.0</v>
      </c>
      <c r="C86" s="1" t="s">
        <v>27</v>
      </c>
      <c r="D86" s="55" t="s">
        <v>235</v>
      </c>
      <c r="E86" s="55">
        <v>6.99</v>
      </c>
      <c r="F86" s="8">
        <f t="shared" si="7"/>
        <v>5.592</v>
      </c>
      <c r="G86" s="19">
        <v>0.2</v>
      </c>
    </row>
    <row r="87" ht="15.75" customHeight="1">
      <c r="A87" s="24"/>
      <c r="B87" s="25"/>
      <c r="C87" s="26"/>
      <c r="D87" s="5"/>
      <c r="E87" s="5"/>
      <c r="F87" s="61"/>
      <c r="G87" s="62"/>
    </row>
    <row r="88" ht="15.75" customHeight="1">
      <c r="A88" s="11">
        <v>46268.0</v>
      </c>
      <c r="B88" s="12">
        <v>46279.0</v>
      </c>
      <c r="C88" s="1" t="s">
        <v>72</v>
      </c>
      <c r="D88" s="6" t="s">
        <v>35</v>
      </c>
      <c r="E88" s="8">
        <v>39.99</v>
      </c>
      <c r="F88" s="8">
        <f t="shared" ref="F88:F98" si="8">E88*(1-G88)</f>
        <v>13.9965</v>
      </c>
      <c r="G88" s="32">
        <v>0.65</v>
      </c>
    </row>
    <row r="89" ht="15.75" customHeight="1">
      <c r="A89" s="11">
        <v>46268.0</v>
      </c>
      <c r="B89" s="12">
        <v>46279.0</v>
      </c>
      <c r="C89" s="1" t="s">
        <v>72</v>
      </c>
      <c r="D89" s="6" t="s">
        <v>37</v>
      </c>
      <c r="E89" s="8">
        <v>59.99</v>
      </c>
      <c r="F89" s="8">
        <f t="shared" si="8"/>
        <v>20.9965</v>
      </c>
      <c r="G89" s="32">
        <v>0.65</v>
      </c>
    </row>
    <row r="90" ht="15.75" customHeight="1">
      <c r="A90" s="11">
        <v>46268.0</v>
      </c>
      <c r="B90" s="12">
        <v>46279.0</v>
      </c>
      <c r="C90" s="1" t="s">
        <v>72</v>
      </c>
      <c r="D90" s="6" t="s">
        <v>36</v>
      </c>
      <c r="E90" s="8">
        <v>69.99</v>
      </c>
      <c r="F90" s="8">
        <f t="shared" si="8"/>
        <v>24.4965</v>
      </c>
      <c r="G90" s="32">
        <v>0.65</v>
      </c>
    </row>
    <row r="91" ht="15.75" customHeight="1">
      <c r="A91" s="11">
        <v>46268.0</v>
      </c>
      <c r="B91" s="12">
        <v>46279.0</v>
      </c>
      <c r="C91" s="1" t="s">
        <v>72</v>
      </c>
      <c r="D91" s="13" t="s">
        <v>212</v>
      </c>
      <c r="E91" s="8">
        <v>29.99</v>
      </c>
      <c r="F91" s="8">
        <f t="shared" si="8"/>
        <v>19.4935</v>
      </c>
      <c r="G91" s="19">
        <v>0.35</v>
      </c>
    </row>
    <row r="92" ht="15.75" customHeight="1">
      <c r="A92" s="11">
        <v>46268.0</v>
      </c>
      <c r="B92" s="12">
        <v>46279.0</v>
      </c>
      <c r="C92" s="1" t="s">
        <v>72</v>
      </c>
      <c r="D92" s="13" t="s">
        <v>216</v>
      </c>
      <c r="E92" s="8">
        <v>11.99</v>
      </c>
      <c r="F92" s="8">
        <f t="shared" si="8"/>
        <v>8.9925</v>
      </c>
      <c r="G92" s="19">
        <v>0.25</v>
      </c>
    </row>
    <row r="93" ht="15.75" customHeight="1">
      <c r="A93" s="11">
        <v>46268.0</v>
      </c>
      <c r="B93" s="12">
        <v>46279.0</v>
      </c>
      <c r="C93" s="1" t="s">
        <v>72</v>
      </c>
      <c r="D93" s="6" t="s">
        <v>219</v>
      </c>
      <c r="E93" s="8">
        <v>2.99</v>
      </c>
      <c r="F93" s="8">
        <f t="shared" si="8"/>
        <v>2.2425</v>
      </c>
      <c r="G93" s="19">
        <v>0.25</v>
      </c>
    </row>
    <row r="94" ht="15.75" customHeight="1">
      <c r="A94" s="11">
        <v>46268.0</v>
      </c>
      <c r="B94" s="12">
        <v>46279.0</v>
      </c>
      <c r="C94" s="1" t="s">
        <v>72</v>
      </c>
      <c r="D94" s="6" t="s">
        <v>222</v>
      </c>
      <c r="E94" s="8">
        <v>2.99</v>
      </c>
      <c r="F94" s="8">
        <f t="shared" si="8"/>
        <v>2.2425</v>
      </c>
      <c r="G94" s="19">
        <v>0.25</v>
      </c>
    </row>
    <row r="95" ht="15.75" customHeight="1">
      <c r="A95" s="11">
        <v>46268.0</v>
      </c>
      <c r="B95" s="12">
        <v>46279.0</v>
      </c>
      <c r="C95" s="1" t="s">
        <v>72</v>
      </c>
      <c r="D95" s="55" t="s">
        <v>227</v>
      </c>
      <c r="E95" s="55">
        <v>6.99</v>
      </c>
      <c r="F95" s="8">
        <f t="shared" si="8"/>
        <v>4.893</v>
      </c>
      <c r="G95" s="32">
        <v>0.3</v>
      </c>
    </row>
    <row r="96" ht="15.75" customHeight="1">
      <c r="A96" s="11">
        <v>46268.0</v>
      </c>
      <c r="B96" s="12">
        <v>46279.0</v>
      </c>
      <c r="C96" s="1" t="s">
        <v>72</v>
      </c>
      <c r="D96" s="55" t="s">
        <v>231</v>
      </c>
      <c r="E96" s="55">
        <v>6.99</v>
      </c>
      <c r="F96" s="8">
        <f t="shared" si="8"/>
        <v>4.893</v>
      </c>
      <c r="G96" s="32">
        <v>0.3</v>
      </c>
    </row>
    <row r="97" ht="15.75" customHeight="1">
      <c r="A97" s="11">
        <v>46268.0</v>
      </c>
      <c r="B97" s="12">
        <v>46279.0</v>
      </c>
      <c r="C97" s="1" t="s">
        <v>72</v>
      </c>
      <c r="D97" s="55" t="s">
        <v>232</v>
      </c>
      <c r="E97" s="55">
        <v>6.99</v>
      </c>
      <c r="F97" s="8">
        <f t="shared" si="8"/>
        <v>5.2425</v>
      </c>
      <c r="G97" s="19">
        <v>0.25</v>
      </c>
    </row>
    <row r="98" ht="15.75" customHeight="1">
      <c r="A98" s="11">
        <v>46268.0</v>
      </c>
      <c r="B98" s="12">
        <v>46279.0</v>
      </c>
      <c r="C98" s="1" t="s">
        <v>72</v>
      </c>
      <c r="D98" s="55" t="s">
        <v>235</v>
      </c>
      <c r="E98" s="55">
        <v>6.99</v>
      </c>
      <c r="F98" s="8">
        <f t="shared" si="8"/>
        <v>5.592</v>
      </c>
      <c r="G98" s="19">
        <v>0.2</v>
      </c>
    </row>
    <row r="99" ht="15.75" customHeight="1">
      <c r="A99" s="24"/>
      <c r="B99" s="25"/>
      <c r="C99" s="26"/>
      <c r="D99" s="5"/>
      <c r="E99" s="5"/>
      <c r="F99" s="61"/>
      <c r="G99" s="62"/>
    </row>
    <row r="100" ht="15.75" customHeight="1">
      <c r="A100" s="11">
        <v>46296.0</v>
      </c>
      <c r="B100" s="12">
        <v>46303.0</v>
      </c>
      <c r="C100" s="1" t="s">
        <v>75</v>
      </c>
      <c r="D100" s="6" t="s">
        <v>35</v>
      </c>
      <c r="E100" s="8">
        <v>39.99</v>
      </c>
      <c r="F100" s="8">
        <f t="shared" ref="F100:F110" si="9">E100*(1-G100)</f>
        <v>13.9965</v>
      </c>
      <c r="G100" s="19">
        <v>0.65</v>
      </c>
    </row>
    <row r="101" ht="15.75" customHeight="1">
      <c r="A101" s="11">
        <v>46296.0</v>
      </c>
      <c r="B101" s="12">
        <v>46303.0</v>
      </c>
      <c r="C101" s="1" t="s">
        <v>75</v>
      </c>
      <c r="D101" s="6" t="s">
        <v>37</v>
      </c>
      <c r="E101" s="8">
        <v>59.99</v>
      </c>
      <c r="F101" s="8">
        <f t="shared" si="9"/>
        <v>20.9965</v>
      </c>
      <c r="G101" s="19">
        <v>0.65</v>
      </c>
    </row>
    <row r="102" ht="15.75" customHeight="1">
      <c r="A102" s="11">
        <v>46296.0</v>
      </c>
      <c r="B102" s="12">
        <v>46303.0</v>
      </c>
      <c r="C102" s="1" t="s">
        <v>75</v>
      </c>
      <c r="D102" s="6" t="s">
        <v>36</v>
      </c>
      <c r="E102" s="8">
        <v>69.99</v>
      </c>
      <c r="F102" s="8">
        <f t="shared" si="9"/>
        <v>24.4965</v>
      </c>
      <c r="G102" s="19">
        <v>0.65</v>
      </c>
    </row>
    <row r="103" ht="15.75" customHeight="1">
      <c r="A103" s="11">
        <v>46296.0</v>
      </c>
      <c r="B103" s="12">
        <v>46303.0</v>
      </c>
      <c r="C103" s="1" t="s">
        <v>75</v>
      </c>
      <c r="D103" s="13" t="s">
        <v>212</v>
      </c>
      <c r="E103" s="8">
        <v>29.99</v>
      </c>
      <c r="F103" s="8">
        <f t="shared" si="9"/>
        <v>19.4935</v>
      </c>
      <c r="G103" s="19">
        <v>0.35</v>
      </c>
    </row>
    <row r="104" ht="15.75" customHeight="1">
      <c r="A104" s="11">
        <v>46296.0</v>
      </c>
      <c r="B104" s="12">
        <v>46303.0</v>
      </c>
      <c r="C104" s="1" t="s">
        <v>75</v>
      </c>
      <c r="D104" s="13" t="s">
        <v>216</v>
      </c>
      <c r="E104" s="8">
        <v>11.99</v>
      </c>
      <c r="F104" s="8">
        <f t="shared" si="9"/>
        <v>8.9925</v>
      </c>
      <c r="G104" s="19">
        <v>0.25</v>
      </c>
    </row>
    <row r="105" ht="15.75" customHeight="1">
      <c r="A105" s="11">
        <v>46296.0</v>
      </c>
      <c r="B105" s="12">
        <v>46303.0</v>
      </c>
      <c r="C105" s="1" t="s">
        <v>75</v>
      </c>
      <c r="D105" s="6" t="s">
        <v>219</v>
      </c>
      <c r="E105" s="8">
        <v>2.99</v>
      </c>
      <c r="F105" s="8">
        <f t="shared" si="9"/>
        <v>2.2425</v>
      </c>
      <c r="G105" s="19">
        <v>0.25</v>
      </c>
    </row>
    <row r="106" ht="15.75" customHeight="1">
      <c r="A106" s="11">
        <v>46296.0</v>
      </c>
      <c r="B106" s="12">
        <v>46303.0</v>
      </c>
      <c r="C106" s="1" t="s">
        <v>75</v>
      </c>
      <c r="D106" s="6" t="s">
        <v>222</v>
      </c>
      <c r="E106" s="8">
        <v>2.99</v>
      </c>
      <c r="F106" s="8">
        <f t="shared" si="9"/>
        <v>2.2425</v>
      </c>
      <c r="G106" s="19">
        <v>0.25</v>
      </c>
    </row>
    <row r="107" ht="15.75" customHeight="1">
      <c r="A107" s="11">
        <v>46296.0</v>
      </c>
      <c r="B107" s="12">
        <v>46303.0</v>
      </c>
      <c r="C107" s="1" t="s">
        <v>75</v>
      </c>
      <c r="D107" s="55" t="s">
        <v>227</v>
      </c>
      <c r="E107" s="55">
        <v>6.99</v>
      </c>
      <c r="F107" s="8">
        <f t="shared" si="9"/>
        <v>4.893</v>
      </c>
      <c r="G107" s="19">
        <v>0.3</v>
      </c>
    </row>
    <row r="108" ht="15.75" customHeight="1">
      <c r="A108" s="11">
        <v>46296.0</v>
      </c>
      <c r="B108" s="12">
        <v>46303.0</v>
      </c>
      <c r="C108" s="1" t="s">
        <v>75</v>
      </c>
      <c r="D108" s="55" t="s">
        <v>231</v>
      </c>
      <c r="E108" s="55">
        <v>6.99</v>
      </c>
      <c r="F108" s="8">
        <f t="shared" si="9"/>
        <v>4.893</v>
      </c>
      <c r="G108" s="19">
        <v>0.3</v>
      </c>
    </row>
    <row r="109" ht="15.75" customHeight="1">
      <c r="A109" s="11">
        <v>46296.0</v>
      </c>
      <c r="B109" s="12">
        <v>46303.0</v>
      </c>
      <c r="C109" s="1" t="s">
        <v>75</v>
      </c>
      <c r="D109" s="55" t="s">
        <v>232</v>
      </c>
      <c r="E109" s="55">
        <v>6.99</v>
      </c>
      <c r="F109" s="8">
        <f t="shared" si="9"/>
        <v>5.2425</v>
      </c>
      <c r="G109" s="19">
        <v>0.25</v>
      </c>
    </row>
    <row r="110" ht="15.75" customHeight="1">
      <c r="A110" s="11">
        <v>46296.0</v>
      </c>
      <c r="B110" s="12">
        <v>46303.0</v>
      </c>
      <c r="C110" s="1" t="s">
        <v>75</v>
      </c>
      <c r="D110" s="55" t="s">
        <v>235</v>
      </c>
      <c r="E110" s="55">
        <v>6.99</v>
      </c>
      <c r="F110" s="8">
        <f t="shared" si="9"/>
        <v>5.592</v>
      </c>
      <c r="G110" s="19">
        <v>0.2</v>
      </c>
    </row>
    <row r="111" ht="15.75" customHeight="1">
      <c r="A111" s="24"/>
      <c r="B111" s="25"/>
      <c r="C111" s="26"/>
      <c r="D111" s="5"/>
      <c r="E111" s="5"/>
      <c r="F111" s="61"/>
      <c r="G111" s="62"/>
    </row>
    <row r="112" ht="15.75" customHeight="1">
      <c r="A112" s="24"/>
      <c r="B112" s="25"/>
      <c r="C112" s="26"/>
      <c r="D112" s="5"/>
      <c r="E112" s="5"/>
      <c r="F112" s="61"/>
      <c r="G112" s="62"/>
    </row>
    <row r="113" ht="15.75" customHeight="1">
      <c r="A113" s="24"/>
      <c r="B113" s="25"/>
      <c r="C113" s="26"/>
      <c r="D113" s="5"/>
      <c r="E113" s="5"/>
      <c r="F113" s="61"/>
      <c r="G113" s="62"/>
    </row>
    <row r="114" ht="15.75" customHeight="1"/>
    <row r="115" ht="15.75" customHeight="1">
      <c r="A115" s="39" t="s">
        <v>78</v>
      </c>
    </row>
    <row r="116" ht="15.75" customHeight="1">
      <c r="A116" s="43">
        <v>46030.0</v>
      </c>
      <c r="B116" s="43">
        <v>46043.0</v>
      </c>
      <c r="C116" s="44" t="s">
        <v>164</v>
      </c>
      <c r="D116" s="6" t="s">
        <v>318</v>
      </c>
      <c r="E116" s="8" t="s">
        <v>196</v>
      </c>
      <c r="F116" s="13" t="s">
        <v>230</v>
      </c>
      <c r="G116" s="46">
        <v>0.25</v>
      </c>
    </row>
    <row r="117" ht="15.75" customHeight="1">
      <c r="A117" s="43">
        <v>46030.0</v>
      </c>
      <c r="B117" s="43">
        <v>46043.0</v>
      </c>
      <c r="C117" s="44" t="s">
        <v>164</v>
      </c>
      <c r="D117" s="6" t="s">
        <v>319</v>
      </c>
      <c r="E117" s="8" t="s">
        <v>170</v>
      </c>
      <c r="F117" s="13" t="s">
        <v>223</v>
      </c>
      <c r="G117" s="46">
        <v>0.25</v>
      </c>
    </row>
    <row r="118" ht="15.75" customHeight="1">
      <c r="A118" s="43">
        <v>46030.0</v>
      </c>
      <c r="B118" s="43">
        <v>46043.0</v>
      </c>
      <c r="C118" s="44" t="s">
        <v>164</v>
      </c>
      <c r="D118" s="6" t="s">
        <v>320</v>
      </c>
      <c r="E118" s="8" t="s">
        <v>170</v>
      </c>
      <c r="F118" s="13" t="s">
        <v>173</v>
      </c>
      <c r="G118" s="46">
        <v>0.2</v>
      </c>
    </row>
    <row r="119" ht="15.75" customHeight="1">
      <c r="A119" s="43">
        <v>46030.0</v>
      </c>
      <c r="B119" s="43">
        <v>46043.0</v>
      </c>
      <c r="C119" s="44" t="s">
        <v>164</v>
      </c>
      <c r="D119" s="6" t="s">
        <v>318</v>
      </c>
      <c r="E119" s="8" t="s">
        <v>196</v>
      </c>
      <c r="F119" s="13" t="s">
        <v>230</v>
      </c>
      <c r="G119" s="46">
        <v>0.25</v>
      </c>
    </row>
    <row r="120" ht="15.75" customHeight="1">
      <c r="A120" s="43">
        <v>46030.0</v>
      </c>
      <c r="B120" s="43">
        <v>46043.0</v>
      </c>
      <c r="C120" s="44" t="s">
        <v>164</v>
      </c>
      <c r="D120" s="6" t="s">
        <v>319</v>
      </c>
      <c r="E120" s="8" t="s">
        <v>170</v>
      </c>
      <c r="F120" s="13" t="s">
        <v>223</v>
      </c>
      <c r="G120" s="46">
        <v>0.25</v>
      </c>
    </row>
    <row r="121" ht="15.75" customHeight="1">
      <c r="A121" s="43">
        <v>46030.0</v>
      </c>
      <c r="B121" s="43">
        <v>46043.0</v>
      </c>
      <c r="C121" s="44" t="s">
        <v>164</v>
      </c>
      <c r="D121" s="6" t="s">
        <v>320</v>
      </c>
      <c r="E121" s="8" t="s">
        <v>170</v>
      </c>
      <c r="F121" s="13" t="s">
        <v>173</v>
      </c>
      <c r="G121" s="46">
        <v>0.2</v>
      </c>
    </row>
    <row r="122" ht="15.75" customHeight="1">
      <c r="A122" s="43">
        <v>46035.0</v>
      </c>
      <c r="B122" s="43">
        <v>46041.0</v>
      </c>
      <c r="C122" s="44" t="s">
        <v>111</v>
      </c>
      <c r="D122" s="6" t="s">
        <v>321</v>
      </c>
      <c r="E122" s="8" t="s">
        <v>269</v>
      </c>
      <c r="F122" s="13" t="s">
        <v>184</v>
      </c>
      <c r="G122" s="46">
        <v>0.5</v>
      </c>
    </row>
    <row r="123" ht="15.75" customHeight="1">
      <c r="A123" s="43">
        <v>46035.0</v>
      </c>
      <c r="B123" s="43">
        <v>46041.0</v>
      </c>
      <c r="C123" s="44" t="s">
        <v>111</v>
      </c>
      <c r="D123" s="6" t="s">
        <v>321</v>
      </c>
      <c r="E123" s="8" t="s">
        <v>179</v>
      </c>
      <c r="F123" s="13" t="s">
        <v>237</v>
      </c>
      <c r="G123" s="46">
        <v>0.5</v>
      </c>
    </row>
    <row r="124" ht="15.75" customHeight="1">
      <c r="A124" s="43">
        <v>46056.0</v>
      </c>
      <c r="B124" s="43">
        <v>46069.0</v>
      </c>
      <c r="C124" s="44" t="s">
        <v>114</v>
      </c>
      <c r="D124" s="6" t="s">
        <v>322</v>
      </c>
      <c r="E124" s="8" t="s">
        <v>95</v>
      </c>
      <c r="F124" s="13" t="s">
        <v>137</v>
      </c>
      <c r="G124" s="46">
        <v>0.6</v>
      </c>
    </row>
    <row r="125" ht="15.75" customHeight="1">
      <c r="A125" s="43">
        <v>46056.0</v>
      </c>
      <c r="B125" s="43">
        <v>46069.0</v>
      </c>
      <c r="C125" s="44" t="s">
        <v>114</v>
      </c>
      <c r="D125" s="6" t="s">
        <v>322</v>
      </c>
      <c r="E125" s="8" t="s">
        <v>88</v>
      </c>
      <c r="F125" s="13" t="s">
        <v>280</v>
      </c>
      <c r="G125" s="46">
        <v>0.6</v>
      </c>
    </row>
    <row r="126" ht="15.75" customHeight="1">
      <c r="A126" s="43">
        <v>46077.0</v>
      </c>
      <c r="B126" s="43">
        <v>46083.0</v>
      </c>
      <c r="C126" s="44" t="s">
        <v>191</v>
      </c>
      <c r="D126" s="6" t="s">
        <v>318</v>
      </c>
      <c r="E126" s="8" t="s">
        <v>196</v>
      </c>
      <c r="F126" s="13" t="s">
        <v>230</v>
      </c>
      <c r="G126" s="46">
        <v>0.25</v>
      </c>
    </row>
    <row r="127" ht="15.75" customHeight="1">
      <c r="A127" s="43">
        <v>46077.0</v>
      </c>
      <c r="B127" s="43">
        <v>46083.0</v>
      </c>
      <c r="C127" s="44" t="s">
        <v>191</v>
      </c>
      <c r="D127" s="6" t="s">
        <v>319</v>
      </c>
      <c r="E127" s="8" t="s">
        <v>170</v>
      </c>
      <c r="F127" s="13" t="s">
        <v>223</v>
      </c>
      <c r="G127" s="46">
        <v>0.25</v>
      </c>
    </row>
    <row r="128" ht="15.75" customHeight="1">
      <c r="A128" s="43">
        <v>46077.0</v>
      </c>
      <c r="B128" s="43">
        <v>46083.0</v>
      </c>
      <c r="C128" s="44" t="s">
        <v>191</v>
      </c>
      <c r="D128" s="6" t="s">
        <v>320</v>
      </c>
      <c r="E128" s="8" t="s">
        <v>170</v>
      </c>
      <c r="F128" s="13" t="s">
        <v>173</v>
      </c>
      <c r="G128" s="46">
        <v>0.2</v>
      </c>
    </row>
    <row r="129" ht="15.75" customHeight="1">
      <c r="A129" s="43">
        <v>46077.0</v>
      </c>
      <c r="B129" s="43">
        <v>46083.0</v>
      </c>
      <c r="C129" s="44" t="s">
        <v>191</v>
      </c>
      <c r="D129" s="6" t="s">
        <v>318</v>
      </c>
      <c r="E129" s="8" t="s">
        <v>196</v>
      </c>
      <c r="F129" s="13" t="s">
        <v>230</v>
      </c>
      <c r="G129" s="46">
        <v>0.25</v>
      </c>
    </row>
    <row r="130" ht="15.75" customHeight="1">
      <c r="A130" s="43">
        <v>46077.0</v>
      </c>
      <c r="B130" s="43">
        <v>46083.0</v>
      </c>
      <c r="C130" s="44" t="s">
        <v>191</v>
      </c>
      <c r="D130" s="6" t="s">
        <v>319</v>
      </c>
      <c r="E130" s="8" t="s">
        <v>170</v>
      </c>
      <c r="F130" s="13" t="s">
        <v>223</v>
      </c>
      <c r="G130" s="46">
        <v>0.25</v>
      </c>
    </row>
    <row r="131" ht="15.75" customHeight="1">
      <c r="A131" s="43">
        <v>46077.0</v>
      </c>
      <c r="B131" s="43">
        <v>46083.0</v>
      </c>
      <c r="C131" s="44" t="s">
        <v>191</v>
      </c>
      <c r="D131" s="6" t="s">
        <v>320</v>
      </c>
      <c r="E131" s="8" t="s">
        <v>170</v>
      </c>
      <c r="F131" s="13" t="s">
        <v>173</v>
      </c>
      <c r="G131" s="46">
        <v>0.2</v>
      </c>
    </row>
    <row r="132" ht="15.75" customHeight="1">
      <c r="A132" s="43">
        <v>46086.0</v>
      </c>
      <c r="B132" s="43">
        <v>46092.0</v>
      </c>
      <c r="C132" s="44" t="s">
        <v>116</v>
      </c>
      <c r="D132" s="6" t="s">
        <v>321</v>
      </c>
      <c r="E132" s="8" t="s">
        <v>269</v>
      </c>
      <c r="F132" s="13" t="s">
        <v>323</v>
      </c>
      <c r="G132" s="46">
        <v>0.6</v>
      </c>
    </row>
    <row r="133" ht="15.75" customHeight="1">
      <c r="A133" s="43">
        <v>46086.0</v>
      </c>
      <c r="B133" s="43">
        <v>46092.0</v>
      </c>
      <c r="C133" s="44" t="s">
        <v>116</v>
      </c>
      <c r="D133" s="6" t="s">
        <v>321</v>
      </c>
      <c r="E133" s="8" t="s">
        <v>179</v>
      </c>
      <c r="F133" s="13" t="s">
        <v>185</v>
      </c>
      <c r="G133" s="46">
        <v>0.6</v>
      </c>
    </row>
    <row r="134" ht="15.75" customHeight="1">
      <c r="A134" s="43">
        <v>46107.0</v>
      </c>
      <c r="B134" s="43">
        <v>46113.0</v>
      </c>
      <c r="C134" s="44" t="s">
        <v>119</v>
      </c>
      <c r="D134" s="6" t="s">
        <v>322</v>
      </c>
      <c r="E134" s="8" t="s">
        <v>95</v>
      </c>
      <c r="F134" s="13" t="s">
        <v>137</v>
      </c>
      <c r="G134" s="46">
        <v>0.6</v>
      </c>
    </row>
    <row r="135" ht="15.75" customHeight="1">
      <c r="A135" s="43">
        <v>46107.0</v>
      </c>
      <c r="B135" s="43">
        <v>46113.0</v>
      </c>
      <c r="C135" s="44" t="s">
        <v>119</v>
      </c>
      <c r="D135" s="6" t="s">
        <v>322</v>
      </c>
      <c r="E135" s="8" t="s">
        <v>88</v>
      </c>
      <c r="F135" s="13" t="s">
        <v>280</v>
      </c>
      <c r="G135" s="46">
        <v>0.6</v>
      </c>
    </row>
    <row r="136" ht="15.75" customHeight="1">
      <c r="A136" s="43">
        <v>46114.0</v>
      </c>
      <c r="B136" s="43">
        <v>46127.0</v>
      </c>
      <c r="C136" s="44" t="s">
        <v>122</v>
      </c>
      <c r="D136" s="6" t="s">
        <v>322</v>
      </c>
      <c r="E136" s="8" t="s">
        <v>95</v>
      </c>
      <c r="F136" s="13" t="s">
        <v>137</v>
      </c>
      <c r="G136" s="46">
        <v>0.6</v>
      </c>
    </row>
    <row r="137" ht="15.75" customHeight="1">
      <c r="A137" s="43">
        <v>46114.0</v>
      </c>
      <c r="B137" s="43">
        <v>46127.0</v>
      </c>
      <c r="C137" s="44" t="s">
        <v>122</v>
      </c>
      <c r="D137" s="6" t="s">
        <v>322</v>
      </c>
      <c r="E137" s="8" t="s">
        <v>88</v>
      </c>
      <c r="F137" s="13" t="s">
        <v>280</v>
      </c>
      <c r="G137" s="46">
        <v>0.6</v>
      </c>
    </row>
    <row r="138" ht="15.75" customHeight="1">
      <c r="A138" s="43">
        <v>46128.0</v>
      </c>
      <c r="B138" s="43">
        <v>46141.0</v>
      </c>
      <c r="C138" s="44" t="s">
        <v>213</v>
      </c>
      <c r="D138" s="6" t="s">
        <v>318</v>
      </c>
      <c r="E138" s="8" t="s">
        <v>196</v>
      </c>
      <c r="F138" s="13" t="s">
        <v>230</v>
      </c>
      <c r="G138" s="46">
        <v>0.25</v>
      </c>
    </row>
    <row r="139" ht="15.75" customHeight="1">
      <c r="A139" s="43">
        <v>46128.0</v>
      </c>
      <c r="B139" s="43">
        <v>46141.0</v>
      </c>
      <c r="C139" s="44" t="s">
        <v>213</v>
      </c>
      <c r="D139" s="6" t="s">
        <v>319</v>
      </c>
      <c r="E139" s="8" t="s">
        <v>170</v>
      </c>
      <c r="F139" s="13" t="s">
        <v>223</v>
      </c>
      <c r="G139" s="46">
        <v>0.25</v>
      </c>
    </row>
    <row r="140" ht="15.75" customHeight="1">
      <c r="A140" s="43">
        <v>46128.0</v>
      </c>
      <c r="B140" s="43">
        <v>46141.0</v>
      </c>
      <c r="C140" s="44" t="s">
        <v>213</v>
      </c>
      <c r="D140" s="6" t="s">
        <v>320</v>
      </c>
      <c r="E140" s="8" t="s">
        <v>170</v>
      </c>
      <c r="F140" s="13" t="s">
        <v>173</v>
      </c>
      <c r="G140" s="46">
        <v>0.2</v>
      </c>
    </row>
    <row r="141" ht="15.75" customHeight="1">
      <c r="A141" s="43">
        <v>46128.0</v>
      </c>
      <c r="B141" s="43">
        <v>46141.0</v>
      </c>
      <c r="C141" s="44" t="s">
        <v>213</v>
      </c>
      <c r="D141" s="6" t="s">
        <v>318</v>
      </c>
      <c r="E141" s="8" t="s">
        <v>196</v>
      </c>
      <c r="F141" s="13" t="s">
        <v>230</v>
      </c>
      <c r="G141" s="46">
        <v>0.25</v>
      </c>
    </row>
    <row r="142" ht="15.75" customHeight="1">
      <c r="A142" s="43">
        <v>46128.0</v>
      </c>
      <c r="B142" s="43">
        <v>46141.0</v>
      </c>
      <c r="C142" s="44" t="s">
        <v>213</v>
      </c>
      <c r="D142" s="6" t="s">
        <v>319</v>
      </c>
      <c r="E142" s="8" t="s">
        <v>170</v>
      </c>
      <c r="F142" s="13" t="s">
        <v>223</v>
      </c>
      <c r="G142" s="46">
        <v>0.25</v>
      </c>
    </row>
    <row r="143" ht="15.75" customHeight="1">
      <c r="A143" s="43">
        <v>46128.0</v>
      </c>
      <c r="B143" s="43">
        <v>46141.0</v>
      </c>
      <c r="C143" s="44" t="s">
        <v>213</v>
      </c>
      <c r="D143" s="6" t="s">
        <v>320</v>
      </c>
      <c r="E143" s="8" t="s">
        <v>170</v>
      </c>
      <c r="F143" s="13" t="s">
        <v>173</v>
      </c>
      <c r="G143" s="46">
        <v>0.2</v>
      </c>
    </row>
    <row r="144" ht="15.75" customHeight="1">
      <c r="A144" s="43">
        <v>46126.0</v>
      </c>
      <c r="B144" s="43">
        <v>46132.0</v>
      </c>
      <c r="C144" s="44" t="s">
        <v>92</v>
      </c>
      <c r="D144" s="6" t="s">
        <v>321</v>
      </c>
      <c r="E144" s="8" t="s">
        <v>269</v>
      </c>
      <c r="F144" s="13" t="s">
        <v>323</v>
      </c>
      <c r="G144" s="46">
        <v>0.6</v>
      </c>
    </row>
    <row r="145" ht="15.75" customHeight="1">
      <c r="A145" s="43">
        <v>46126.0</v>
      </c>
      <c r="B145" s="43">
        <v>46132.0</v>
      </c>
      <c r="C145" s="44" t="s">
        <v>92</v>
      </c>
      <c r="D145" s="6" t="s">
        <v>321</v>
      </c>
      <c r="E145" s="8" t="s">
        <v>179</v>
      </c>
      <c r="F145" s="13" t="s">
        <v>185</v>
      </c>
      <c r="G145" s="46">
        <v>0.6</v>
      </c>
    </row>
    <row r="146" ht="15.75" customHeight="1">
      <c r="A146" s="43">
        <v>46161.0</v>
      </c>
      <c r="B146" s="43">
        <v>46167.0</v>
      </c>
      <c r="C146" s="44" t="s">
        <v>92</v>
      </c>
      <c r="D146" s="6" t="s">
        <v>321</v>
      </c>
      <c r="E146" s="8" t="s">
        <v>269</v>
      </c>
      <c r="F146" s="13" t="s">
        <v>323</v>
      </c>
      <c r="G146" s="46">
        <v>0.6</v>
      </c>
    </row>
    <row r="147" ht="15.75" customHeight="1">
      <c r="A147" s="43">
        <v>46161.0</v>
      </c>
      <c r="B147" s="43">
        <v>46167.0</v>
      </c>
      <c r="C147" s="44" t="s">
        <v>92</v>
      </c>
      <c r="D147" s="6" t="s">
        <v>321</v>
      </c>
      <c r="E147" s="8" t="s">
        <v>179</v>
      </c>
      <c r="F147" s="13" t="s">
        <v>185</v>
      </c>
      <c r="G147" s="46">
        <v>0.6</v>
      </c>
    </row>
    <row r="148" ht="15.75" customHeight="1">
      <c r="A148" s="43">
        <v>46170.0</v>
      </c>
      <c r="B148" s="43">
        <v>46183.0</v>
      </c>
      <c r="C148" s="44" t="s">
        <v>125</v>
      </c>
      <c r="D148" s="6" t="s">
        <v>322</v>
      </c>
      <c r="E148" s="8" t="s">
        <v>95</v>
      </c>
      <c r="F148" s="13" t="s">
        <v>137</v>
      </c>
      <c r="G148" s="46">
        <v>0.6</v>
      </c>
    </row>
    <row r="149" ht="15.75" customHeight="1">
      <c r="A149" s="43">
        <v>46170.0</v>
      </c>
      <c r="B149" s="43">
        <v>46183.0</v>
      </c>
      <c r="C149" s="44" t="s">
        <v>125</v>
      </c>
      <c r="D149" s="6" t="s">
        <v>322</v>
      </c>
      <c r="E149" s="8" t="s">
        <v>88</v>
      </c>
      <c r="F149" s="13" t="s">
        <v>280</v>
      </c>
      <c r="G149" s="46">
        <v>0.6</v>
      </c>
    </row>
    <row r="150" ht="15.75" customHeight="1">
      <c r="A150" s="43">
        <v>46184.0</v>
      </c>
      <c r="B150" s="43">
        <v>46190.0</v>
      </c>
      <c r="C150" s="44" t="s">
        <v>126</v>
      </c>
      <c r="D150" s="6" t="s">
        <v>318</v>
      </c>
      <c r="E150" s="8" t="s">
        <v>196</v>
      </c>
      <c r="F150" s="13" t="s">
        <v>230</v>
      </c>
      <c r="G150" s="46">
        <v>0.25</v>
      </c>
    </row>
    <row r="151" ht="15.75" customHeight="1">
      <c r="A151" s="43">
        <v>46184.0</v>
      </c>
      <c r="B151" s="43">
        <v>46190.0</v>
      </c>
      <c r="C151" s="44" t="s">
        <v>126</v>
      </c>
      <c r="D151" s="6" t="s">
        <v>319</v>
      </c>
      <c r="E151" s="8" t="s">
        <v>170</v>
      </c>
      <c r="F151" s="13" t="s">
        <v>223</v>
      </c>
      <c r="G151" s="46">
        <v>0.25</v>
      </c>
    </row>
    <row r="152" ht="15.75" customHeight="1">
      <c r="A152" s="43">
        <v>46184.0</v>
      </c>
      <c r="B152" s="43">
        <v>46190.0</v>
      </c>
      <c r="C152" s="44" t="s">
        <v>126</v>
      </c>
      <c r="D152" s="6" t="s">
        <v>320</v>
      </c>
      <c r="E152" s="8" t="s">
        <v>170</v>
      </c>
      <c r="F152" s="13">
        <v>5.99</v>
      </c>
      <c r="G152" s="46">
        <v>0.25</v>
      </c>
    </row>
    <row r="153" ht="15.75" customHeight="1">
      <c r="A153" s="43">
        <v>46184.0</v>
      </c>
      <c r="B153" s="43">
        <v>46190.0</v>
      </c>
      <c r="C153" s="44" t="s">
        <v>126</v>
      </c>
      <c r="D153" s="6" t="s">
        <v>318</v>
      </c>
      <c r="E153" s="8" t="s">
        <v>196</v>
      </c>
      <c r="F153" s="13" t="s">
        <v>230</v>
      </c>
      <c r="G153" s="46">
        <v>0.25</v>
      </c>
    </row>
    <row r="154" ht="15.75" customHeight="1">
      <c r="A154" s="43">
        <v>46184.0</v>
      </c>
      <c r="B154" s="43">
        <v>46190.0</v>
      </c>
      <c r="C154" s="44" t="s">
        <v>126</v>
      </c>
      <c r="D154" s="6" t="s">
        <v>319</v>
      </c>
      <c r="E154" s="8" t="s">
        <v>170</v>
      </c>
      <c r="F154" s="13" t="s">
        <v>223</v>
      </c>
      <c r="G154" s="46">
        <v>0.25</v>
      </c>
    </row>
    <row r="155" ht="15.75" customHeight="1">
      <c r="A155" s="43">
        <v>46184.0</v>
      </c>
      <c r="B155" s="43">
        <v>46190.0</v>
      </c>
      <c r="C155" s="44" t="s">
        <v>126</v>
      </c>
      <c r="D155" s="6" t="s">
        <v>320</v>
      </c>
      <c r="E155" s="8" t="s">
        <v>170</v>
      </c>
      <c r="F155" s="13">
        <v>5.99</v>
      </c>
      <c r="G155" s="46">
        <v>0.25</v>
      </c>
    </row>
    <row r="156" ht="15.75" customHeight="1">
      <c r="A156" s="43">
        <v>46191.0</v>
      </c>
      <c r="B156" s="43">
        <v>46204.0</v>
      </c>
      <c r="C156" s="44" t="s">
        <v>349</v>
      </c>
      <c r="D156" s="6" t="s">
        <v>321</v>
      </c>
      <c r="E156" s="8" t="s">
        <v>269</v>
      </c>
      <c r="F156" s="13" t="s">
        <v>323</v>
      </c>
      <c r="G156" s="46">
        <v>0.6</v>
      </c>
    </row>
    <row r="157" ht="15.75" customHeight="1">
      <c r="A157" s="43">
        <v>46191.0</v>
      </c>
      <c r="B157" s="43">
        <v>46204.0</v>
      </c>
      <c r="C157" s="44" t="s">
        <v>349</v>
      </c>
      <c r="D157" s="6" t="s">
        <v>321</v>
      </c>
      <c r="E157" s="8" t="s">
        <v>179</v>
      </c>
      <c r="F157" s="13" t="s">
        <v>185</v>
      </c>
      <c r="G157" s="46">
        <v>0.6</v>
      </c>
    </row>
    <row r="158" ht="15.75" customHeight="1">
      <c r="A158" s="43">
        <v>46210.0</v>
      </c>
      <c r="B158" s="43">
        <v>46216.0</v>
      </c>
      <c r="C158" s="44" t="s">
        <v>92</v>
      </c>
      <c r="D158" s="6" t="s">
        <v>352</v>
      </c>
      <c r="E158" s="8" t="s">
        <v>179</v>
      </c>
      <c r="F158" s="13" t="s">
        <v>185</v>
      </c>
      <c r="G158" s="46">
        <v>0.6</v>
      </c>
    </row>
    <row r="159" ht="15.75" customHeight="1">
      <c r="A159" s="43">
        <v>46210.0</v>
      </c>
      <c r="B159" s="43">
        <v>46216.0</v>
      </c>
      <c r="C159" s="44" t="s">
        <v>92</v>
      </c>
      <c r="D159" s="6" t="s">
        <v>354</v>
      </c>
      <c r="E159" s="8" t="s">
        <v>132</v>
      </c>
      <c r="F159" s="13" t="s">
        <v>355</v>
      </c>
      <c r="G159" s="46">
        <v>0.6</v>
      </c>
    </row>
    <row r="160" ht="15.75" customHeight="1">
      <c r="A160" s="43">
        <v>46210.0</v>
      </c>
      <c r="B160" s="43">
        <v>46216.0</v>
      </c>
      <c r="C160" s="44" t="s">
        <v>191</v>
      </c>
      <c r="D160" s="6" t="s">
        <v>356</v>
      </c>
      <c r="E160" s="8" t="s">
        <v>89</v>
      </c>
      <c r="F160" s="13" t="s">
        <v>358</v>
      </c>
      <c r="G160" s="46">
        <v>0.35</v>
      </c>
    </row>
    <row r="161" ht="15.75" customHeight="1">
      <c r="A161" s="43">
        <v>46210.0</v>
      </c>
      <c r="B161" s="43">
        <v>46216.0</v>
      </c>
      <c r="C161" s="44" t="s">
        <v>191</v>
      </c>
      <c r="D161" s="6" t="s">
        <v>359</v>
      </c>
      <c r="E161" s="8" t="s">
        <v>89</v>
      </c>
      <c r="F161" s="13" t="s">
        <v>358</v>
      </c>
      <c r="G161" s="46">
        <v>0.35</v>
      </c>
    </row>
    <row r="162" ht="15.75" customHeight="1">
      <c r="A162" s="43">
        <v>46212.0</v>
      </c>
      <c r="B162" s="43">
        <v>46219.0</v>
      </c>
      <c r="C162" s="44" t="s">
        <v>86</v>
      </c>
      <c r="D162" s="6" t="s">
        <v>322</v>
      </c>
      <c r="E162" s="8" t="s">
        <v>95</v>
      </c>
      <c r="F162" s="13" t="s">
        <v>137</v>
      </c>
      <c r="G162" s="46">
        <v>0.6</v>
      </c>
    </row>
    <row r="163" ht="15.75" customHeight="1">
      <c r="A163" s="43">
        <v>46212.0</v>
      </c>
      <c r="B163" s="43">
        <v>46219.0</v>
      </c>
      <c r="C163" s="44" t="s">
        <v>86</v>
      </c>
      <c r="D163" s="6" t="s">
        <v>322</v>
      </c>
      <c r="E163" s="8" t="s">
        <v>88</v>
      </c>
      <c r="F163" s="13" t="s">
        <v>280</v>
      </c>
      <c r="G163" s="46">
        <v>0.6</v>
      </c>
    </row>
    <row r="164" ht="15.75" customHeight="1">
      <c r="A164" s="43">
        <v>46217.0</v>
      </c>
      <c r="B164" s="43">
        <v>46223.0</v>
      </c>
      <c r="C164" s="44" t="s">
        <v>191</v>
      </c>
      <c r="D164" s="6" t="s">
        <v>360</v>
      </c>
      <c r="E164" s="8" t="s">
        <v>325</v>
      </c>
      <c r="F164" s="13" t="s">
        <v>361</v>
      </c>
      <c r="G164" s="46">
        <v>0.25</v>
      </c>
    </row>
    <row r="165" ht="15.75" customHeight="1">
      <c r="A165" s="43">
        <v>46217.0</v>
      </c>
      <c r="B165" s="43">
        <v>46223.0</v>
      </c>
      <c r="C165" s="44" t="s">
        <v>191</v>
      </c>
      <c r="D165" s="6" t="s">
        <v>362</v>
      </c>
      <c r="E165" s="8" t="s">
        <v>325</v>
      </c>
      <c r="F165" s="13" t="s">
        <v>361</v>
      </c>
      <c r="G165" s="46">
        <v>0.25</v>
      </c>
    </row>
    <row r="166" ht="15.75" customHeight="1">
      <c r="A166" s="43">
        <v>46217.0</v>
      </c>
      <c r="B166" s="43">
        <v>46223.0</v>
      </c>
      <c r="C166" s="44" t="s">
        <v>191</v>
      </c>
      <c r="D166" s="6" t="s">
        <v>363</v>
      </c>
      <c r="E166" s="8" t="s">
        <v>223</v>
      </c>
      <c r="F166" s="13" t="s">
        <v>364</v>
      </c>
      <c r="G166" s="46">
        <v>0.25</v>
      </c>
    </row>
    <row r="167" ht="15.75" customHeight="1">
      <c r="A167" s="43">
        <v>46217.0</v>
      </c>
      <c r="B167" s="43">
        <v>46223.0</v>
      </c>
      <c r="C167" s="44" t="s">
        <v>191</v>
      </c>
      <c r="D167" s="6" t="s">
        <v>365</v>
      </c>
      <c r="E167" s="8" t="s">
        <v>223</v>
      </c>
      <c r="F167" s="13" t="s">
        <v>364</v>
      </c>
      <c r="G167" s="46">
        <v>0.25</v>
      </c>
    </row>
    <row r="168" ht="15.75" customHeight="1">
      <c r="A168" s="43">
        <v>46217.0</v>
      </c>
      <c r="B168" s="43">
        <v>46223.0</v>
      </c>
      <c r="C168" s="44" t="s">
        <v>191</v>
      </c>
      <c r="D168" s="6" t="s">
        <v>366</v>
      </c>
      <c r="E168" s="8" t="s">
        <v>131</v>
      </c>
      <c r="F168" s="13" t="s">
        <v>367</v>
      </c>
      <c r="G168" s="46">
        <v>0.25</v>
      </c>
    </row>
    <row r="169" ht="15.75" customHeight="1">
      <c r="A169" s="43">
        <v>46217.0</v>
      </c>
      <c r="B169" s="43">
        <v>46223.0</v>
      </c>
      <c r="C169" s="44" t="s">
        <v>191</v>
      </c>
      <c r="D169" s="6" t="s">
        <v>368</v>
      </c>
      <c r="E169" s="8" t="s">
        <v>131</v>
      </c>
      <c r="F169" s="13" t="s">
        <v>367</v>
      </c>
      <c r="G169" s="46">
        <v>0.25</v>
      </c>
    </row>
    <row r="170" ht="15.75" customHeight="1">
      <c r="A170" s="43">
        <v>46217.0</v>
      </c>
      <c r="B170" s="43">
        <v>46223.0</v>
      </c>
      <c r="C170" s="44" t="s">
        <v>191</v>
      </c>
      <c r="D170" s="6" t="s">
        <v>369</v>
      </c>
      <c r="E170" s="8" t="s">
        <v>325</v>
      </c>
      <c r="F170" s="13" t="s">
        <v>361</v>
      </c>
      <c r="G170" s="46">
        <v>0.25</v>
      </c>
    </row>
    <row r="171" ht="15.75" customHeight="1">
      <c r="A171" s="43">
        <v>46217.0</v>
      </c>
      <c r="B171" s="43">
        <v>46223.0</v>
      </c>
      <c r="C171" s="44" t="s">
        <v>191</v>
      </c>
      <c r="D171" s="6" t="s">
        <v>370</v>
      </c>
      <c r="E171" s="8" t="s">
        <v>325</v>
      </c>
      <c r="F171" s="13" t="s">
        <v>361</v>
      </c>
      <c r="G171" s="46">
        <v>0.25</v>
      </c>
    </row>
    <row r="172" ht="15.75" customHeight="1">
      <c r="A172" s="43">
        <v>46218.0</v>
      </c>
      <c r="B172" s="43">
        <v>46233.0</v>
      </c>
      <c r="C172" s="44" t="s">
        <v>90</v>
      </c>
      <c r="D172" s="6" t="s">
        <v>322</v>
      </c>
      <c r="E172" s="8" t="s">
        <v>95</v>
      </c>
      <c r="F172" s="13" t="s">
        <v>137</v>
      </c>
      <c r="G172" s="46">
        <v>0.6</v>
      </c>
    </row>
    <row r="173" ht="15.75" customHeight="1">
      <c r="A173" s="43">
        <v>46218.0</v>
      </c>
      <c r="B173" s="43">
        <v>46233.0</v>
      </c>
      <c r="C173" s="44" t="s">
        <v>90</v>
      </c>
      <c r="D173" s="6" t="s">
        <v>322</v>
      </c>
      <c r="E173" s="8" t="s">
        <v>88</v>
      </c>
      <c r="F173" s="13" t="s">
        <v>280</v>
      </c>
      <c r="G173" s="46">
        <v>0.6</v>
      </c>
    </row>
    <row r="174" ht="15.75" customHeight="1">
      <c r="A174" s="43">
        <v>46233.0</v>
      </c>
      <c r="B174" s="43">
        <v>46247.0</v>
      </c>
      <c r="C174" s="44" t="s">
        <v>135</v>
      </c>
      <c r="D174" s="6" t="s">
        <v>318</v>
      </c>
      <c r="E174" s="8" t="s">
        <v>196</v>
      </c>
      <c r="F174" s="13" t="s">
        <v>230</v>
      </c>
      <c r="G174" s="46">
        <v>0.25</v>
      </c>
    </row>
    <row r="175" ht="15.75" customHeight="1">
      <c r="A175" s="43">
        <v>46233.0</v>
      </c>
      <c r="B175" s="43">
        <v>46247.0</v>
      </c>
      <c r="C175" s="44" t="s">
        <v>135</v>
      </c>
      <c r="D175" s="6" t="s">
        <v>318</v>
      </c>
      <c r="E175" s="8" t="s">
        <v>196</v>
      </c>
      <c r="F175" s="13" t="s">
        <v>230</v>
      </c>
      <c r="G175" s="46">
        <v>0.25</v>
      </c>
    </row>
    <row r="176" ht="15.75" customHeight="1">
      <c r="A176" s="43">
        <v>46233.0</v>
      </c>
      <c r="B176" s="43">
        <v>46247.0</v>
      </c>
      <c r="C176" s="44" t="s">
        <v>135</v>
      </c>
      <c r="D176" s="6" t="s">
        <v>319</v>
      </c>
      <c r="E176" s="8" t="s">
        <v>170</v>
      </c>
      <c r="F176" s="13" t="s">
        <v>223</v>
      </c>
      <c r="G176" s="46">
        <v>0.25</v>
      </c>
    </row>
    <row r="177" ht="15.75" customHeight="1">
      <c r="A177" s="43">
        <v>46233.0</v>
      </c>
      <c r="B177" s="43">
        <v>46247.0</v>
      </c>
      <c r="C177" s="44" t="s">
        <v>135</v>
      </c>
      <c r="D177" s="6" t="s">
        <v>319</v>
      </c>
      <c r="E177" s="8" t="s">
        <v>170</v>
      </c>
      <c r="F177" s="13" t="s">
        <v>223</v>
      </c>
      <c r="G177" s="46">
        <v>0.25</v>
      </c>
    </row>
    <row r="178" ht="15.75" customHeight="1">
      <c r="A178" s="43">
        <v>46233.0</v>
      </c>
      <c r="B178" s="43">
        <v>46247.0</v>
      </c>
      <c r="C178" s="44" t="s">
        <v>135</v>
      </c>
      <c r="D178" s="6" t="s">
        <v>320</v>
      </c>
      <c r="E178" s="8" t="s">
        <v>170</v>
      </c>
      <c r="F178" s="13" t="s">
        <v>223</v>
      </c>
      <c r="G178" s="46">
        <v>0.25</v>
      </c>
    </row>
    <row r="179" ht="15.75" customHeight="1">
      <c r="A179" s="43">
        <v>46233.0</v>
      </c>
      <c r="B179" s="43">
        <v>46247.0</v>
      </c>
      <c r="C179" s="44" t="s">
        <v>135</v>
      </c>
      <c r="D179" s="6" t="s">
        <v>320</v>
      </c>
      <c r="E179" s="8" t="s">
        <v>170</v>
      </c>
      <c r="F179" s="13" t="s">
        <v>223</v>
      </c>
      <c r="G179" s="46">
        <v>0.25</v>
      </c>
    </row>
    <row r="180" ht="15.75" customHeight="1">
      <c r="A180" s="43">
        <v>46233.0</v>
      </c>
      <c r="B180" s="43">
        <v>46247.0</v>
      </c>
      <c r="C180" s="44" t="s">
        <v>135</v>
      </c>
      <c r="D180" s="6" t="s">
        <v>371</v>
      </c>
      <c r="E180" s="8" t="s">
        <v>131</v>
      </c>
      <c r="F180" s="13" t="s">
        <v>372</v>
      </c>
      <c r="G180" s="46">
        <v>0.2</v>
      </c>
    </row>
    <row r="181" ht="15.75" customHeight="1">
      <c r="A181" s="43">
        <v>46233.0</v>
      </c>
      <c r="B181" s="43">
        <v>46247.0</v>
      </c>
      <c r="C181" s="44" t="s">
        <v>135</v>
      </c>
      <c r="D181" s="6" t="s">
        <v>373</v>
      </c>
      <c r="E181" s="8" t="s">
        <v>131</v>
      </c>
      <c r="F181" s="13" t="s">
        <v>372</v>
      </c>
      <c r="G181" s="46">
        <v>0.2</v>
      </c>
    </row>
    <row r="182" ht="15.75" customHeight="1">
      <c r="A182" s="43">
        <v>46238.0</v>
      </c>
      <c r="B182" s="43">
        <v>46244.0</v>
      </c>
      <c r="C182" s="44" t="s">
        <v>92</v>
      </c>
      <c r="D182" s="6" t="s">
        <v>321</v>
      </c>
      <c r="E182" s="8" t="s">
        <v>269</v>
      </c>
      <c r="F182" s="13" t="s">
        <v>323</v>
      </c>
      <c r="G182" s="46">
        <v>0.6</v>
      </c>
    </row>
    <row r="183" ht="15.75" customHeight="1">
      <c r="A183" s="43">
        <v>46238.0</v>
      </c>
      <c r="B183" s="43">
        <v>46244.0</v>
      </c>
      <c r="C183" s="44" t="s">
        <v>92</v>
      </c>
      <c r="D183" s="6" t="s">
        <v>321</v>
      </c>
      <c r="E183" s="8" t="s">
        <v>179</v>
      </c>
      <c r="F183" s="13" t="s">
        <v>185</v>
      </c>
      <c r="G183" s="46">
        <v>0.6</v>
      </c>
    </row>
    <row r="184" ht="15.75" customHeight="1">
      <c r="A184" s="43">
        <v>46259.0</v>
      </c>
      <c r="B184" s="43">
        <v>46265.0</v>
      </c>
      <c r="C184" s="44" t="s">
        <v>191</v>
      </c>
      <c r="D184" s="6" t="s">
        <v>363</v>
      </c>
      <c r="E184" s="8" t="s">
        <v>223</v>
      </c>
      <c r="F184" s="13" t="s">
        <v>364</v>
      </c>
      <c r="G184" s="46">
        <v>0.25</v>
      </c>
    </row>
    <row r="185" ht="15.75" customHeight="1">
      <c r="A185" s="43">
        <v>46259.0</v>
      </c>
      <c r="B185" s="43">
        <v>46265.0</v>
      </c>
      <c r="C185" s="44" t="s">
        <v>191</v>
      </c>
      <c r="D185" s="6" t="s">
        <v>365</v>
      </c>
      <c r="E185" s="8" t="s">
        <v>223</v>
      </c>
      <c r="F185" s="13" t="s">
        <v>364</v>
      </c>
      <c r="G185" s="46">
        <v>0.25</v>
      </c>
    </row>
    <row r="186" ht="15.75" customHeight="1">
      <c r="A186" s="43">
        <v>46259.0</v>
      </c>
      <c r="B186" s="43">
        <v>46265.0</v>
      </c>
      <c r="C186" s="44" t="s">
        <v>191</v>
      </c>
      <c r="D186" s="6" t="s">
        <v>366</v>
      </c>
      <c r="E186" s="8" t="s">
        <v>131</v>
      </c>
      <c r="F186" s="13" t="s">
        <v>367</v>
      </c>
      <c r="G186" s="46">
        <v>0.25</v>
      </c>
    </row>
    <row r="187" ht="15.75" customHeight="1">
      <c r="A187" s="43">
        <v>46259.0</v>
      </c>
      <c r="B187" s="43">
        <v>46265.0</v>
      </c>
      <c r="C187" s="44" t="s">
        <v>191</v>
      </c>
      <c r="D187" s="6" t="s">
        <v>368</v>
      </c>
      <c r="E187" s="8" t="s">
        <v>131</v>
      </c>
      <c r="F187" s="13" t="s">
        <v>367</v>
      </c>
      <c r="G187" s="46">
        <v>0.25</v>
      </c>
    </row>
    <row r="188" ht="15.75" customHeight="1">
      <c r="A188" s="43">
        <v>46259.0</v>
      </c>
      <c r="B188" s="43">
        <v>46265.0</v>
      </c>
      <c r="C188" s="44" t="s">
        <v>191</v>
      </c>
      <c r="D188" s="6" t="s">
        <v>369</v>
      </c>
      <c r="E188" s="8" t="s">
        <v>325</v>
      </c>
      <c r="F188" s="13" t="s">
        <v>361</v>
      </c>
      <c r="G188" s="46">
        <v>0.25</v>
      </c>
    </row>
    <row r="189" ht="15.75" customHeight="1">
      <c r="A189" s="43">
        <v>46259.0</v>
      </c>
      <c r="B189" s="43">
        <v>46265.0</v>
      </c>
      <c r="C189" s="44" t="s">
        <v>191</v>
      </c>
      <c r="D189" s="6" t="s">
        <v>370</v>
      </c>
      <c r="E189" s="8" t="s">
        <v>325</v>
      </c>
      <c r="F189" s="13" t="s">
        <v>361</v>
      </c>
      <c r="G189" s="46">
        <v>0.25</v>
      </c>
    </row>
    <row r="190" ht="15.75" customHeight="1">
      <c r="A190" s="43">
        <v>46259.0</v>
      </c>
      <c r="B190" s="43">
        <v>46266.0</v>
      </c>
      <c r="C190" s="44" t="s">
        <v>290</v>
      </c>
      <c r="D190" s="6" t="s">
        <v>352</v>
      </c>
      <c r="E190" s="8" t="s">
        <v>179</v>
      </c>
      <c r="F190" s="13" t="s">
        <v>185</v>
      </c>
      <c r="G190" s="46">
        <v>0.6</v>
      </c>
    </row>
    <row r="191" ht="15.75" customHeight="1">
      <c r="A191" s="43">
        <v>46259.0</v>
      </c>
      <c r="B191" s="43">
        <v>46266.0</v>
      </c>
      <c r="C191" s="44" t="s">
        <v>290</v>
      </c>
      <c r="D191" s="6" t="s">
        <v>354</v>
      </c>
      <c r="E191" s="8" t="s">
        <v>132</v>
      </c>
      <c r="F191" s="13" t="s">
        <v>355</v>
      </c>
      <c r="G191" s="46">
        <v>0.6</v>
      </c>
    </row>
    <row r="192" ht="15.75" customHeight="1">
      <c r="A192" s="43">
        <v>46268.0</v>
      </c>
      <c r="B192" s="43">
        <v>46275.0</v>
      </c>
      <c r="C192" s="44" t="s">
        <v>294</v>
      </c>
      <c r="D192" s="6" t="s">
        <v>356</v>
      </c>
      <c r="E192" s="8" t="s">
        <v>89</v>
      </c>
      <c r="F192" s="13" t="s">
        <v>358</v>
      </c>
      <c r="G192" s="46">
        <v>0.35</v>
      </c>
    </row>
    <row r="193" ht="15.75" customHeight="1">
      <c r="A193" s="43">
        <v>46268.0</v>
      </c>
      <c r="B193" s="43">
        <v>46275.0</v>
      </c>
      <c r="C193" s="44" t="s">
        <v>294</v>
      </c>
      <c r="D193" s="6" t="s">
        <v>359</v>
      </c>
      <c r="E193" s="8" t="s">
        <v>89</v>
      </c>
      <c r="F193" s="13" t="s">
        <v>358</v>
      </c>
      <c r="G193" s="46">
        <v>0.35</v>
      </c>
    </row>
    <row r="194" ht="15.75" customHeight="1">
      <c r="A194" s="43">
        <v>46275.0</v>
      </c>
      <c r="B194" s="43">
        <v>46289.0</v>
      </c>
      <c r="C194" s="44" t="s">
        <v>98</v>
      </c>
      <c r="D194" s="6" t="s">
        <v>322</v>
      </c>
      <c r="E194" s="8" t="s">
        <v>95</v>
      </c>
      <c r="F194" s="13" t="s">
        <v>304</v>
      </c>
      <c r="G194" s="46">
        <v>0.65</v>
      </c>
    </row>
    <row r="195" ht="15.75" customHeight="1">
      <c r="A195" s="43">
        <v>46275.0</v>
      </c>
      <c r="B195" s="43">
        <v>46289.0</v>
      </c>
      <c r="C195" s="44" t="s">
        <v>98</v>
      </c>
      <c r="D195" s="6" t="s">
        <v>322</v>
      </c>
      <c r="E195" s="8" t="s">
        <v>88</v>
      </c>
      <c r="F195" s="13" t="s">
        <v>315</v>
      </c>
      <c r="G195" s="46">
        <v>0.65</v>
      </c>
    </row>
    <row r="196" ht="15.75" customHeight="1">
      <c r="A196" s="43">
        <v>46275.0</v>
      </c>
      <c r="B196" s="43">
        <v>46289.0</v>
      </c>
      <c r="C196" s="44" t="s">
        <v>98</v>
      </c>
      <c r="D196" s="6" t="s">
        <v>321</v>
      </c>
      <c r="E196" s="8" t="s">
        <v>269</v>
      </c>
      <c r="F196" s="13" t="s">
        <v>323</v>
      </c>
      <c r="G196" s="46">
        <v>0.6</v>
      </c>
    </row>
    <row r="197" ht="15.75" customHeight="1">
      <c r="A197" s="43">
        <v>46275.0</v>
      </c>
      <c r="B197" s="43">
        <v>46289.0</v>
      </c>
      <c r="C197" s="44" t="s">
        <v>98</v>
      </c>
      <c r="D197" s="6" t="s">
        <v>321</v>
      </c>
      <c r="E197" s="8" t="s">
        <v>179</v>
      </c>
      <c r="F197" s="13" t="s">
        <v>185</v>
      </c>
      <c r="G197" s="46">
        <v>0.6</v>
      </c>
    </row>
    <row r="198" ht="15.75" customHeight="1">
      <c r="A198" s="43">
        <v>46301.0</v>
      </c>
      <c r="B198" s="43">
        <v>46307.0</v>
      </c>
      <c r="C198" s="44" t="s">
        <v>191</v>
      </c>
      <c r="D198" s="6" t="s">
        <v>363</v>
      </c>
      <c r="E198" s="8" t="s">
        <v>223</v>
      </c>
      <c r="F198" s="13" t="s">
        <v>364</v>
      </c>
      <c r="G198" s="46">
        <v>0.25</v>
      </c>
    </row>
    <row r="199" ht="15.75" customHeight="1">
      <c r="A199" s="43">
        <v>46301.0</v>
      </c>
      <c r="B199" s="43">
        <v>46307.0</v>
      </c>
      <c r="C199" s="44" t="s">
        <v>191</v>
      </c>
      <c r="D199" s="6" t="s">
        <v>365</v>
      </c>
      <c r="E199" s="8" t="s">
        <v>223</v>
      </c>
      <c r="F199" s="13" t="s">
        <v>364</v>
      </c>
      <c r="G199" s="46">
        <v>0.25</v>
      </c>
    </row>
    <row r="200" ht="15.75" customHeight="1">
      <c r="A200" s="43">
        <v>46301.0</v>
      </c>
      <c r="B200" s="43">
        <v>46307.0</v>
      </c>
      <c r="C200" s="44" t="s">
        <v>191</v>
      </c>
      <c r="D200" s="6" t="s">
        <v>366</v>
      </c>
      <c r="E200" s="8" t="s">
        <v>131</v>
      </c>
      <c r="F200" s="13" t="s">
        <v>367</v>
      </c>
      <c r="G200" s="46">
        <v>0.25</v>
      </c>
    </row>
    <row r="201" ht="15.75" customHeight="1">
      <c r="A201" s="43">
        <v>46301.0</v>
      </c>
      <c r="B201" s="43">
        <v>46307.0</v>
      </c>
      <c r="C201" s="44" t="s">
        <v>191</v>
      </c>
      <c r="D201" s="6" t="s">
        <v>368</v>
      </c>
      <c r="E201" s="8" t="s">
        <v>131</v>
      </c>
      <c r="F201" s="13" t="s">
        <v>367</v>
      </c>
      <c r="G201" s="46">
        <v>0.25</v>
      </c>
    </row>
    <row r="202" ht="15.75" customHeight="1">
      <c r="A202" s="43">
        <v>46301.0</v>
      </c>
      <c r="B202" s="43">
        <v>46307.0</v>
      </c>
      <c r="C202" s="44" t="s">
        <v>191</v>
      </c>
      <c r="D202" s="6" t="s">
        <v>369</v>
      </c>
      <c r="E202" s="8" t="s">
        <v>325</v>
      </c>
      <c r="F202" s="13" t="s">
        <v>361</v>
      </c>
      <c r="G202" s="46">
        <v>0.25</v>
      </c>
    </row>
    <row r="203" ht="15.75" customHeight="1">
      <c r="A203" s="43">
        <v>46301.0</v>
      </c>
      <c r="B203" s="43">
        <v>46307.0</v>
      </c>
      <c r="C203" s="44" t="s">
        <v>191</v>
      </c>
      <c r="D203" s="6" t="s">
        <v>370</v>
      </c>
      <c r="E203" s="8" t="s">
        <v>325</v>
      </c>
      <c r="F203" s="13" t="s">
        <v>361</v>
      </c>
      <c r="G203" s="46">
        <v>0.25</v>
      </c>
    </row>
    <row r="204" ht="15.75" customHeight="1">
      <c r="A204" s="43">
        <v>46303.0</v>
      </c>
      <c r="B204" s="43">
        <v>46310.0</v>
      </c>
      <c r="C204" s="44" t="s">
        <v>374</v>
      </c>
      <c r="D204" s="6" t="s">
        <v>352</v>
      </c>
      <c r="E204" s="8" t="s">
        <v>179</v>
      </c>
      <c r="F204" s="13" t="s">
        <v>206</v>
      </c>
      <c r="G204" s="46">
        <v>0.65</v>
      </c>
    </row>
    <row r="205" ht="15.75" customHeight="1">
      <c r="A205" s="43">
        <v>46303.0</v>
      </c>
      <c r="B205" s="43">
        <v>46310.0</v>
      </c>
      <c r="C205" s="44" t="s">
        <v>374</v>
      </c>
      <c r="D205" s="6" t="s">
        <v>354</v>
      </c>
      <c r="E205" s="8" t="s">
        <v>132</v>
      </c>
      <c r="F205" s="13" t="s">
        <v>289</v>
      </c>
      <c r="G205" s="46">
        <v>0.65</v>
      </c>
    </row>
    <row r="206" ht="15.75" customHeight="1">
      <c r="A206" s="43">
        <v>46310.0</v>
      </c>
      <c r="B206" s="43">
        <v>46317.0</v>
      </c>
      <c r="C206" s="44" t="s">
        <v>298</v>
      </c>
      <c r="D206" s="6" t="s">
        <v>318</v>
      </c>
      <c r="E206" s="8" t="s">
        <v>196</v>
      </c>
      <c r="F206" s="13" t="s">
        <v>228</v>
      </c>
      <c r="G206" s="46">
        <v>0.3</v>
      </c>
    </row>
    <row r="207" ht="15.75" customHeight="1">
      <c r="A207" s="43">
        <v>46310.0</v>
      </c>
      <c r="B207" s="43">
        <v>46317.0</v>
      </c>
      <c r="C207" s="44" t="s">
        <v>298</v>
      </c>
      <c r="D207" s="6" t="s">
        <v>318</v>
      </c>
      <c r="E207" s="8" t="s">
        <v>196</v>
      </c>
      <c r="F207" s="13" t="s">
        <v>228</v>
      </c>
      <c r="G207" s="46">
        <v>0.3</v>
      </c>
    </row>
    <row r="208" ht="15.75" customHeight="1">
      <c r="A208" s="43">
        <v>46310.0</v>
      </c>
      <c r="B208" s="43">
        <v>46317.0</v>
      </c>
      <c r="C208" s="44" t="s">
        <v>298</v>
      </c>
      <c r="D208" s="6" t="s">
        <v>319</v>
      </c>
      <c r="E208" s="8" t="s">
        <v>170</v>
      </c>
      <c r="F208" s="13" t="s">
        <v>242</v>
      </c>
      <c r="G208" s="46">
        <v>0.3</v>
      </c>
    </row>
    <row r="209" ht="15.75" customHeight="1">
      <c r="A209" s="43">
        <v>46310.0</v>
      </c>
      <c r="B209" s="43">
        <v>46317.0</v>
      </c>
      <c r="C209" s="44" t="s">
        <v>298</v>
      </c>
      <c r="D209" s="6" t="s">
        <v>319</v>
      </c>
      <c r="E209" s="8" t="s">
        <v>170</v>
      </c>
      <c r="F209" s="13" t="s">
        <v>242</v>
      </c>
      <c r="G209" s="46">
        <v>0.3</v>
      </c>
    </row>
    <row r="210" ht="15.75" customHeight="1">
      <c r="A210" s="43">
        <v>46310.0</v>
      </c>
      <c r="B210" s="43">
        <v>46317.0</v>
      </c>
      <c r="C210" s="44" t="s">
        <v>298</v>
      </c>
      <c r="D210" s="6" t="s">
        <v>320</v>
      </c>
      <c r="E210" s="8" t="s">
        <v>170</v>
      </c>
      <c r="F210" s="13" t="s">
        <v>242</v>
      </c>
      <c r="G210" s="46">
        <v>0.3</v>
      </c>
    </row>
    <row r="211" ht="15.75" customHeight="1">
      <c r="A211" s="43">
        <v>46310.0</v>
      </c>
      <c r="B211" s="43">
        <v>46317.0</v>
      </c>
      <c r="C211" s="44" t="s">
        <v>298</v>
      </c>
      <c r="D211" s="6" t="s">
        <v>320</v>
      </c>
      <c r="E211" s="8" t="s">
        <v>170</v>
      </c>
      <c r="F211" s="13" t="s">
        <v>242</v>
      </c>
      <c r="G211" s="46">
        <v>0.3</v>
      </c>
    </row>
    <row r="212" ht="15.75" customHeight="1">
      <c r="A212" s="43">
        <v>46310.0</v>
      </c>
      <c r="B212" s="43">
        <v>46317.0</v>
      </c>
      <c r="C212" s="44" t="s">
        <v>298</v>
      </c>
      <c r="D212" s="6" t="s">
        <v>371</v>
      </c>
      <c r="E212" s="8" t="s">
        <v>131</v>
      </c>
      <c r="F212" s="13" t="s">
        <v>372</v>
      </c>
      <c r="G212" s="46">
        <v>0.2</v>
      </c>
    </row>
    <row r="213" ht="15.75" customHeight="1">
      <c r="A213" s="43">
        <v>46310.0</v>
      </c>
      <c r="B213" s="43">
        <v>46317.0</v>
      </c>
      <c r="C213" s="44" t="s">
        <v>298</v>
      </c>
      <c r="D213" s="6" t="s">
        <v>373</v>
      </c>
      <c r="E213" s="8" t="s">
        <v>131</v>
      </c>
      <c r="F213" s="13" t="s">
        <v>372</v>
      </c>
      <c r="G213" s="46">
        <v>0.2</v>
      </c>
    </row>
    <row r="214" ht="15.75" customHeight="1">
      <c r="A214" s="43">
        <v>46315.0</v>
      </c>
      <c r="B214" s="43">
        <v>46321.0</v>
      </c>
      <c r="C214" s="44" t="s">
        <v>191</v>
      </c>
      <c r="D214" s="6" t="s">
        <v>356</v>
      </c>
      <c r="E214" s="8" t="s">
        <v>89</v>
      </c>
      <c r="F214" s="13" t="s">
        <v>358</v>
      </c>
      <c r="G214" s="46">
        <v>0.35</v>
      </c>
    </row>
    <row r="215" ht="15.75" customHeight="1">
      <c r="A215" s="43">
        <v>46315.0</v>
      </c>
      <c r="B215" s="43">
        <v>46321.0</v>
      </c>
      <c r="C215" s="44" t="s">
        <v>191</v>
      </c>
      <c r="D215" s="6" t="s">
        <v>359</v>
      </c>
      <c r="E215" s="8" t="s">
        <v>89</v>
      </c>
      <c r="F215" s="13" t="s">
        <v>358</v>
      </c>
      <c r="G215" s="46">
        <v>0.35</v>
      </c>
    </row>
    <row r="216" ht="15.75" customHeight="1">
      <c r="A216" s="43">
        <v>46322.0</v>
      </c>
      <c r="B216" s="43">
        <v>46328.0</v>
      </c>
      <c r="C216" s="44" t="s">
        <v>92</v>
      </c>
      <c r="D216" s="6" t="s">
        <v>321</v>
      </c>
      <c r="E216" s="8" t="s">
        <v>269</v>
      </c>
      <c r="F216" s="13" t="s">
        <v>185</v>
      </c>
      <c r="G216" s="46">
        <v>0.65</v>
      </c>
    </row>
    <row r="217" ht="15.75" customHeight="1">
      <c r="A217" s="43">
        <v>46322.0</v>
      </c>
      <c r="B217" s="43">
        <v>46328.0</v>
      </c>
      <c r="C217" s="44" t="s">
        <v>92</v>
      </c>
      <c r="D217" s="6" t="s">
        <v>321</v>
      </c>
      <c r="E217" s="8" t="s">
        <v>179</v>
      </c>
      <c r="F217" s="13" t="s">
        <v>206</v>
      </c>
      <c r="G217" s="46">
        <v>0.65</v>
      </c>
    </row>
    <row r="218" ht="15.75" customHeight="1">
      <c r="A218" s="43">
        <v>46343.0</v>
      </c>
      <c r="B218" s="43">
        <v>46349.0</v>
      </c>
      <c r="C218" s="44" t="s">
        <v>191</v>
      </c>
      <c r="D218" s="6" t="s">
        <v>363</v>
      </c>
      <c r="E218" s="8" t="s">
        <v>223</v>
      </c>
      <c r="F218" s="13" t="s">
        <v>364</v>
      </c>
      <c r="G218" s="46">
        <v>0.25</v>
      </c>
    </row>
    <row r="219" ht="15.75" customHeight="1">
      <c r="A219" s="43">
        <v>46343.0</v>
      </c>
      <c r="B219" s="43">
        <v>46349.0</v>
      </c>
      <c r="C219" s="44" t="s">
        <v>191</v>
      </c>
      <c r="D219" s="6" t="s">
        <v>365</v>
      </c>
      <c r="E219" s="8" t="s">
        <v>223</v>
      </c>
      <c r="F219" s="13" t="s">
        <v>364</v>
      </c>
      <c r="G219" s="46">
        <v>0.25</v>
      </c>
    </row>
    <row r="220" ht="15.75" customHeight="1">
      <c r="A220" s="43">
        <v>46343.0</v>
      </c>
      <c r="B220" s="43">
        <v>46349.0</v>
      </c>
      <c r="C220" s="44" t="s">
        <v>191</v>
      </c>
      <c r="D220" s="6" t="s">
        <v>366</v>
      </c>
      <c r="E220" s="8" t="s">
        <v>131</v>
      </c>
      <c r="F220" s="13" t="s">
        <v>367</v>
      </c>
      <c r="G220" s="46">
        <v>0.25</v>
      </c>
    </row>
    <row r="221" ht="15.75" customHeight="1">
      <c r="A221" s="43">
        <v>46343.0</v>
      </c>
      <c r="B221" s="43">
        <v>46349.0</v>
      </c>
      <c r="C221" s="44" t="s">
        <v>191</v>
      </c>
      <c r="D221" s="6" t="s">
        <v>368</v>
      </c>
      <c r="E221" s="8" t="s">
        <v>131</v>
      </c>
      <c r="F221" s="13" t="s">
        <v>367</v>
      </c>
      <c r="G221" s="46">
        <v>0.25</v>
      </c>
    </row>
    <row r="222" ht="15.75" customHeight="1">
      <c r="A222" s="43">
        <v>46343.0</v>
      </c>
      <c r="B222" s="43">
        <v>46349.0</v>
      </c>
      <c r="C222" s="44" t="s">
        <v>191</v>
      </c>
      <c r="D222" s="6" t="s">
        <v>369</v>
      </c>
      <c r="E222" s="8" t="s">
        <v>325</v>
      </c>
      <c r="F222" s="13" t="s">
        <v>361</v>
      </c>
      <c r="G222" s="46">
        <v>0.25</v>
      </c>
    </row>
    <row r="223" ht="15.75" customHeight="1">
      <c r="A223" s="43">
        <v>46343.0</v>
      </c>
      <c r="B223" s="43">
        <v>46349.0</v>
      </c>
      <c r="C223" s="44" t="s">
        <v>191</v>
      </c>
      <c r="D223" s="6" t="s">
        <v>370</v>
      </c>
      <c r="E223" s="8" t="s">
        <v>325</v>
      </c>
      <c r="F223" s="13" t="s">
        <v>361</v>
      </c>
      <c r="G223" s="46">
        <v>0.25</v>
      </c>
    </row>
    <row r="224" ht="15.75" customHeight="1">
      <c r="A224" s="43">
        <v>46343.0</v>
      </c>
      <c r="B224" s="43">
        <v>46349.0</v>
      </c>
      <c r="C224" s="44" t="s">
        <v>92</v>
      </c>
      <c r="D224" s="6" t="s">
        <v>352</v>
      </c>
      <c r="E224" s="8" t="s">
        <v>179</v>
      </c>
      <c r="F224" s="13" t="s">
        <v>206</v>
      </c>
      <c r="G224" s="46">
        <v>0.65</v>
      </c>
    </row>
    <row r="225" ht="15.75" customHeight="1">
      <c r="A225" s="43">
        <v>46343.0</v>
      </c>
      <c r="B225" s="43">
        <v>46349.0</v>
      </c>
      <c r="C225" s="44" t="s">
        <v>92</v>
      </c>
      <c r="D225" s="6" t="s">
        <v>354</v>
      </c>
      <c r="E225" s="8" t="s">
        <v>132</v>
      </c>
      <c r="F225" s="13" t="s">
        <v>289</v>
      </c>
      <c r="G225" s="46">
        <v>0.65</v>
      </c>
    </row>
    <row r="226" ht="15.75" customHeight="1">
      <c r="A226" s="43">
        <v>46345.0</v>
      </c>
      <c r="B226" s="43">
        <v>46359.0</v>
      </c>
      <c r="C226" s="44" t="s">
        <v>103</v>
      </c>
      <c r="D226" s="6" t="s">
        <v>322</v>
      </c>
      <c r="E226" s="8" t="s">
        <v>95</v>
      </c>
      <c r="F226" s="13" t="s">
        <v>304</v>
      </c>
      <c r="G226" s="46">
        <v>0.65</v>
      </c>
    </row>
    <row r="227" ht="15.75" customHeight="1">
      <c r="A227" s="43">
        <v>46345.0</v>
      </c>
      <c r="B227" s="43">
        <v>46359.0</v>
      </c>
      <c r="C227" s="44" t="s">
        <v>103</v>
      </c>
      <c r="D227" s="6" t="s">
        <v>322</v>
      </c>
      <c r="E227" s="8" t="s">
        <v>88</v>
      </c>
      <c r="F227" s="13" t="s">
        <v>315</v>
      </c>
      <c r="G227" s="46">
        <v>0.65</v>
      </c>
    </row>
    <row r="228" ht="15.75" customHeight="1">
      <c r="A228" s="43">
        <v>46350.0</v>
      </c>
      <c r="B228" s="43">
        <v>46356.0</v>
      </c>
      <c r="C228" s="44" t="s">
        <v>191</v>
      </c>
      <c r="D228" s="6" t="s">
        <v>356</v>
      </c>
      <c r="E228" s="8" t="s">
        <v>89</v>
      </c>
      <c r="F228" s="13" t="s">
        <v>358</v>
      </c>
      <c r="G228" s="46">
        <v>0.35</v>
      </c>
    </row>
    <row r="229" ht="15.75" customHeight="1">
      <c r="A229" s="43">
        <v>46350.0</v>
      </c>
      <c r="B229" s="43">
        <v>46356.0</v>
      </c>
      <c r="C229" s="44" t="s">
        <v>191</v>
      </c>
      <c r="D229" s="6" t="s">
        <v>359</v>
      </c>
      <c r="E229" s="8" t="s">
        <v>89</v>
      </c>
      <c r="F229" s="13" t="s">
        <v>358</v>
      </c>
      <c r="G229" s="46">
        <v>0.35</v>
      </c>
    </row>
    <row r="230" ht="15.75" customHeight="1">
      <c r="A230" s="43">
        <v>46359.0</v>
      </c>
      <c r="B230" s="43">
        <v>46373.0</v>
      </c>
      <c r="C230" s="44" t="s">
        <v>138</v>
      </c>
      <c r="D230" s="6" t="s">
        <v>318</v>
      </c>
      <c r="E230" s="8" t="s">
        <v>196</v>
      </c>
      <c r="F230" s="13" t="s">
        <v>228</v>
      </c>
      <c r="G230" s="46">
        <v>0.3</v>
      </c>
    </row>
    <row r="231" ht="15.75" customHeight="1">
      <c r="A231" s="43">
        <v>46359.0</v>
      </c>
      <c r="B231" s="43">
        <v>46373.0</v>
      </c>
      <c r="C231" s="44" t="s">
        <v>138</v>
      </c>
      <c r="D231" s="6" t="s">
        <v>318</v>
      </c>
      <c r="E231" s="8" t="s">
        <v>196</v>
      </c>
      <c r="F231" s="13" t="s">
        <v>228</v>
      </c>
      <c r="G231" s="46">
        <v>0.3</v>
      </c>
    </row>
    <row r="232" ht="15.75" customHeight="1">
      <c r="A232" s="43">
        <v>46359.0</v>
      </c>
      <c r="B232" s="43">
        <v>46373.0</v>
      </c>
      <c r="C232" s="44" t="s">
        <v>138</v>
      </c>
      <c r="D232" s="6" t="s">
        <v>319</v>
      </c>
      <c r="E232" s="8" t="s">
        <v>170</v>
      </c>
      <c r="F232" s="13" t="s">
        <v>242</v>
      </c>
      <c r="G232" s="46">
        <v>0.3</v>
      </c>
    </row>
    <row r="233" ht="15.75" customHeight="1">
      <c r="A233" s="43">
        <v>46359.0</v>
      </c>
      <c r="B233" s="43">
        <v>46373.0</v>
      </c>
      <c r="C233" s="44" t="s">
        <v>138</v>
      </c>
      <c r="D233" s="6" t="s">
        <v>319</v>
      </c>
      <c r="E233" s="8" t="s">
        <v>170</v>
      </c>
      <c r="F233" s="13" t="s">
        <v>242</v>
      </c>
      <c r="G233" s="46">
        <v>0.3</v>
      </c>
    </row>
    <row r="234" ht="15.75" customHeight="1">
      <c r="A234" s="43">
        <v>46359.0</v>
      </c>
      <c r="B234" s="43">
        <v>46373.0</v>
      </c>
      <c r="C234" s="44" t="s">
        <v>138</v>
      </c>
      <c r="D234" s="6" t="s">
        <v>320</v>
      </c>
      <c r="E234" s="8" t="s">
        <v>170</v>
      </c>
      <c r="F234" s="13" t="s">
        <v>242</v>
      </c>
      <c r="G234" s="46">
        <v>0.3</v>
      </c>
    </row>
    <row r="235" ht="15.75" customHeight="1">
      <c r="A235" s="43">
        <v>46359.0</v>
      </c>
      <c r="B235" s="43">
        <v>46373.0</v>
      </c>
      <c r="C235" s="44" t="s">
        <v>138</v>
      </c>
      <c r="D235" s="6" t="s">
        <v>320</v>
      </c>
      <c r="E235" s="8" t="s">
        <v>170</v>
      </c>
      <c r="F235" s="13" t="s">
        <v>242</v>
      </c>
      <c r="G235" s="46">
        <v>0.3</v>
      </c>
    </row>
    <row r="236" ht="15.75" customHeight="1">
      <c r="A236" s="43">
        <v>46359.0</v>
      </c>
      <c r="B236" s="43">
        <v>46373.0</v>
      </c>
      <c r="C236" s="44" t="s">
        <v>138</v>
      </c>
      <c r="D236" s="6" t="s">
        <v>371</v>
      </c>
      <c r="E236" s="8" t="s">
        <v>131</v>
      </c>
      <c r="F236" s="13" t="s">
        <v>372</v>
      </c>
      <c r="G236" s="46">
        <v>0.2</v>
      </c>
    </row>
    <row r="237" ht="15.75" customHeight="1">
      <c r="A237" s="43">
        <v>46359.0</v>
      </c>
      <c r="B237" s="43">
        <v>46373.0</v>
      </c>
      <c r="C237" s="44" t="s">
        <v>138</v>
      </c>
      <c r="D237" s="6" t="s">
        <v>373</v>
      </c>
      <c r="E237" s="8" t="s">
        <v>131</v>
      </c>
      <c r="F237" s="13" t="s">
        <v>372</v>
      </c>
      <c r="G237" s="46">
        <v>0.2</v>
      </c>
    </row>
    <row r="238" ht="15.75" customHeight="1">
      <c r="A238" s="43">
        <v>46364.0</v>
      </c>
      <c r="B238" s="43">
        <v>46370.0</v>
      </c>
      <c r="C238" s="44" t="s">
        <v>92</v>
      </c>
      <c r="D238" s="6" t="s">
        <v>321</v>
      </c>
      <c r="E238" s="8" t="s">
        <v>269</v>
      </c>
      <c r="F238" s="13" t="s">
        <v>185</v>
      </c>
      <c r="G238" s="46">
        <v>0.65</v>
      </c>
    </row>
    <row r="239" ht="15.75" customHeight="1">
      <c r="A239" s="43">
        <v>46364.0</v>
      </c>
      <c r="B239" s="43">
        <v>46370.0</v>
      </c>
      <c r="C239" s="44" t="s">
        <v>92</v>
      </c>
      <c r="D239" s="6" t="s">
        <v>321</v>
      </c>
      <c r="E239" s="8" t="s">
        <v>179</v>
      </c>
      <c r="F239" s="13" t="s">
        <v>206</v>
      </c>
      <c r="G239" s="46">
        <v>0.65</v>
      </c>
    </row>
    <row r="240" ht="15.75" customHeight="1">
      <c r="A240" s="43">
        <v>46372.0</v>
      </c>
      <c r="B240" s="43">
        <v>46029.0</v>
      </c>
      <c r="C240" s="44" t="s">
        <v>106</v>
      </c>
      <c r="D240" s="6" t="s">
        <v>322</v>
      </c>
      <c r="E240" s="8" t="s">
        <v>95</v>
      </c>
      <c r="F240" s="13" t="s">
        <v>304</v>
      </c>
      <c r="G240" s="46">
        <v>0.65</v>
      </c>
    </row>
    <row r="241" ht="15.75" customHeight="1">
      <c r="A241" s="43">
        <v>46372.0</v>
      </c>
      <c r="B241" s="43">
        <v>46029.0</v>
      </c>
      <c r="C241" s="44" t="s">
        <v>106</v>
      </c>
      <c r="D241" s="6" t="s">
        <v>322</v>
      </c>
      <c r="E241" s="8" t="s">
        <v>88</v>
      </c>
      <c r="F241" s="13" t="s">
        <v>315</v>
      </c>
      <c r="G241" s="46">
        <v>0.65</v>
      </c>
    </row>
    <row r="242" ht="15.75" customHeight="1">
      <c r="A242" s="43">
        <v>46378.0</v>
      </c>
      <c r="B242" s="43">
        <v>46384.0</v>
      </c>
      <c r="C242" s="44" t="s">
        <v>191</v>
      </c>
      <c r="D242" s="6" t="s">
        <v>363</v>
      </c>
      <c r="E242" s="8" t="s">
        <v>223</v>
      </c>
      <c r="F242" s="13" t="s">
        <v>364</v>
      </c>
      <c r="G242" s="46">
        <v>0.25</v>
      </c>
    </row>
    <row r="243" ht="15.75" customHeight="1">
      <c r="A243" s="43">
        <v>46378.0</v>
      </c>
      <c r="B243" s="43">
        <v>46384.0</v>
      </c>
      <c r="C243" s="44" t="s">
        <v>191</v>
      </c>
      <c r="D243" s="6" t="s">
        <v>365</v>
      </c>
      <c r="E243" s="8" t="s">
        <v>223</v>
      </c>
      <c r="F243" s="13" t="s">
        <v>364</v>
      </c>
      <c r="G243" s="46">
        <v>0.25</v>
      </c>
    </row>
    <row r="244" ht="15.75" customHeight="1">
      <c r="A244" s="43">
        <v>46378.0</v>
      </c>
      <c r="B244" s="43">
        <v>46384.0</v>
      </c>
      <c r="C244" s="44" t="s">
        <v>191</v>
      </c>
      <c r="D244" s="6" t="s">
        <v>366</v>
      </c>
      <c r="E244" s="8" t="s">
        <v>131</v>
      </c>
      <c r="F244" s="13" t="s">
        <v>367</v>
      </c>
      <c r="G244" s="46">
        <v>0.25</v>
      </c>
    </row>
    <row r="245" ht="15.75" customHeight="1">
      <c r="A245" s="43">
        <v>46378.0</v>
      </c>
      <c r="B245" s="43">
        <v>46384.0</v>
      </c>
      <c r="C245" s="44" t="s">
        <v>191</v>
      </c>
      <c r="D245" s="6" t="s">
        <v>368</v>
      </c>
      <c r="E245" s="8" t="s">
        <v>131</v>
      </c>
      <c r="F245" s="13" t="s">
        <v>367</v>
      </c>
      <c r="G245" s="46">
        <v>0.25</v>
      </c>
    </row>
    <row r="246" ht="15.75" customHeight="1">
      <c r="A246" s="43">
        <v>46378.0</v>
      </c>
      <c r="B246" s="43">
        <v>46384.0</v>
      </c>
      <c r="C246" s="44" t="s">
        <v>191</v>
      </c>
      <c r="D246" s="6" t="s">
        <v>369</v>
      </c>
      <c r="E246" s="8" t="s">
        <v>325</v>
      </c>
      <c r="F246" s="13" t="s">
        <v>361</v>
      </c>
      <c r="G246" s="46">
        <v>0.25</v>
      </c>
    </row>
    <row r="247" ht="15.75" customHeight="1">
      <c r="A247" s="43">
        <v>46378.0</v>
      </c>
      <c r="B247" s="43">
        <v>46384.0</v>
      </c>
      <c r="C247" s="44" t="s">
        <v>191</v>
      </c>
      <c r="D247" s="6" t="s">
        <v>370</v>
      </c>
      <c r="E247" s="8" t="s">
        <v>325</v>
      </c>
      <c r="F247" s="13" t="s">
        <v>361</v>
      </c>
      <c r="G247" s="46">
        <v>0.25</v>
      </c>
    </row>
    <row r="248" ht="15.75" customHeight="1">
      <c r="A248" s="43">
        <v>46378.0</v>
      </c>
      <c r="B248" s="43">
        <v>46384.0</v>
      </c>
      <c r="C248" s="44" t="s">
        <v>92</v>
      </c>
      <c r="D248" s="6" t="s">
        <v>352</v>
      </c>
      <c r="E248" s="8" t="s">
        <v>179</v>
      </c>
      <c r="F248" s="13" t="s">
        <v>206</v>
      </c>
      <c r="G248" s="46">
        <v>0.65</v>
      </c>
    </row>
    <row r="249" ht="15.75" customHeight="1">
      <c r="A249" s="43">
        <v>46378.0</v>
      </c>
      <c r="B249" s="43">
        <v>46384.0</v>
      </c>
      <c r="C249" s="44" t="s">
        <v>92</v>
      </c>
      <c r="D249" s="6" t="s">
        <v>354</v>
      </c>
      <c r="E249" s="8" t="s">
        <v>132</v>
      </c>
      <c r="F249" s="13" t="s">
        <v>289</v>
      </c>
      <c r="G249" s="46">
        <v>0.65</v>
      </c>
    </row>
    <row r="250" ht="15.75" customHeight="1">
      <c r="A250" s="43">
        <v>46385.0</v>
      </c>
      <c r="B250" s="43">
        <v>46026.0</v>
      </c>
      <c r="C250" s="44" t="s">
        <v>191</v>
      </c>
      <c r="D250" s="6" t="s">
        <v>356</v>
      </c>
      <c r="E250" s="8" t="s">
        <v>89</v>
      </c>
      <c r="F250" s="13" t="s">
        <v>358</v>
      </c>
      <c r="G250" s="46">
        <v>0.35</v>
      </c>
    </row>
    <row r="251" ht="15.75" customHeight="1">
      <c r="A251" s="43">
        <v>46385.0</v>
      </c>
      <c r="B251" s="43">
        <v>46026.0</v>
      </c>
      <c r="C251" s="44" t="s">
        <v>191</v>
      </c>
      <c r="D251" s="6" t="s">
        <v>359</v>
      </c>
      <c r="E251" s="8" t="s">
        <v>89</v>
      </c>
      <c r="F251" s="13" t="s">
        <v>358</v>
      </c>
      <c r="G251" s="46">
        <v>0.35</v>
      </c>
    </row>
    <row r="252" ht="15.75" customHeight="1"/>
    <row r="253" ht="15.75" customHeight="1">
      <c r="A253" s="42" t="s">
        <v>107</v>
      </c>
    </row>
    <row r="254" ht="15.75" customHeight="1">
      <c r="A254" s="63">
        <v>46013.0</v>
      </c>
      <c r="B254" s="63">
        <v>46029.0</v>
      </c>
      <c r="C254" s="64" t="s">
        <v>316</v>
      </c>
      <c r="D254" s="64" t="s">
        <v>321</v>
      </c>
      <c r="E254" s="65">
        <v>79.99</v>
      </c>
      <c r="F254" s="8">
        <f t="shared" ref="F254:F265" si="10">E254*(1-G254)</f>
        <v>39.995</v>
      </c>
      <c r="G254" s="66">
        <v>0.5</v>
      </c>
    </row>
    <row r="255" ht="15.75" customHeight="1">
      <c r="A255" s="63">
        <v>46013.0</v>
      </c>
      <c r="B255" s="63">
        <v>46029.0</v>
      </c>
      <c r="C255" s="64" t="s">
        <v>316</v>
      </c>
      <c r="D255" s="64" t="s">
        <v>322</v>
      </c>
      <c r="E255" s="65">
        <v>39.99</v>
      </c>
      <c r="F255" s="8">
        <f t="shared" si="10"/>
        <v>19.995</v>
      </c>
      <c r="G255" s="66">
        <v>0.5</v>
      </c>
    </row>
    <row r="256" ht="15.75" customHeight="1">
      <c r="A256" s="63">
        <v>46027.0</v>
      </c>
      <c r="B256" s="63">
        <v>46043.0</v>
      </c>
      <c r="C256" s="64" t="s">
        <v>317</v>
      </c>
      <c r="D256" s="64" t="s">
        <v>352</v>
      </c>
      <c r="E256" s="65">
        <v>69.99</v>
      </c>
      <c r="F256" s="8">
        <f t="shared" si="10"/>
        <v>34.995</v>
      </c>
      <c r="G256" s="66">
        <v>0.5</v>
      </c>
    </row>
    <row r="257" ht="15.75" customHeight="1">
      <c r="A257" s="63">
        <v>46057.0</v>
      </c>
      <c r="B257" s="63">
        <v>46078.0</v>
      </c>
      <c r="C257" s="64" t="s">
        <v>143</v>
      </c>
      <c r="D257" s="64" t="s">
        <v>321</v>
      </c>
      <c r="E257" s="65">
        <v>79.99</v>
      </c>
      <c r="F257" s="8">
        <f t="shared" si="10"/>
        <v>39.995</v>
      </c>
      <c r="G257" s="66">
        <v>0.5</v>
      </c>
    </row>
    <row r="258" ht="15.75" customHeight="1">
      <c r="A258" s="63">
        <v>46057.0</v>
      </c>
      <c r="B258" s="63">
        <v>46078.0</v>
      </c>
      <c r="C258" s="64" t="s">
        <v>143</v>
      </c>
      <c r="D258" s="64" t="s">
        <v>322</v>
      </c>
      <c r="E258" s="65">
        <v>39.99</v>
      </c>
      <c r="F258" s="8">
        <f t="shared" si="10"/>
        <v>19.995</v>
      </c>
      <c r="G258" s="66">
        <v>0.5</v>
      </c>
    </row>
    <row r="259" ht="15.75" customHeight="1">
      <c r="A259" s="63">
        <v>46078.0</v>
      </c>
      <c r="B259" s="63">
        <v>46092.0</v>
      </c>
      <c r="C259" s="64" t="s">
        <v>144</v>
      </c>
      <c r="D259" s="64" t="s">
        <v>352</v>
      </c>
      <c r="E259" s="65">
        <v>69.99</v>
      </c>
      <c r="F259" s="8">
        <f t="shared" si="10"/>
        <v>34.995</v>
      </c>
      <c r="G259" s="66">
        <v>0.5</v>
      </c>
    </row>
    <row r="260" ht="15.75" customHeight="1">
      <c r="A260" s="63">
        <v>46106.0</v>
      </c>
      <c r="B260" s="63">
        <v>46120.0</v>
      </c>
      <c r="C260" s="64" t="s">
        <v>146</v>
      </c>
      <c r="D260" s="64" t="s">
        <v>321</v>
      </c>
      <c r="E260" s="65">
        <v>79.99</v>
      </c>
      <c r="F260" s="8">
        <f t="shared" si="10"/>
        <v>39.995</v>
      </c>
      <c r="G260" s="66">
        <v>0.5</v>
      </c>
    </row>
    <row r="261" ht="15.75" customHeight="1">
      <c r="A261" s="63">
        <v>46106.0</v>
      </c>
      <c r="B261" s="63">
        <v>46120.0</v>
      </c>
      <c r="C261" s="64" t="s">
        <v>146</v>
      </c>
      <c r="D261" s="64" t="s">
        <v>322</v>
      </c>
      <c r="E261" s="65">
        <v>39.99</v>
      </c>
      <c r="F261" s="8">
        <f t="shared" si="10"/>
        <v>19.995</v>
      </c>
      <c r="G261" s="66">
        <v>0.5</v>
      </c>
    </row>
    <row r="262" ht="15.75" customHeight="1">
      <c r="A262" s="63">
        <v>46120.0</v>
      </c>
      <c r="B262" s="63">
        <v>46134.0</v>
      </c>
      <c r="C262" s="64" t="s">
        <v>147</v>
      </c>
      <c r="D262" s="64" t="s">
        <v>352</v>
      </c>
      <c r="E262" s="65">
        <v>69.99</v>
      </c>
      <c r="F262" s="8">
        <f t="shared" si="10"/>
        <v>34.995</v>
      </c>
      <c r="G262" s="66">
        <v>0.5</v>
      </c>
    </row>
    <row r="263" ht="15.75" customHeight="1">
      <c r="A263" s="63">
        <v>46155.0</v>
      </c>
      <c r="B263" s="63">
        <v>46169.0</v>
      </c>
      <c r="C263" s="64" t="s">
        <v>148</v>
      </c>
      <c r="D263" s="64" t="s">
        <v>321</v>
      </c>
      <c r="E263" s="65">
        <v>79.99</v>
      </c>
      <c r="F263" s="8">
        <f t="shared" si="10"/>
        <v>39.995</v>
      </c>
      <c r="G263" s="66">
        <v>0.5</v>
      </c>
    </row>
    <row r="264" ht="15.75" customHeight="1">
      <c r="A264" s="63">
        <v>46155.0</v>
      </c>
      <c r="B264" s="63">
        <v>46169.0</v>
      </c>
      <c r="C264" s="64" t="s">
        <v>148</v>
      </c>
      <c r="D264" s="64" t="s">
        <v>322</v>
      </c>
      <c r="E264" s="65">
        <v>39.99</v>
      </c>
      <c r="F264" s="8">
        <f t="shared" si="10"/>
        <v>19.995</v>
      </c>
      <c r="G264" s="66">
        <v>0.5</v>
      </c>
    </row>
    <row r="265" ht="15.75" customHeight="1">
      <c r="A265" s="63">
        <v>46169.0</v>
      </c>
      <c r="B265" s="63">
        <v>46183.0</v>
      </c>
      <c r="C265" s="64" t="s">
        <v>151</v>
      </c>
      <c r="D265" s="64" t="s">
        <v>352</v>
      </c>
      <c r="E265" s="65">
        <v>69.99</v>
      </c>
      <c r="F265" s="8">
        <f t="shared" si="10"/>
        <v>34.995</v>
      </c>
      <c r="G265" s="66">
        <v>0.5</v>
      </c>
    </row>
    <row r="266" ht="15.75" customHeight="1">
      <c r="A266" s="63">
        <v>46106.0</v>
      </c>
      <c r="B266" s="63">
        <v>46120.0</v>
      </c>
      <c r="C266" s="64" t="s">
        <v>146</v>
      </c>
      <c r="D266" s="64" t="s">
        <v>321</v>
      </c>
      <c r="E266" s="65">
        <v>79.99</v>
      </c>
      <c r="F266" s="8">
        <v>39.995</v>
      </c>
      <c r="G266" s="66">
        <v>0.5</v>
      </c>
    </row>
    <row r="267" ht="15.75" customHeight="1">
      <c r="A267" s="63">
        <v>46218.0</v>
      </c>
      <c r="B267" s="63">
        <v>46232.0</v>
      </c>
      <c r="C267" s="64" t="s">
        <v>113</v>
      </c>
      <c r="D267" s="64" t="s">
        <v>322</v>
      </c>
      <c r="E267" s="65">
        <v>39.99</v>
      </c>
      <c r="F267" s="8">
        <v>19.995</v>
      </c>
      <c r="G267" s="66">
        <v>0.6</v>
      </c>
    </row>
    <row r="268" ht="15.75" customHeight="1">
      <c r="A268" s="63">
        <v>46218.0</v>
      </c>
      <c r="B268" s="63">
        <v>46232.0</v>
      </c>
      <c r="C268" s="64" t="s">
        <v>113</v>
      </c>
      <c r="D268" s="64" t="s">
        <v>321</v>
      </c>
      <c r="E268" s="65">
        <v>79.99</v>
      </c>
      <c r="F268" s="8">
        <v>39.995</v>
      </c>
      <c r="G268" s="66">
        <v>0.6</v>
      </c>
    </row>
    <row r="269" ht="15.75" customHeight="1">
      <c r="A269" s="74">
        <v>46230.0</v>
      </c>
      <c r="B269" s="74">
        <v>46246.0</v>
      </c>
      <c r="C269" s="69" t="s">
        <v>118</v>
      </c>
      <c r="D269" s="64" t="s">
        <v>352</v>
      </c>
      <c r="E269" s="65">
        <v>69.99</v>
      </c>
      <c r="F269" s="8">
        <v>34.995</v>
      </c>
      <c r="G269" s="66">
        <v>0.6</v>
      </c>
    </row>
    <row r="270" ht="15.75" customHeight="1">
      <c r="A270" s="63">
        <v>46260.0</v>
      </c>
      <c r="B270" s="63">
        <v>46274.0</v>
      </c>
      <c r="C270" s="64" t="s">
        <v>121</v>
      </c>
      <c r="D270" s="64" t="s">
        <v>322</v>
      </c>
      <c r="E270" s="65">
        <v>39.99</v>
      </c>
      <c r="F270" s="8">
        <v>19.995</v>
      </c>
      <c r="G270" s="66">
        <v>0.6</v>
      </c>
    </row>
    <row r="271" ht="15.75" customHeight="1">
      <c r="A271" s="63">
        <v>46260.0</v>
      </c>
      <c r="B271" s="63">
        <v>46274.0</v>
      </c>
      <c r="C271" s="64" t="s">
        <v>121</v>
      </c>
      <c r="D271" s="64" t="s">
        <v>321</v>
      </c>
      <c r="E271" s="65">
        <v>79.99</v>
      </c>
      <c r="F271" s="8">
        <v>39.995</v>
      </c>
      <c r="G271" s="66">
        <v>0.6</v>
      </c>
    </row>
    <row r="272" ht="15.75" customHeight="1">
      <c r="A272" s="63">
        <v>46274.0</v>
      </c>
      <c r="B272" s="63">
        <v>46288.0</v>
      </c>
      <c r="C272" s="64" t="s">
        <v>123</v>
      </c>
      <c r="D272" s="64" t="s">
        <v>352</v>
      </c>
      <c r="E272" s="65">
        <v>69.99</v>
      </c>
      <c r="F272" s="8">
        <v>34.995</v>
      </c>
      <c r="G272" s="66">
        <v>0.6</v>
      </c>
    </row>
    <row r="273" ht="15.75" customHeight="1">
      <c r="A273" s="64" t="s">
        <v>108</v>
      </c>
      <c r="B273" s="64" t="s">
        <v>108</v>
      </c>
      <c r="C273" s="64" t="s">
        <v>108</v>
      </c>
      <c r="D273" s="64" t="s">
        <v>322</v>
      </c>
      <c r="E273" s="65">
        <v>39.99</v>
      </c>
      <c r="F273" s="8">
        <v>19.995</v>
      </c>
      <c r="G273" s="66">
        <v>0.6</v>
      </c>
    </row>
    <row r="274" ht="15.75" customHeight="1">
      <c r="A274" s="64" t="s">
        <v>108</v>
      </c>
      <c r="B274" s="64" t="s">
        <v>108</v>
      </c>
      <c r="C274" s="64" t="s">
        <v>108</v>
      </c>
      <c r="D274" s="64" t="s">
        <v>321</v>
      </c>
      <c r="E274" s="65">
        <v>79.99</v>
      </c>
      <c r="F274" s="8">
        <v>39.995</v>
      </c>
      <c r="G274" s="66">
        <v>0.6</v>
      </c>
    </row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G1"/>
    <mergeCell ref="A3:G3"/>
    <mergeCell ref="A115:G115"/>
    <mergeCell ref="A253:G253"/>
  </mergeCells>
  <drawing r:id="rId1"/>
  <tableParts count="2"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75"/>
    <col customWidth="1" min="2" max="2" width="7.88"/>
    <col customWidth="1" min="3" max="3" width="32.13"/>
    <col customWidth="1" min="4" max="4" width="40.75"/>
    <col customWidth="1" min="5" max="5" width="15.75"/>
    <col customWidth="1" min="6" max="6" width="15.0"/>
    <col customWidth="1" min="7" max="7" width="9.38"/>
  </cols>
  <sheetData>
    <row r="1" ht="15.75" customHeight="1">
      <c r="A1" s="2">
        <v>2026.0</v>
      </c>
      <c r="H1" s="5"/>
    </row>
    <row r="2" ht="15.75" customHeight="1">
      <c r="A2" s="4" t="s">
        <v>2</v>
      </c>
      <c r="B2" s="4" t="s">
        <v>6</v>
      </c>
      <c r="C2" s="4" t="s">
        <v>7</v>
      </c>
      <c r="D2" s="4" t="s">
        <v>8</v>
      </c>
      <c r="E2" s="7" t="s">
        <v>9</v>
      </c>
      <c r="F2" s="7" t="s">
        <v>10</v>
      </c>
      <c r="G2" s="7" t="s">
        <v>11</v>
      </c>
      <c r="H2" s="5"/>
    </row>
    <row r="3" ht="15.75" customHeight="1">
      <c r="A3" s="9" t="s">
        <v>14</v>
      </c>
      <c r="H3" s="5"/>
    </row>
    <row r="4" ht="15.75" customHeight="1">
      <c r="A4" s="11">
        <v>46030.0</v>
      </c>
      <c r="B4" s="12">
        <v>46044.0</v>
      </c>
      <c r="C4" s="1" t="s">
        <v>27</v>
      </c>
      <c r="D4" s="56" t="s">
        <v>239</v>
      </c>
      <c r="E4" s="56">
        <v>29.99</v>
      </c>
      <c r="F4" s="14">
        <f t="shared" ref="F4:F14" si="1">E4*(1-G4)</f>
        <v>8.997</v>
      </c>
      <c r="G4" s="57">
        <v>0.7</v>
      </c>
      <c r="H4" s="5"/>
    </row>
    <row r="5" ht="15.75" customHeight="1">
      <c r="A5" s="11">
        <v>46030.0</v>
      </c>
      <c r="B5" s="12">
        <v>46044.0</v>
      </c>
      <c r="C5" s="1" t="s">
        <v>27</v>
      </c>
      <c r="D5" s="56" t="s">
        <v>248</v>
      </c>
      <c r="E5" s="58">
        <v>39.99</v>
      </c>
      <c r="F5" s="14">
        <f t="shared" si="1"/>
        <v>9.9975</v>
      </c>
      <c r="G5" s="57">
        <v>0.75</v>
      </c>
      <c r="H5" s="5"/>
    </row>
    <row r="6" ht="15.75" customHeight="1">
      <c r="A6" s="11">
        <v>46030.0</v>
      </c>
      <c r="B6" s="12">
        <v>46044.0</v>
      </c>
      <c r="C6" s="1" t="s">
        <v>27</v>
      </c>
      <c r="D6" s="59" t="s">
        <v>253</v>
      </c>
      <c r="E6" s="58">
        <v>59.99</v>
      </c>
      <c r="F6" s="14">
        <f t="shared" si="1"/>
        <v>17.997</v>
      </c>
      <c r="G6" s="57">
        <v>0.7</v>
      </c>
      <c r="H6" s="5"/>
    </row>
    <row r="7" ht="15.75" customHeight="1">
      <c r="A7" s="11">
        <v>46030.0</v>
      </c>
      <c r="B7" s="12">
        <v>46044.0</v>
      </c>
      <c r="C7" s="1" t="s">
        <v>27</v>
      </c>
      <c r="D7" s="59" t="s">
        <v>257</v>
      </c>
      <c r="E7" s="58">
        <v>69.99</v>
      </c>
      <c r="F7" s="14">
        <f t="shared" si="1"/>
        <v>34.995</v>
      </c>
      <c r="G7" s="57">
        <v>0.5</v>
      </c>
      <c r="H7" s="5"/>
    </row>
    <row r="8" ht="15.75" customHeight="1">
      <c r="A8" s="11">
        <v>46030.0</v>
      </c>
      <c r="B8" s="12">
        <v>46044.0</v>
      </c>
      <c r="C8" s="1" t="s">
        <v>27</v>
      </c>
      <c r="D8" s="58" t="s">
        <v>259</v>
      </c>
      <c r="E8" s="58">
        <v>89.99</v>
      </c>
      <c r="F8" s="14">
        <f t="shared" si="1"/>
        <v>40.4955</v>
      </c>
      <c r="G8" s="57">
        <v>0.55</v>
      </c>
      <c r="H8" s="5"/>
    </row>
    <row r="9" ht="15.75" customHeight="1">
      <c r="A9" s="11">
        <v>46030.0</v>
      </c>
      <c r="B9" s="12">
        <v>46044.0</v>
      </c>
      <c r="C9" s="1" t="s">
        <v>27</v>
      </c>
      <c r="D9" s="58" t="s">
        <v>260</v>
      </c>
      <c r="E9" s="58">
        <v>24.99</v>
      </c>
      <c r="F9" s="14">
        <f t="shared" si="1"/>
        <v>12.495</v>
      </c>
      <c r="G9" s="57">
        <v>0.5</v>
      </c>
      <c r="H9" s="5"/>
    </row>
    <row r="10" ht="15.75" customHeight="1">
      <c r="A10" s="11">
        <v>46030.0</v>
      </c>
      <c r="B10" s="12">
        <v>46044.0</v>
      </c>
      <c r="C10" s="1" t="s">
        <v>27</v>
      </c>
      <c r="D10" s="58" t="s">
        <v>266</v>
      </c>
      <c r="E10" s="58">
        <v>29.99</v>
      </c>
      <c r="F10" s="14">
        <f t="shared" si="1"/>
        <v>14.995</v>
      </c>
      <c r="G10" s="57">
        <v>0.5</v>
      </c>
      <c r="H10" s="5"/>
    </row>
    <row r="11" ht="15.75" customHeight="1">
      <c r="A11" s="11">
        <v>46030.0</v>
      </c>
      <c r="B11" s="12">
        <v>46044.0</v>
      </c>
      <c r="C11" s="1" t="s">
        <v>27</v>
      </c>
      <c r="D11" s="58" t="s">
        <v>271</v>
      </c>
      <c r="E11" s="58">
        <v>34.99</v>
      </c>
      <c r="F11" s="14">
        <f t="shared" si="1"/>
        <v>24.493</v>
      </c>
      <c r="G11" s="57">
        <v>0.3</v>
      </c>
      <c r="H11" s="5"/>
    </row>
    <row r="12" ht="15.75" customHeight="1">
      <c r="A12" s="11">
        <v>46030.0</v>
      </c>
      <c r="B12" s="12">
        <v>46044.0</v>
      </c>
      <c r="C12" s="1" t="s">
        <v>27</v>
      </c>
      <c r="D12" s="58" t="s">
        <v>272</v>
      </c>
      <c r="E12" s="58">
        <v>34.99</v>
      </c>
      <c r="F12" s="14">
        <f t="shared" si="1"/>
        <v>34.99</v>
      </c>
      <c r="G12" s="57">
        <v>0.0</v>
      </c>
      <c r="H12" s="5"/>
    </row>
    <row r="13" ht="15.75" customHeight="1">
      <c r="A13" s="11">
        <v>46030.0</v>
      </c>
      <c r="B13" s="12">
        <v>46044.0</v>
      </c>
      <c r="C13" s="1" t="s">
        <v>27</v>
      </c>
      <c r="D13" s="56" t="s">
        <v>274</v>
      </c>
      <c r="E13" s="58">
        <v>44.99</v>
      </c>
      <c r="F13" s="14">
        <f t="shared" si="1"/>
        <v>22.495</v>
      </c>
      <c r="G13" s="57">
        <v>0.5</v>
      </c>
      <c r="H13" s="5"/>
    </row>
    <row r="14" ht="15.75" customHeight="1">
      <c r="A14" s="11">
        <v>46030.0</v>
      </c>
      <c r="B14" s="12">
        <v>46044.0</v>
      </c>
      <c r="C14" s="1" t="s">
        <v>27</v>
      </c>
      <c r="D14" s="58" t="s">
        <v>277</v>
      </c>
      <c r="E14" s="56">
        <v>59.99</v>
      </c>
      <c r="F14" s="14">
        <f t="shared" si="1"/>
        <v>44.9925</v>
      </c>
      <c r="G14" s="57">
        <v>0.25</v>
      </c>
      <c r="H14" s="5"/>
    </row>
    <row r="15" ht="15.75" customHeight="1">
      <c r="H15" s="5"/>
    </row>
    <row r="16" ht="15.75" customHeight="1">
      <c r="A16" s="11">
        <v>46074.0</v>
      </c>
      <c r="B16" s="12">
        <v>46088.0</v>
      </c>
      <c r="C16" s="1" t="s">
        <v>27</v>
      </c>
      <c r="D16" s="56" t="s">
        <v>239</v>
      </c>
      <c r="E16" s="56">
        <v>29.99</v>
      </c>
      <c r="F16" s="14">
        <f t="shared" ref="F16:F26" si="2">E16*(1-G16)</f>
        <v>7.4975</v>
      </c>
      <c r="G16" s="60">
        <v>0.75</v>
      </c>
      <c r="H16" s="5" t="s">
        <v>108</v>
      </c>
    </row>
    <row r="17" ht="15.75" customHeight="1">
      <c r="A17" s="11">
        <v>46074.0</v>
      </c>
      <c r="B17" s="12">
        <v>46088.0</v>
      </c>
      <c r="C17" s="1" t="s">
        <v>27</v>
      </c>
      <c r="D17" s="56" t="s">
        <v>248</v>
      </c>
      <c r="E17" s="58">
        <v>39.99</v>
      </c>
      <c r="F17" s="14">
        <f t="shared" si="2"/>
        <v>9.9975</v>
      </c>
      <c r="G17" s="57">
        <v>0.75</v>
      </c>
      <c r="H17" s="5"/>
    </row>
    <row r="18" ht="15.75" customHeight="1">
      <c r="A18" s="11">
        <v>46074.0</v>
      </c>
      <c r="B18" s="12">
        <v>46088.0</v>
      </c>
      <c r="C18" s="1" t="s">
        <v>27</v>
      </c>
      <c r="D18" s="59" t="s">
        <v>253</v>
      </c>
      <c r="E18" s="58">
        <v>59.99</v>
      </c>
      <c r="F18" s="14">
        <f t="shared" si="2"/>
        <v>17.997</v>
      </c>
      <c r="G18" s="57">
        <v>0.7</v>
      </c>
      <c r="H18" s="5"/>
    </row>
    <row r="19" ht="15.75" customHeight="1">
      <c r="A19" s="11">
        <v>46074.0</v>
      </c>
      <c r="B19" s="12">
        <v>46088.0</v>
      </c>
      <c r="C19" s="1" t="s">
        <v>27</v>
      </c>
      <c r="D19" s="59" t="s">
        <v>257</v>
      </c>
      <c r="E19" s="58">
        <v>69.99</v>
      </c>
      <c r="F19" s="14">
        <f t="shared" si="2"/>
        <v>34.995</v>
      </c>
      <c r="G19" s="57">
        <v>0.5</v>
      </c>
      <c r="H19" s="5"/>
    </row>
    <row r="20" ht="15.75" customHeight="1">
      <c r="A20" s="11">
        <v>46074.0</v>
      </c>
      <c r="B20" s="12">
        <v>46088.0</v>
      </c>
      <c r="C20" s="1" t="s">
        <v>27</v>
      </c>
      <c r="D20" s="58" t="s">
        <v>259</v>
      </c>
      <c r="E20" s="58">
        <v>89.99</v>
      </c>
      <c r="F20" s="14">
        <f t="shared" si="2"/>
        <v>40.4955</v>
      </c>
      <c r="G20" s="57">
        <v>0.55</v>
      </c>
      <c r="H20" s="5"/>
    </row>
    <row r="21" ht="15.75" customHeight="1">
      <c r="A21" s="11">
        <v>46074.0</v>
      </c>
      <c r="B21" s="12">
        <v>46088.0</v>
      </c>
      <c r="C21" s="1" t="s">
        <v>27</v>
      </c>
      <c r="D21" s="58" t="s">
        <v>260</v>
      </c>
      <c r="E21" s="58">
        <v>24.99</v>
      </c>
      <c r="F21" s="14">
        <f t="shared" si="2"/>
        <v>12.495</v>
      </c>
      <c r="G21" s="57">
        <v>0.5</v>
      </c>
      <c r="H21" s="5"/>
    </row>
    <row r="22" ht="15.75" customHeight="1">
      <c r="A22" s="11">
        <v>46074.0</v>
      </c>
      <c r="B22" s="12">
        <v>46088.0</v>
      </c>
      <c r="C22" s="1" t="s">
        <v>27</v>
      </c>
      <c r="D22" s="58" t="s">
        <v>266</v>
      </c>
      <c r="E22" s="58">
        <v>29.99</v>
      </c>
      <c r="F22" s="14">
        <f t="shared" si="2"/>
        <v>14.995</v>
      </c>
      <c r="G22" s="57">
        <v>0.5</v>
      </c>
      <c r="H22" s="5"/>
    </row>
    <row r="23" ht="15.75" customHeight="1">
      <c r="A23" s="11">
        <v>46074.0</v>
      </c>
      <c r="B23" s="12">
        <v>46088.0</v>
      </c>
      <c r="C23" s="1" t="s">
        <v>27</v>
      </c>
      <c r="D23" s="58" t="s">
        <v>271</v>
      </c>
      <c r="E23" s="58">
        <v>34.99</v>
      </c>
      <c r="F23" s="14">
        <f t="shared" si="2"/>
        <v>24.493</v>
      </c>
      <c r="G23" s="57">
        <v>0.3</v>
      </c>
      <c r="H23" s="5"/>
    </row>
    <row r="24" ht="15.75" customHeight="1">
      <c r="A24" s="11">
        <v>46074.0</v>
      </c>
      <c r="B24" s="12">
        <v>46088.0</v>
      </c>
      <c r="C24" s="1" t="s">
        <v>27</v>
      </c>
      <c r="D24" s="58" t="s">
        <v>272</v>
      </c>
      <c r="E24" s="58">
        <v>34.99</v>
      </c>
      <c r="F24" s="14">
        <f t="shared" si="2"/>
        <v>34.99</v>
      </c>
      <c r="G24" s="57">
        <v>0.0</v>
      </c>
      <c r="H24" s="5"/>
    </row>
    <row r="25" ht="15.75" customHeight="1">
      <c r="A25" s="11">
        <v>46074.0</v>
      </c>
      <c r="B25" s="12">
        <v>46088.0</v>
      </c>
      <c r="C25" s="1" t="s">
        <v>27</v>
      </c>
      <c r="D25" s="56" t="s">
        <v>274</v>
      </c>
      <c r="E25" s="58">
        <v>44.99</v>
      </c>
      <c r="F25" s="14">
        <f t="shared" si="2"/>
        <v>22.495</v>
      </c>
      <c r="G25" s="57">
        <v>0.5</v>
      </c>
      <c r="H25" s="5"/>
    </row>
    <row r="26" ht="15.75" customHeight="1">
      <c r="A26" s="11">
        <v>46074.0</v>
      </c>
      <c r="B26" s="12">
        <v>46088.0</v>
      </c>
      <c r="C26" s="1" t="s">
        <v>27</v>
      </c>
      <c r="D26" s="58" t="s">
        <v>277</v>
      </c>
      <c r="E26" s="56">
        <v>59.99</v>
      </c>
      <c r="F26" s="14">
        <f t="shared" si="2"/>
        <v>44.9925</v>
      </c>
      <c r="G26" s="57">
        <v>0.25</v>
      </c>
      <c r="H26" s="5"/>
    </row>
    <row r="27" ht="15.75" customHeight="1">
      <c r="H27" s="5"/>
    </row>
    <row r="28" ht="15.75" customHeight="1">
      <c r="A28" s="11">
        <v>46100.0</v>
      </c>
      <c r="B28" s="12">
        <v>46107.0</v>
      </c>
      <c r="C28" s="1" t="s">
        <v>54</v>
      </c>
      <c r="D28" s="56" t="s">
        <v>239</v>
      </c>
      <c r="E28" s="56">
        <v>29.99</v>
      </c>
      <c r="F28" s="14">
        <f t="shared" ref="F28:F38" si="3">E28*(1-G28)</f>
        <v>7.4975</v>
      </c>
      <c r="G28" s="57">
        <v>0.75</v>
      </c>
      <c r="H28" s="5"/>
    </row>
    <row r="29" ht="15.75" customHeight="1">
      <c r="A29" s="11">
        <v>46100.0</v>
      </c>
      <c r="B29" s="12">
        <v>46107.0</v>
      </c>
      <c r="C29" s="1" t="s">
        <v>54</v>
      </c>
      <c r="D29" s="56" t="s">
        <v>248</v>
      </c>
      <c r="E29" s="58">
        <v>39.99</v>
      </c>
      <c r="F29" s="14">
        <f t="shared" si="3"/>
        <v>11.997</v>
      </c>
      <c r="G29" s="57">
        <v>0.7</v>
      </c>
      <c r="H29" s="5"/>
    </row>
    <row r="30" ht="15.75" customHeight="1">
      <c r="A30" s="11">
        <v>46100.0</v>
      </c>
      <c r="B30" s="12">
        <v>46107.0</v>
      </c>
      <c r="C30" s="1" t="s">
        <v>54</v>
      </c>
      <c r="D30" s="59" t="s">
        <v>253</v>
      </c>
      <c r="E30" s="58">
        <v>59.99</v>
      </c>
      <c r="F30" s="14">
        <f t="shared" si="3"/>
        <v>17.997</v>
      </c>
      <c r="G30" s="57">
        <v>0.7</v>
      </c>
      <c r="H30" s="5"/>
    </row>
    <row r="31" ht="15.75" customHeight="1">
      <c r="A31" s="11">
        <v>46100.0</v>
      </c>
      <c r="B31" s="12">
        <v>46107.0</v>
      </c>
      <c r="C31" s="1" t="s">
        <v>54</v>
      </c>
      <c r="D31" s="59" t="s">
        <v>257</v>
      </c>
      <c r="E31" s="58">
        <v>69.99</v>
      </c>
      <c r="F31" s="14">
        <f t="shared" si="3"/>
        <v>34.995</v>
      </c>
      <c r="G31" s="57">
        <v>0.5</v>
      </c>
      <c r="H31" s="5"/>
    </row>
    <row r="32" ht="15.75" customHeight="1">
      <c r="A32" s="11">
        <v>46100.0</v>
      </c>
      <c r="B32" s="12">
        <v>46107.0</v>
      </c>
      <c r="C32" s="1" t="s">
        <v>54</v>
      </c>
      <c r="D32" s="58" t="s">
        <v>259</v>
      </c>
      <c r="E32" s="58">
        <v>89.99</v>
      </c>
      <c r="F32" s="14">
        <f t="shared" si="3"/>
        <v>40.4955</v>
      </c>
      <c r="G32" s="57">
        <v>0.55</v>
      </c>
      <c r="H32" s="5"/>
    </row>
    <row r="33" ht="15.75" customHeight="1">
      <c r="A33" s="11">
        <v>46100.0</v>
      </c>
      <c r="B33" s="12">
        <v>46107.0</v>
      </c>
      <c r="C33" s="1" t="s">
        <v>54</v>
      </c>
      <c r="D33" s="58" t="s">
        <v>260</v>
      </c>
      <c r="E33" s="58">
        <v>24.99</v>
      </c>
      <c r="F33" s="14">
        <f t="shared" si="3"/>
        <v>12.495</v>
      </c>
      <c r="G33" s="57">
        <v>0.5</v>
      </c>
      <c r="H33" s="5"/>
    </row>
    <row r="34" ht="15.75" customHeight="1">
      <c r="A34" s="11">
        <v>46100.0</v>
      </c>
      <c r="B34" s="12">
        <v>46107.0</v>
      </c>
      <c r="C34" s="1" t="s">
        <v>54</v>
      </c>
      <c r="D34" s="58" t="s">
        <v>266</v>
      </c>
      <c r="E34" s="58">
        <v>29.99</v>
      </c>
      <c r="F34" s="14">
        <f t="shared" si="3"/>
        <v>14.995</v>
      </c>
      <c r="G34" s="57">
        <v>0.5</v>
      </c>
      <c r="H34" s="5"/>
    </row>
    <row r="35" ht="15.75" customHeight="1">
      <c r="A35" s="11">
        <v>46100.0</v>
      </c>
      <c r="B35" s="12">
        <v>46107.0</v>
      </c>
      <c r="C35" s="1" t="s">
        <v>54</v>
      </c>
      <c r="D35" s="58" t="s">
        <v>271</v>
      </c>
      <c r="E35" s="58">
        <v>34.99</v>
      </c>
      <c r="F35" s="14">
        <f t="shared" si="3"/>
        <v>24.493</v>
      </c>
      <c r="G35" s="57">
        <v>0.3</v>
      </c>
      <c r="H35" s="5"/>
    </row>
    <row r="36" ht="15.75" customHeight="1">
      <c r="A36" s="11">
        <v>46100.0</v>
      </c>
      <c r="B36" s="12">
        <v>46107.0</v>
      </c>
      <c r="C36" s="1" t="s">
        <v>54</v>
      </c>
      <c r="D36" s="58" t="s">
        <v>272</v>
      </c>
      <c r="E36" s="58">
        <v>34.99</v>
      </c>
      <c r="F36" s="14">
        <f t="shared" si="3"/>
        <v>34.99</v>
      </c>
      <c r="G36" s="57">
        <v>0.0</v>
      </c>
      <c r="H36" s="5"/>
    </row>
    <row r="37" ht="15.75" customHeight="1">
      <c r="A37" s="11">
        <v>46100.0</v>
      </c>
      <c r="B37" s="12">
        <v>46107.0</v>
      </c>
      <c r="C37" s="1" t="s">
        <v>54</v>
      </c>
      <c r="D37" s="56" t="s">
        <v>274</v>
      </c>
      <c r="E37" s="58">
        <v>44.99</v>
      </c>
      <c r="F37" s="14">
        <f t="shared" si="3"/>
        <v>22.495</v>
      </c>
      <c r="G37" s="57">
        <v>0.5</v>
      </c>
      <c r="H37" s="5"/>
    </row>
    <row r="38" ht="15.75" customHeight="1">
      <c r="A38" s="11">
        <v>46100.0</v>
      </c>
      <c r="B38" s="12">
        <v>46107.0</v>
      </c>
      <c r="C38" s="1" t="s">
        <v>54</v>
      </c>
      <c r="D38" s="58" t="s">
        <v>277</v>
      </c>
      <c r="E38" s="56">
        <v>59.99</v>
      </c>
      <c r="F38" s="14">
        <f t="shared" si="3"/>
        <v>44.9925</v>
      </c>
      <c r="G38" s="57">
        <v>0.25</v>
      </c>
      <c r="H38" s="5"/>
    </row>
    <row r="39" ht="15.75" customHeight="1">
      <c r="H39" s="5"/>
    </row>
    <row r="40" ht="15.75" customHeight="1">
      <c r="A40" s="11">
        <v>46118.0</v>
      </c>
      <c r="B40" s="12">
        <v>46132.0</v>
      </c>
      <c r="C40" s="1" t="s">
        <v>27</v>
      </c>
      <c r="D40" s="56" t="s">
        <v>239</v>
      </c>
      <c r="E40" s="56">
        <v>29.99</v>
      </c>
      <c r="F40" s="14">
        <f t="shared" ref="F40:F50" si="4">E40*(1-G40)</f>
        <v>7.4975</v>
      </c>
      <c r="G40" s="57">
        <v>0.75</v>
      </c>
      <c r="H40" s="5"/>
    </row>
    <row r="41" ht="15.75" customHeight="1">
      <c r="A41" s="11">
        <v>46118.0</v>
      </c>
      <c r="B41" s="12">
        <v>46132.0</v>
      </c>
      <c r="C41" s="1" t="s">
        <v>27</v>
      </c>
      <c r="D41" s="56" t="s">
        <v>248</v>
      </c>
      <c r="E41" s="58">
        <v>39.99</v>
      </c>
      <c r="F41" s="14">
        <f t="shared" si="4"/>
        <v>11.997</v>
      </c>
      <c r="G41" s="57">
        <v>0.7</v>
      </c>
      <c r="H41" s="5"/>
    </row>
    <row r="42" ht="15.75" customHeight="1">
      <c r="A42" s="11">
        <v>46118.0</v>
      </c>
      <c r="B42" s="12">
        <v>46132.0</v>
      </c>
      <c r="C42" s="1" t="s">
        <v>27</v>
      </c>
      <c r="D42" s="59" t="s">
        <v>253</v>
      </c>
      <c r="E42" s="58">
        <v>59.99</v>
      </c>
      <c r="F42" s="14">
        <f t="shared" si="4"/>
        <v>17.997</v>
      </c>
      <c r="G42" s="57">
        <v>0.7</v>
      </c>
      <c r="H42" s="5"/>
    </row>
    <row r="43" ht="15.75" customHeight="1">
      <c r="A43" s="11">
        <v>46118.0</v>
      </c>
      <c r="B43" s="12">
        <v>46132.0</v>
      </c>
      <c r="C43" s="1" t="s">
        <v>27</v>
      </c>
      <c r="D43" s="59" t="s">
        <v>257</v>
      </c>
      <c r="E43" s="58">
        <v>69.99</v>
      </c>
      <c r="F43" s="14">
        <f t="shared" si="4"/>
        <v>34.995</v>
      </c>
      <c r="G43" s="57">
        <v>0.5</v>
      </c>
      <c r="H43" s="5"/>
    </row>
    <row r="44" ht="15.75" customHeight="1">
      <c r="A44" s="11">
        <v>46118.0</v>
      </c>
      <c r="B44" s="12">
        <v>46132.0</v>
      </c>
      <c r="C44" s="1" t="s">
        <v>27</v>
      </c>
      <c r="D44" s="58" t="s">
        <v>259</v>
      </c>
      <c r="E44" s="58">
        <v>89.99</v>
      </c>
      <c r="F44" s="14">
        <f t="shared" si="4"/>
        <v>40.4955</v>
      </c>
      <c r="G44" s="57">
        <v>0.55</v>
      </c>
      <c r="H44" s="5"/>
    </row>
    <row r="45" ht="15.75" customHeight="1">
      <c r="A45" s="11">
        <v>46118.0</v>
      </c>
      <c r="B45" s="12">
        <v>46132.0</v>
      </c>
      <c r="C45" s="1" t="s">
        <v>27</v>
      </c>
      <c r="D45" s="58" t="s">
        <v>260</v>
      </c>
      <c r="E45" s="58">
        <v>24.99</v>
      </c>
      <c r="F45" s="14">
        <f t="shared" si="4"/>
        <v>12.495</v>
      </c>
      <c r="G45" s="57">
        <v>0.5</v>
      </c>
      <c r="H45" s="5"/>
    </row>
    <row r="46" ht="15.75" customHeight="1">
      <c r="A46" s="11">
        <v>46118.0</v>
      </c>
      <c r="B46" s="12">
        <v>46132.0</v>
      </c>
      <c r="C46" s="1" t="s">
        <v>27</v>
      </c>
      <c r="D46" s="58" t="s">
        <v>266</v>
      </c>
      <c r="E46" s="58">
        <v>29.99</v>
      </c>
      <c r="F46" s="14">
        <f t="shared" si="4"/>
        <v>14.995</v>
      </c>
      <c r="G46" s="57">
        <v>0.5</v>
      </c>
      <c r="H46" s="5"/>
    </row>
    <row r="47" ht="15.75" customHeight="1">
      <c r="A47" s="11">
        <v>46118.0</v>
      </c>
      <c r="B47" s="12">
        <v>46132.0</v>
      </c>
      <c r="C47" s="1" t="s">
        <v>27</v>
      </c>
      <c r="D47" s="58" t="s">
        <v>271</v>
      </c>
      <c r="E47" s="58">
        <v>34.99</v>
      </c>
      <c r="F47" s="14">
        <f t="shared" si="4"/>
        <v>24.493</v>
      </c>
      <c r="G47" s="57">
        <v>0.3</v>
      </c>
      <c r="H47" s="5"/>
    </row>
    <row r="48" ht="15.75" customHeight="1">
      <c r="A48" s="11">
        <v>46118.0</v>
      </c>
      <c r="B48" s="12">
        <v>46132.0</v>
      </c>
      <c r="C48" s="1" t="s">
        <v>27</v>
      </c>
      <c r="D48" s="58" t="s">
        <v>272</v>
      </c>
      <c r="E48" s="58">
        <v>34.99</v>
      </c>
      <c r="F48" s="14">
        <f t="shared" si="4"/>
        <v>34.99</v>
      </c>
      <c r="G48" s="57">
        <v>0.0</v>
      </c>
      <c r="H48" s="5"/>
    </row>
    <row r="49" ht="15.75" customHeight="1">
      <c r="A49" s="11">
        <v>46118.0</v>
      </c>
      <c r="B49" s="12">
        <v>46132.0</v>
      </c>
      <c r="C49" s="1" t="s">
        <v>27</v>
      </c>
      <c r="D49" s="56" t="s">
        <v>274</v>
      </c>
      <c r="E49" s="58">
        <v>44.99</v>
      </c>
      <c r="F49" s="14">
        <f t="shared" si="4"/>
        <v>22.495</v>
      </c>
      <c r="G49" s="57">
        <v>0.5</v>
      </c>
      <c r="H49" s="5"/>
    </row>
    <row r="50" ht="15.75" customHeight="1">
      <c r="A50" s="11">
        <v>46118.0</v>
      </c>
      <c r="B50" s="12">
        <v>46132.0</v>
      </c>
      <c r="C50" s="1" t="s">
        <v>27</v>
      </c>
      <c r="D50" s="58" t="s">
        <v>277</v>
      </c>
      <c r="E50" s="56">
        <v>59.99</v>
      </c>
      <c r="F50" s="14">
        <f t="shared" si="4"/>
        <v>44.9925</v>
      </c>
      <c r="G50" s="57">
        <v>0.25</v>
      </c>
      <c r="H50" s="5"/>
    </row>
    <row r="51" ht="15.75" customHeight="1">
      <c r="H51" s="5"/>
    </row>
    <row r="52" ht="15.75" customHeight="1">
      <c r="A52" s="11">
        <v>46170.0</v>
      </c>
      <c r="B52" s="12">
        <v>46184.0</v>
      </c>
      <c r="C52" s="1" t="s">
        <v>27</v>
      </c>
      <c r="D52" s="56" t="s">
        <v>239</v>
      </c>
      <c r="E52" s="56">
        <v>29.99</v>
      </c>
      <c r="F52" s="14">
        <f t="shared" ref="F52:F62" si="5">E52*(1-G52)</f>
        <v>7.4975</v>
      </c>
      <c r="G52" s="57">
        <v>0.75</v>
      </c>
      <c r="H52" s="5"/>
    </row>
    <row r="53" ht="15.75" customHeight="1">
      <c r="A53" s="11">
        <v>46170.0</v>
      </c>
      <c r="B53" s="12">
        <v>46184.0</v>
      </c>
      <c r="C53" s="1" t="s">
        <v>27</v>
      </c>
      <c r="D53" s="56" t="s">
        <v>248</v>
      </c>
      <c r="E53" s="58">
        <v>39.99</v>
      </c>
      <c r="F53" s="14">
        <f t="shared" si="5"/>
        <v>11.997</v>
      </c>
      <c r="G53" s="57">
        <v>0.7</v>
      </c>
      <c r="H53" s="5"/>
    </row>
    <row r="54" ht="15.75" customHeight="1">
      <c r="A54" s="11">
        <v>46170.0</v>
      </c>
      <c r="B54" s="12">
        <v>46184.0</v>
      </c>
      <c r="C54" s="1" t="s">
        <v>27</v>
      </c>
      <c r="D54" s="59" t="s">
        <v>253</v>
      </c>
      <c r="E54" s="58">
        <v>59.99</v>
      </c>
      <c r="F54" s="14">
        <f t="shared" si="5"/>
        <v>17.997</v>
      </c>
      <c r="G54" s="57">
        <v>0.7</v>
      </c>
      <c r="H54" s="5"/>
    </row>
    <row r="55" ht="15.75" customHeight="1">
      <c r="A55" s="11">
        <v>46170.0</v>
      </c>
      <c r="B55" s="12">
        <v>46184.0</v>
      </c>
      <c r="C55" s="1" t="s">
        <v>27</v>
      </c>
      <c r="D55" s="59" t="s">
        <v>257</v>
      </c>
      <c r="E55" s="58">
        <v>69.99</v>
      </c>
      <c r="F55" s="14">
        <f t="shared" si="5"/>
        <v>34.995</v>
      </c>
      <c r="G55" s="57">
        <v>0.5</v>
      </c>
      <c r="H55" s="5"/>
    </row>
    <row r="56" ht="15.75" customHeight="1">
      <c r="A56" s="11">
        <v>46170.0</v>
      </c>
      <c r="B56" s="12">
        <v>46184.0</v>
      </c>
      <c r="C56" s="1" t="s">
        <v>27</v>
      </c>
      <c r="D56" s="58" t="s">
        <v>259</v>
      </c>
      <c r="E56" s="58">
        <v>89.99</v>
      </c>
      <c r="F56" s="14">
        <f t="shared" si="5"/>
        <v>40.4955</v>
      </c>
      <c r="G56" s="57">
        <v>0.55</v>
      </c>
      <c r="H56" s="5"/>
    </row>
    <row r="57" ht="15.75" customHeight="1">
      <c r="A57" s="11">
        <v>46170.0</v>
      </c>
      <c r="B57" s="12">
        <v>46184.0</v>
      </c>
      <c r="C57" s="1" t="s">
        <v>27</v>
      </c>
      <c r="D57" s="58" t="s">
        <v>260</v>
      </c>
      <c r="E57" s="67">
        <v>24.99</v>
      </c>
      <c r="F57" s="14">
        <f t="shared" si="5"/>
        <v>14.994</v>
      </c>
      <c r="G57" s="60">
        <v>0.4</v>
      </c>
      <c r="H57" s="5"/>
    </row>
    <row r="58" ht="15.75" customHeight="1">
      <c r="A58" s="11">
        <v>46170.0</v>
      </c>
      <c r="B58" s="12">
        <v>46184.0</v>
      </c>
      <c r="C58" s="1" t="s">
        <v>27</v>
      </c>
      <c r="D58" s="58" t="s">
        <v>266</v>
      </c>
      <c r="E58" s="67">
        <v>24.99</v>
      </c>
      <c r="F58" s="14">
        <f t="shared" si="5"/>
        <v>14.994</v>
      </c>
      <c r="G58" s="60">
        <v>0.4</v>
      </c>
      <c r="H58" s="5"/>
    </row>
    <row r="59" ht="15.75" customHeight="1">
      <c r="A59" s="11">
        <v>46170.0</v>
      </c>
      <c r="B59" s="12">
        <v>46184.0</v>
      </c>
      <c r="C59" s="1" t="s">
        <v>27</v>
      </c>
      <c r="D59" s="58" t="s">
        <v>271</v>
      </c>
      <c r="E59" s="67">
        <v>24.99</v>
      </c>
      <c r="F59" s="14">
        <f t="shared" si="5"/>
        <v>14.994</v>
      </c>
      <c r="G59" s="60">
        <v>0.4</v>
      </c>
      <c r="H59" s="5"/>
    </row>
    <row r="60" ht="15.75" customHeight="1">
      <c r="A60" s="11">
        <v>46170.0</v>
      </c>
      <c r="B60" s="12">
        <v>46184.0</v>
      </c>
      <c r="C60" s="1" t="s">
        <v>27</v>
      </c>
      <c r="D60" s="58" t="s">
        <v>272</v>
      </c>
      <c r="E60" s="58">
        <v>34.99</v>
      </c>
      <c r="F60" s="14">
        <f t="shared" si="5"/>
        <v>34.99</v>
      </c>
      <c r="G60" s="57">
        <v>0.0</v>
      </c>
      <c r="H60" s="5"/>
    </row>
    <row r="61" ht="15.75" customHeight="1">
      <c r="A61" s="11">
        <v>46170.0</v>
      </c>
      <c r="B61" s="12">
        <v>46184.0</v>
      </c>
      <c r="C61" s="1" t="s">
        <v>27</v>
      </c>
      <c r="D61" s="56" t="s">
        <v>274</v>
      </c>
      <c r="E61" s="58">
        <v>44.99</v>
      </c>
      <c r="F61" s="14">
        <f t="shared" si="5"/>
        <v>22.495</v>
      </c>
      <c r="G61" s="57">
        <v>0.5</v>
      </c>
      <c r="H61" s="5"/>
    </row>
    <row r="62" ht="15.75" customHeight="1">
      <c r="A62" s="11">
        <v>46170.0</v>
      </c>
      <c r="B62" s="12">
        <v>46184.0</v>
      </c>
      <c r="C62" s="1" t="s">
        <v>27</v>
      </c>
      <c r="D62" s="58" t="s">
        <v>277</v>
      </c>
      <c r="E62" s="56">
        <v>59.99</v>
      </c>
      <c r="F62" s="14">
        <f t="shared" si="5"/>
        <v>44.9925</v>
      </c>
      <c r="G62" s="57">
        <v>0.25</v>
      </c>
      <c r="H62" s="5"/>
    </row>
    <row r="63" ht="15.75" customHeight="1">
      <c r="H63" s="5"/>
    </row>
    <row r="64" ht="15.75" customHeight="1">
      <c r="A64" s="11">
        <v>46198.0</v>
      </c>
      <c r="B64" s="12">
        <v>46212.0</v>
      </c>
      <c r="C64" s="1" t="s">
        <v>56</v>
      </c>
      <c r="D64" s="56" t="s">
        <v>239</v>
      </c>
      <c r="E64" s="56">
        <v>29.99</v>
      </c>
      <c r="F64" s="14">
        <f t="shared" ref="F64:F74" si="6">E64*(1-G64)</f>
        <v>7.4975</v>
      </c>
      <c r="G64" s="57">
        <v>0.75</v>
      </c>
      <c r="H64" s="5"/>
    </row>
    <row r="65" ht="15.75" customHeight="1">
      <c r="A65" s="11">
        <v>46198.0</v>
      </c>
      <c r="B65" s="12">
        <v>46212.0</v>
      </c>
      <c r="C65" s="1" t="s">
        <v>56</v>
      </c>
      <c r="D65" s="56" t="s">
        <v>248</v>
      </c>
      <c r="E65" s="58">
        <v>39.99</v>
      </c>
      <c r="F65" s="14">
        <f t="shared" si="6"/>
        <v>11.997</v>
      </c>
      <c r="G65" s="57">
        <v>0.7</v>
      </c>
      <c r="H65" s="5"/>
    </row>
    <row r="66" ht="15.75" customHeight="1">
      <c r="A66" s="11">
        <v>46198.0</v>
      </c>
      <c r="B66" s="12">
        <v>46212.0</v>
      </c>
      <c r="C66" s="1" t="s">
        <v>56</v>
      </c>
      <c r="D66" s="59" t="s">
        <v>253</v>
      </c>
      <c r="E66" s="58">
        <v>59.99</v>
      </c>
      <c r="F66" s="14">
        <f t="shared" si="6"/>
        <v>17.997</v>
      </c>
      <c r="G66" s="57">
        <v>0.7</v>
      </c>
      <c r="H66" s="5"/>
    </row>
    <row r="67" ht="15.75" customHeight="1">
      <c r="A67" s="11">
        <v>46198.0</v>
      </c>
      <c r="B67" s="12">
        <v>46212.0</v>
      </c>
      <c r="C67" s="1" t="s">
        <v>56</v>
      </c>
      <c r="D67" s="59" t="s">
        <v>257</v>
      </c>
      <c r="E67" s="58">
        <v>69.99</v>
      </c>
      <c r="F67" s="14">
        <f t="shared" si="6"/>
        <v>34.995</v>
      </c>
      <c r="G67" s="57">
        <v>0.5</v>
      </c>
      <c r="H67" s="5"/>
    </row>
    <row r="68" ht="15.75" customHeight="1">
      <c r="A68" s="11">
        <v>46198.0</v>
      </c>
      <c r="B68" s="12">
        <v>46212.0</v>
      </c>
      <c r="C68" s="1" t="s">
        <v>56</v>
      </c>
      <c r="D68" s="58" t="s">
        <v>259</v>
      </c>
      <c r="E68" s="58">
        <v>89.99</v>
      </c>
      <c r="F68" s="14">
        <f t="shared" si="6"/>
        <v>40.4955</v>
      </c>
      <c r="G68" s="57">
        <v>0.55</v>
      </c>
      <c r="H68" s="5"/>
    </row>
    <row r="69" ht="15.75" customHeight="1">
      <c r="A69" s="11">
        <v>46198.0</v>
      </c>
      <c r="B69" s="12">
        <v>46212.0</v>
      </c>
      <c r="C69" s="1" t="s">
        <v>56</v>
      </c>
      <c r="D69" s="58" t="s">
        <v>260</v>
      </c>
      <c r="E69" s="58">
        <v>24.99</v>
      </c>
      <c r="F69" s="14">
        <f t="shared" si="6"/>
        <v>12.495</v>
      </c>
      <c r="G69" s="57">
        <v>0.5</v>
      </c>
      <c r="H69" s="5"/>
    </row>
    <row r="70" ht="15.75" customHeight="1">
      <c r="A70" s="11">
        <v>46198.0</v>
      </c>
      <c r="B70" s="12">
        <v>46212.0</v>
      </c>
      <c r="C70" s="1" t="s">
        <v>56</v>
      </c>
      <c r="D70" s="58" t="s">
        <v>266</v>
      </c>
      <c r="E70" s="58">
        <v>29.99</v>
      </c>
      <c r="F70" s="14">
        <f t="shared" si="6"/>
        <v>14.995</v>
      </c>
      <c r="G70" s="57">
        <v>0.5</v>
      </c>
      <c r="H70" s="5"/>
    </row>
    <row r="71" ht="15.75" customHeight="1">
      <c r="A71" s="11">
        <v>46198.0</v>
      </c>
      <c r="B71" s="12">
        <v>46212.0</v>
      </c>
      <c r="C71" s="1" t="s">
        <v>56</v>
      </c>
      <c r="D71" s="58" t="s">
        <v>271</v>
      </c>
      <c r="E71" s="58">
        <v>34.99</v>
      </c>
      <c r="F71" s="14">
        <f t="shared" si="6"/>
        <v>24.493</v>
      </c>
      <c r="G71" s="57">
        <v>0.3</v>
      </c>
      <c r="H71" s="5"/>
    </row>
    <row r="72" ht="15.75" customHeight="1">
      <c r="A72" s="11">
        <v>46198.0</v>
      </c>
      <c r="B72" s="12">
        <v>46212.0</v>
      </c>
      <c r="C72" s="1" t="s">
        <v>56</v>
      </c>
      <c r="D72" s="58" t="s">
        <v>272</v>
      </c>
      <c r="E72" s="58">
        <v>34.99</v>
      </c>
      <c r="F72" s="14">
        <f t="shared" si="6"/>
        <v>34.99</v>
      </c>
      <c r="G72" s="57">
        <v>0.0</v>
      </c>
      <c r="H72" s="5"/>
    </row>
    <row r="73" ht="15.75" customHeight="1">
      <c r="A73" s="11">
        <v>46198.0</v>
      </c>
      <c r="B73" s="12">
        <v>46212.0</v>
      </c>
      <c r="C73" s="1" t="s">
        <v>56</v>
      </c>
      <c r="D73" s="56" t="s">
        <v>274</v>
      </c>
      <c r="E73" s="58">
        <v>44.99</v>
      </c>
      <c r="F73" s="14">
        <f t="shared" si="6"/>
        <v>22.495</v>
      </c>
      <c r="G73" s="57">
        <v>0.5</v>
      </c>
      <c r="H73" s="5"/>
    </row>
    <row r="74" ht="15.75" customHeight="1">
      <c r="A74" s="11">
        <v>46198.0</v>
      </c>
      <c r="B74" s="12">
        <v>46212.0</v>
      </c>
      <c r="C74" s="1" t="s">
        <v>56</v>
      </c>
      <c r="D74" s="58" t="s">
        <v>277</v>
      </c>
      <c r="E74" s="56">
        <v>59.99</v>
      </c>
      <c r="F74" s="14">
        <f t="shared" si="6"/>
        <v>44.9925</v>
      </c>
      <c r="G74" s="57">
        <v>0.25</v>
      </c>
      <c r="H74" s="5"/>
    </row>
    <row r="75" ht="15.75" customHeight="1">
      <c r="H75" s="5"/>
    </row>
    <row r="76" ht="15.75" customHeight="1">
      <c r="A76" s="11">
        <v>46219.0</v>
      </c>
      <c r="B76" s="12">
        <v>46233.0</v>
      </c>
      <c r="C76" s="1" t="s">
        <v>27</v>
      </c>
      <c r="D76" s="56" t="s">
        <v>239</v>
      </c>
      <c r="E76" s="56">
        <v>29.99</v>
      </c>
      <c r="F76" s="14">
        <f t="shared" ref="F76:F84" si="7">E76*(1-G76)</f>
        <v>7.4975</v>
      </c>
      <c r="G76" s="57">
        <v>0.75</v>
      </c>
      <c r="H76" s="5"/>
    </row>
    <row r="77" ht="15.75" customHeight="1">
      <c r="A77" s="11">
        <v>46219.0</v>
      </c>
      <c r="B77" s="12">
        <v>46233.0</v>
      </c>
      <c r="C77" s="1" t="s">
        <v>27</v>
      </c>
      <c r="D77" s="56" t="s">
        <v>248</v>
      </c>
      <c r="E77" s="58">
        <v>39.99</v>
      </c>
      <c r="F77" s="14">
        <f t="shared" si="7"/>
        <v>11.997</v>
      </c>
      <c r="G77" s="57">
        <v>0.7</v>
      </c>
      <c r="H77" s="5"/>
    </row>
    <row r="78" ht="15.75" customHeight="1">
      <c r="A78" s="11">
        <v>46219.0</v>
      </c>
      <c r="B78" s="12">
        <v>46233.0</v>
      </c>
      <c r="C78" s="1" t="s">
        <v>27</v>
      </c>
      <c r="D78" s="58" t="s">
        <v>259</v>
      </c>
      <c r="E78" s="58">
        <v>89.99</v>
      </c>
      <c r="F78" s="14">
        <f t="shared" si="7"/>
        <v>40.4955</v>
      </c>
      <c r="G78" s="57">
        <v>0.55</v>
      </c>
      <c r="H78" s="5"/>
    </row>
    <row r="79" ht="15.75" customHeight="1">
      <c r="A79" s="11">
        <v>46219.0</v>
      </c>
      <c r="B79" s="12">
        <v>46233.0</v>
      </c>
      <c r="C79" s="1" t="s">
        <v>27</v>
      </c>
      <c r="D79" s="58" t="s">
        <v>260</v>
      </c>
      <c r="E79" s="58">
        <v>24.99</v>
      </c>
      <c r="F79" s="14">
        <f t="shared" si="7"/>
        <v>12.495</v>
      </c>
      <c r="G79" s="57">
        <v>0.5</v>
      </c>
      <c r="H79" s="5"/>
    </row>
    <row r="80" ht="15.75" customHeight="1">
      <c r="A80" s="11">
        <v>46219.0</v>
      </c>
      <c r="B80" s="12">
        <v>46233.0</v>
      </c>
      <c r="C80" s="1" t="s">
        <v>27</v>
      </c>
      <c r="D80" s="58" t="s">
        <v>266</v>
      </c>
      <c r="E80" s="58">
        <v>29.99</v>
      </c>
      <c r="F80" s="14">
        <f t="shared" si="7"/>
        <v>14.995</v>
      </c>
      <c r="G80" s="57">
        <v>0.5</v>
      </c>
      <c r="H80" s="5"/>
    </row>
    <row r="81" ht="15.75" customHeight="1">
      <c r="A81" s="11">
        <v>46219.0</v>
      </c>
      <c r="B81" s="12">
        <v>46233.0</v>
      </c>
      <c r="C81" s="1" t="s">
        <v>27</v>
      </c>
      <c r="D81" s="58" t="s">
        <v>271</v>
      </c>
      <c r="E81" s="58">
        <v>34.99</v>
      </c>
      <c r="F81" s="14">
        <f t="shared" si="7"/>
        <v>24.493</v>
      </c>
      <c r="G81" s="57">
        <v>0.3</v>
      </c>
      <c r="H81" s="5"/>
    </row>
    <row r="82" ht="15.75" customHeight="1">
      <c r="A82" s="11">
        <v>46219.0</v>
      </c>
      <c r="B82" s="12">
        <v>46233.0</v>
      </c>
      <c r="C82" s="1" t="s">
        <v>27</v>
      </c>
      <c r="D82" s="58" t="s">
        <v>272</v>
      </c>
      <c r="E82" s="58">
        <v>34.99</v>
      </c>
      <c r="F82" s="14">
        <f t="shared" si="7"/>
        <v>34.99</v>
      </c>
      <c r="G82" s="57">
        <v>0.0</v>
      </c>
      <c r="H82" s="5"/>
    </row>
    <row r="83" ht="15.75" customHeight="1">
      <c r="A83" s="11">
        <v>46219.0</v>
      </c>
      <c r="B83" s="12">
        <v>46233.0</v>
      </c>
      <c r="C83" s="1" t="s">
        <v>27</v>
      </c>
      <c r="D83" s="56" t="s">
        <v>274</v>
      </c>
      <c r="E83" s="58">
        <v>44.99</v>
      </c>
      <c r="F83" s="14">
        <f t="shared" si="7"/>
        <v>22.495</v>
      </c>
      <c r="G83" s="57">
        <v>0.5</v>
      </c>
      <c r="H83" s="5"/>
    </row>
    <row r="84" ht="15.75" customHeight="1">
      <c r="A84" s="11">
        <v>46219.0</v>
      </c>
      <c r="B84" s="12">
        <v>46233.0</v>
      </c>
      <c r="C84" s="1" t="s">
        <v>27</v>
      </c>
      <c r="D84" s="58" t="s">
        <v>277</v>
      </c>
      <c r="E84" s="56">
        <v>59.99</v>
      </c>
      <c r="F84" s="14">
        <f t="shared" si="7"/>
        <v>44.9925</v>
      </c>
      <c r="G84" s="57">
        <v>0.25</v>
      </c>
      <c r="H84" s="5"/>
    </row>
    <row r="85" ht="15.75" customHeight="1">
      <c r="H85" s="5"/>
    </row>
    <row r="86" ht="15.75" customHeight="1">
      <c r="A86" s="11">
        <v>46268.0</v>
      </c>
      <c r="B86" s="12">
        <v>46279.0</v>
      </c>
      <c r="C86" s="1" t="s">
        <v>72</v>
      </c>
      <c r="D86" s="56" t="s">
        <v>239</v>
      </c>
      <c r="E86" s="56">
        <v>29.99</v>
      </c>
      <c r="F86" s="14">
        <f t="shared" ref="F86:F94" si="8">E86*(1-G86)</f>
        <v>5.998</v>
      </c>
      <c r="G86" s="60">
        <v>0.8</v>
      </c>
      <c r="H86" s="5"/>
    </row>
    <row r="87" ht="15.75" customHeight="1">
      <c r="A87" s="11">
        <v>46268.0</v>
      </c>
      <c r="B87" s="12">
        <v>46279.0</v>
      </c>
      <c r="C87" s="1" t="s">
        <v>72</v>
      </c>
      <c r="D87" s="56" t="s">
        <v>248</v>
      </c>
      <c r="E87" s="58">
        <v>39.99</v>
      </c>
      <c r="F87" s="14">
        <f t="shared" si="8"/>
        <v>11.997</v>
      </c>
      <c r="G87" s="57">
        <v>0.7</v>
      </c>
      <c r="H87" s="5"/>
    </row>
    <row r="88" ht="15.75" customHeight="1">
      <c r="A88" s="11">
        <v>46268.0</v>
      </c>
      <c r="B88" s="12">
        <v>46279.0</v>
      </c>
      <c r="C88" s="1" t="s">
        <v>72</v>
      </c>
      <c r="D88" s="58" t="s">
        <v>259</v>
      </c>
      <c r="E88" s="58">
        <v>89.99</v>
      </c>
      <c r="F88" s="14">
        <f t="shared" si="8"/>
        <v>40.4955</v>
      </c>
      <c r="G88" s="57">
        <v>0.55</v>
      </c>
      <c r="H88" s="5"/>
    </row>
    <row r="89" ht="15.75" customHeight="1">
      <c r="A89" s="11">
        <v>46268.0</v>
      </c>
      <c r="B89" s="12">
        <v>46279.0</v>
      </c>
      <c r="C89" s="1" t="s">
        <v>72</v>
      </c>
      <c r="D89" s="58" t="s">
        <v>260</v>
      </c>
      <c r="E89" s="58">
        <v>24.99</v>
      </c>
      <c r="F89" s="14">
        <f t="shared" si="8"/>
        <v>12.495</v>
      </c>
      <c r="G89" s="57">
        <v>0.5</v>
      </c>
      <c r="H89" s="5"/>
    </row>
    <row r="90" ht="15.75" customHeight="1">
      <c r="A90" s="11">
        <v>46268.0</v>
      </c>
      <c r="B90" s="12">
        <v>46279.0</v>
      </c>
      <c r="C90" s="1" t="s">
        <v>72</v>
      </c>
      <c r="D90" s="58" t="s">
        <v>266</v>
      </c>
      <c r="E90" s="58">
        <v>29.99</v>
      </c>
      <c r="F90" s="14">
        <f t="shared" si="8"/>
        <v>14.995</v>
      </c>
      <c r="G90" s="57">
        <v>0.5</v>
      </c>
      <c r="H90" s="5"/>
    </row>
    <row r="91" ht="15.75" customHeight="1">
      <c r="A91" s="11">
        <v>46268.0</v>
      </c>
      <c r="B91" s="12">
        <v>46279.0</v>
      </c>
      <c r="C91" s="1" t="s">
        <v>72</v>
      </c>
      <c r="D91" s="58" t="s">
        <v>271</v>
      </c>
      <c r="E91" s="58">
        <v>34.99</v>
      </c>
      <c r="F91" s="14">
        <f t="shared" si="8"/>
        <v>24.493</v>
      </c>
      <c r="G91" s="57">
        <v>0.3</v>
      </c>
      <c r="H91" s="5"/>
    </row>
    <row r="92" ht="15.75" customHeight="1">
      <c r="A92" s="11">
        <v>46268.0</v>
      </c>
      <c r="B92" s="12">
        <v>46279.0</v>
      </c>
      <c r="C92" s="1" t="s">
        <v>72</v>
      </c>
      <c r="D92" s="58" t="s">
        <v>272</v>
      </c>
      <c r="E92" s="58">
        <v>34.99</v>
      </c>
      <c r="F92" s="14">
        <f t="shared" si="8"/>
        <v>34.99</v>
      </c>
      <c r="G92" s="57">
        <v>0.0</v>
      </c>
      <c r="H92" s="5"/>
    </row>
    <row r="93" ht="15.75" customHeight="1">
      <c r="A93" s="11">
        <v>46268.0</v>
      </c>
      <c r="B93" s="12">
        <v>46279.0</v>
      </c>
      <c r="C93" s="1" t="s">
        <v>72</v>
      </c>
      <c r="D93" s="56" t="s">
        <v>274</v>
      </c>
      <c r="E93" s="58">
        <v>44.99</v>
      </c>
      <c r="F93" s="14">
        <f t="shared" si="8"/>
        <v>22.495</v>
      </c>
      <c r="G93" s="57">
        <v>0.5</v>
      </c>
      <c r="H93" s="5"/>
    </row>
    <row r="94" ht="15.75" customHeight="1">
      <c r="A94" s="11">
        <v>46268.0</v>
      </c>
      <c r="B94" s="12">
        <v>46279.0</v>
      </c>
      <c r="C94" s="1" t="s">
        <v>72</v>
      </c>
      <c r="D94" s="58" t="s">
        <v>277</v>
      </c>
      <c r="E94" s="56">
        <v>59.99</v>
      </c>
      <c r="F94" s="14">
        <f t="shared" si="8"/>
        <v>44.9925</v>
      </c>
      <c r="G94" s="57">
        <v>0.25</v>
      </c>
      <c r="H94" s="5"/>
    </row>
    <row r="95" ht="15.75" customHeight="1">
      <c r="H95" s="5"/>
    </row>
    <row r="96" ht="15.75" customHeight="1">
      <c r="A96" s="11">
        <v>46296.0</v>
      </c>
      <c r="B96" s="12">
        <v>46303.0</v>
      </c>
      <c r="C96" s="1" t="s">
        <v>75</v>
      </c>
      <c r="D96" s="56" t="s">
        <v>239</v>
      </c>
      <c r="E96" s="56">
        <v>29.99</v>
      </c>
      <c r="F96" s="14">
        <f t="shared" ref="F96:F104" si="9">E96*(1-G96)</f>
        <v>5.998</v>
      </c>
      <c r="G96" s="57">
        <v>0.8</v>
      </c>
      <c r="H96" s="5"/>
    </row>
    <row r="97" ht="15.75" customHeight="1">
      <c r="A97" s="11">
        <v>46296.0</v>
      </c>
      <c r="B97" s="12">
        <v>46303.0</v>
      </c>
      <c r="C97" s="1" t="s">
        <v>75</v>
      </c>
      <c r="D97" s="56" t="s">
        <v>248</v>
      </c>
      <c r="E97" s="58">
        <v>39.99</v>
      </c>
      <c r="F97" s="14">
        <f t="shared" si="9"/>
        <v>11.997</v>
      </c>
      <c r="G97" s="57">
        <v>0.7</v>
      </c>
      <c r="H97" s="5"/>
    </row>
    <row r="98" ht="15.75" customHeight="1">
      <c r="A98" s="11">
        <v>46296.0</v>
      </c>
      <c r="B98" s="12">
        <v>46303.0</v>
      </c>
      <c r="C98" s="1" t="s">
        <v>75</v>
      </c>
      <c r="D98" s="58" t="s">
        <v>259</v>
      </c>
      <c r="E98" s="58">
        <v>89.99</v>
      </c>
      <c r="F98" s="14">
        <f t="shared" si="9"/>
        <v>40.4955</v>
      </c>
      <c r="G98" s="57">
        <v>0.55</v>
      </c>
      <c r="H98" s="5"/>
    </row>
    <row r="99" ht="15.75" customHeight="1">
      <c r="A99" s="11">
        <v>46296.0</v>
      </c>
      <c r="B99" s="12">
        <v>46303.0</v>
      </c>
      <c r="C99" s="1" t="s">
        <v>75</v>
      </c>
      <c r="D99" s="58" t="s">
        <v>260</v>
      </c>
      <c r="E99" s="58">
        <v>24.99</v>
      </c>
      <c r="F99" s="14">
        <f t="shared" si="9"/>
        <v>12.495</v>
      </c>
      <c r="G99" s="57">
        <v>0.5</v>
      </c>
      <c r="H99" s="5"/>
    </row>
    <row r="100" ht="15.75" customHeight="1">
      <c r="A100" s="11">
        <v>46296.0</v>
      </c>
      <c r="B100" s="12">
        <v>46303.0</v>
      </c>
      <c r="C100" s="1" t="s">
        <v>75</v>
      </c>
      <c r="D100" s="58" t="s">
        <v>266</v>
      </c>
      <c r="E100" s="58">
        <v>29.99</v>
      </c>
      <c r="F100" s="14">
        <f t="shared" si="9"/>
        <v>14.995</v>
      </c>
      <c r="G100" s="57">
        <v>0.5</v>
      </c>
      <c r="H100" s="5"/>
    </row>
    <row r="101" ht="15.75" customHeight="1">
      <c r="A101" s="11">
        <v>46296.0</v>
      </c>
      <c r="B101" s="12">
        <v>46303.0</v>
      </c>
      <c r="C101" s="1" t="s">
        <v>75</v>
      </c>
      <c r="D101" s="58" t="s">
        <v>271</v>
      </c>
      <c r="E101" s="58">
        <v>34.99</v>
      </c>
      <c r="F101" s="14">
        <f t="shared" si="9"/>
        <v>24.493</v>
      </c>
      <c r="G101" s="57">
        <v>0.3</v>
      </c>
      <c r="H101" s="5"/>
    </row>
    <row r="102" ht="15.75" customHeight="1">
      <c r="A102" s="11">
        <v>46296.0</v>
      </c>
      <c r="B102" s="12">
        <v>46303.0</v>
      </c>
      <c r="C102" s="1" t="s">
        <v>75</v>
      </c>
      <c r="D102" s="58" t="s">
        <v>272</v>
      </c>
      <c r="E102" s="58">
        <v>34.99</v>
      </c>
      <c r="F102" s="14">
        <f t="shared" si="9"/>
        <v>34.99</v>
      </c>
      <c r="G102" s="57">
        <v>0.0</v>
      </c>
      <c r="H102" s="5"/>
    </row>
    <row r="103" ht="15.75" customHeight="1">
      <c r="A103" s="11">
        <v>46296.0</v>
      </c>
      <c r="B103" s="12">
        <v>46303.0</v>
      </c>
      <c r="C103" s="1" t="s">
        <v>75</v>
      </c>
      <c r="D103" s="56" t="s">
        <v>274</v>
      </c>
      <c r="E103" s="58">
        <v>44.99</v>
      </c>
      <c r="F103" s="14">
        <f t="shared" si="9"/>
        <v>22.495</v>
      </c>
      <c r="G103" s="57">
        <v>0.5</v>
      </c>
      <c r="H103" s="5"/>
    </row>
    <row r="104" ht="15.75" customHeight="1">
      <c r="A104" s="11">
        <v>46296.0</v>
      </c>
      <c r="B104" s="12">
        <v>46303.0</v>
      </c>
      <c r="C104" s="1" t="s">
        <v>75</v>
      </c>
      <c r="D104" s="58" t="s">
        <v>277</v>
      </c>
      <c r="E104" s="56">
        <v>59.99</v>
      </c>
      <c r="F104" s="14">
        <f t="shared" si="9"/>
        <v>44.9925</v>
      </c>
      <c r="G104" s="57">
        <v>0.25</v>
      </c>
      <c r="H104" s="5"/>
    </row>
    <row r="105" ht="15.75" customHeight="1">
      <c r="H105" s="5"/>
    </row>
    <row r="106" ht="15.75" customHeight="1">
      <c r="H106" s="5"/>
    </row>
    <row r="107" ht="15.75" customHeight="1">
      <c r="H107" s="5"/>
    </row>
    <row r="108" ht="15.75" customHeight="1">
      <c r="H108" s="5"/>
    </row>
    <row r="109" ht="15.75" customHeight="1">
      <c r="A109" s="39" t="s">
        <v>78</v>
      </c>
      <c r="H109" s="5"/>
    </row>
    <row r="110" ht="15.75" customHeight="1">
      <c r="A110" s="12">
        <v>46030.0</v>
      </c>
      <c r="B110" s="12">
        <v>46043.0</v>
      </c>
      <c r="C110" s="1" t="s">
        <v>164</v>
      </c>
      <c r="D110" s="41" t="s">
        <v>377</v>
      </c>
      <c r="E110" s="14" t="s">
        <v>133</v>
      </c>
      <c r="F110" s="33" t="s">
        <v>378</v>
      </c>
      <c r="G110" s="73">
        <v>0.5</v>
      </c>
      <c r="H110" s="5"/>
    </row>
    <row r="111" ht="15.75" customHeight="1">
      <c r="A111" s="12">
        <v>46030.0</v>
      </c>
      <c r="B111" s="12">
        <v>46043.0</v>
      </c>
      <c r="C111" s="1" t="s">
        <v>164</v>
      </c>
      <c r="D111" s="41" t="s">
        <v>379</v>
      </c>
      <c r="E111" s="14" t="s">
        <v>244</v>
      </c>
      <c r="F111" s="33" t="s">
        <v>380</v>
      </c>
      <c r="G111" s="73">
        <v>0.5</v>
      </c>
      <c r="H111" s="5"/>
    </row>
    <row r="112" ht="15.75" customHeight="1">
      <c r="A112" s="12">
        <v>46030.0</v>
      </c>
      <c r="B112" s="12">
        <v>46043.0</v>
      </c>
      <c r="C112" s="1" t="s">
        <v>164</v>
      </c>
      <c r="D112" s="41" t="s">
        <v>381</v>
      </c>
      <c r="E112" s="14" t="s">
        <v>89</v>
      </c>
      <c r="F112" s="33" t="s">
        <v>281</v>
      </c>
      <c r="G112" s="73">
        <v>0.5</v>
      </c>
      <c r="H112" s="5"/>
    </row>
    <row r="113" ht="15.75" customHeight="1">
      <c r="A113" s="12">
        <v>46030.0</v>
      </c>
      <c r="B113" s="12">
        <v>46043.0</v>
      </c>
      <c r="C113" s="1" t="s">
        <v>164</v>
      </c>
      <c r="D113" s="41" t="s">
        <v>382</v>
      </c>
      <c r="E113" s="14" t="s">
        <v>96</v>
      </c>
      <c r="F113" s="33" t="s">
        <v>383</v>
      </c>
      <c r="G113" s="73">
        <v>0.3</v>
      </c>
      <c r="H113" s="5"/>
    </row>
    <row r="114" ht="15.75" customHeight="1">
      <c r="A114" s="12">
        <v>46035.0</v>
      </c>
      <c r="B114" s="12">
        <v>46041.0</v>
      </c>
      <c r="C114" s="1" t="s">
        <v>111</v>
      </c>
      <c r="D114" s="41" t="s">
        <v>384</v>
      </c>
      <c r="E114" s="14" t="s">
        <v>95</v>
      </c>
      <c r="F114" s="33" t="s">
        <v>281</v>
      </c>
      <c r="G114" s="73">
        <v>0.7</v>
      </c>
      <c r="H114" s="5"/>
    </row>
    <row r="115" ht="15.75" customHeight="1">
      <c r="A115" s="12">
        <v>46035.0</v>
      </c>
      <c r="B115" s="12">
        <v>46041.0</v>
      </c>
      <c r="C115" s="1" t="s">
        <v>111</v>
      </c>
      <c r="D115" s="41" t="s">
        <v>384</v>
      </c>
      <c r="E115" s="14" t="s">
        <v>88</v>
      </c>
      <c r="F115" s="33" t="s">
        <v>240</v>
      </c>
      <c r="G115" s="73">
        <v>0.7</v>
      </c>
      <c r="H115" s="5"/>
    </row>
    <row r="116" ht="15.75" customHeight="1">
      <c r="A116" s="12">
        <v>46042.0</v>
      </c>
      <c r="B116" s="12">
        <v>46048.0</v>
      </c>
      <c r="C116" s="1" t="s">
        <v>111</v>
      </c>
      <c r="D116" s="41" t="s">
        <v>385</v>
      </c>
      <c r="E116" s="14" t="s">
        <v>183</v>
      </c>
      <c r="F116" s="33" t="s">
        <v>132</v>
      </c>
      <c r="G116" s="73">
        <v>0.4</v>
      </c>
      <c r="H116" s="5"/>
    </row>
    <row r="117" ht="15.75" customHeight="1">
      <c r="A117" s="12">
        <v>46056.0</v>
      </c>
      <c r="B117" s="12">
        <v>46069.0</v>
      </c>
      <c r="C117" s="1" t="s">
        <v>114</v>
      </c>
      <c r="D117" s="41" t="s">
        <v>239</v>
      </c>
      <c r="E117" s="14" t="s">
        <v>88</v>
      </c>
      <c r="F117" s="33" t="s">
        <v>240</v>
      </c>
      <c r="G117" s="73">
        <v>0.7</v>
      </c>
      <c r="H117" s="5"/>
    </row>
    <row r="118" ht="15.75" customHeight="1">
      <c r="A118" s="12">
        <v>46056.0</v>
      </c>
      <c r="B118" s="12">
        <v>46069.0</v>
      </c>
      <c r="C118" s="1" t="s">
        <v>114</v>
      </c>
      <c r="D118" s="41" t="s">
        <v>239</v>
      </c>
      <c r="E118" s="14" t="s">
        <v>89</v>
      </c>
      <c r="F118" s="33" t="s">
        <v>386</v>
      </c>
      <c r="G118" s="73">
        <v>0.7</v>
      </c>
      <c r="H118" s="5"/>
    </row>
    <row r="119" ht="15.75" customHeight="1">
      <c r="A119" s="12">
        <v>46077.0</v>
      </c>
      <c r="B119" s="12">
        <v>46083.0</v>
      </c>
      <c r="C119" s="1" t="s">
        <v>191</v>
      </c>
      <c r="D119" s="41" t="s">
        <v>377</v>
      </c>
      <c r="E119" s="14" t="s">
        <v>133</v>
      </c>
      <c r="F119" s="33" t="s">
        <v>387</v>
      </c>
      <c r="G119" s="73">
        <v>0.6</v>
      </c>
      <c r="H119" s="5"/>
    </row>
    <row r="120" ht="15.75" customHeight="1">
      <c r="A120" s="12">
        <v>46077.0</v>
      </c>
      <c r="B120" s="12">
        <v>46083.0</v>
      </c>
      <c r="C120" s="1" t="s">
        <v>191</v>
      </c>
      <c r="D120" s="41" t="s">
        <v>379</v>
      </c>
      <c r="E120" s="14" t="s">
        <v>244</v>
      </c>
      <c r="F120" s="33" t="s">
        <v>380</v>
      </c>
      <c r="G120" s="73">
        <v>0.5</v>
      </c>
      <c r="H120" s="5"/>
    </row>
    <row r="121" ht="15.75" customHeight="1">
      <c r="A121" s="12">
        <v>46077.0</v>
      </c>
      <c r="B121" s="12">
        <v>46083.0</v>
      </c>
      <c r="C121" s="1" t="s">
        <v>191</v>
      </c>
      <c r="D121" s="41" t="s">
        <v>381</v>
      </c>
      <c r="E121" s="14" t="s">
        <v>89</v>
      </c>
      <c r="F121" s="33" t="s">
        <v>281</v>
      </c>
      <c r="G121" s="73">
        <v>0.5</v>
      </c>
      <c r="H121" s="5"/>
    </row>
    <row r="122" ht="15.75" customHeight="1">
      <c r="A122" s="12">
        <v>46077.0</v>
      </c>
      <c r="B122" s="12">
        <v>46083.0</v>
      </c>
      <c r="C122" s="1" t="s">
        <v>191</v>
      </c>
      <c r="D122" s="41" t="s">
        <v>382</v>
      </c>
      <c r="E122" s="14" t="s">
        <v>96</v>
      </c>
      <c r="F122" s="33" t="s">
        <v>383</v>
      </c>
      <c r="G122" s="73">
        <v>0.3</v>
      </c>
      <c r="H122" s="5"/>
    </row>
    <row r="123" ht="15.75" customHeight="1">
      <c r="A123" s="12">
        <v>46084.0</v>
      </c>
      <c r="B123" s="12">
        <v>46090.0</v>
      </c>
      <c r="C123" s="1" t="s">
        <v>111</v>
      </c>
      <c r="D123" s="41" t="s">
        <v>388</v>
      </c>
      <c r="E123" s="14" t="s">
        <v>183</v>
      </c>
      <c r="F123" s="33" t="s">
        <v>132</v>
      </c>
      <c r="G123" s="73">
        <v>0.4</v>
      </c>
      <c r="H123" s="5"/>
    </row>
    <row r="124" ht="15.75" customHeight="1">
      <c r="A124" s="12">
        <v>46086.0</v>
      </c>
      <c r="B124" s="12">
        <v>46092.0</v>
      </c>
      <c r="C124" s="1" t="s">
        <v>116</v>
      </c>
      <c r="D124" s="41" t="s">
        <v>5</v>
      </c>
      <c r="E124" s="14" t="s">
        <v>95</v>
      </c>
      <c r="F124" s="33" t="s">
        <v>281</v>
      </c>
      <c r="G124" s="73">
        <v>0.7</v>
      </c>
      <c r="H124" s="5"/>
    </row>
    <row r="125" ht="15.75" customHeight="1">
      <c r="A125" s="12">
        <v>46086.0</v>
      </c>
      <c r="B125" s="12">
        <v>46092.0</v>
      </c>
      <c r="C125" s="1" t="s">
        <v>116</v>
      </c>
      <c r="D125" s="41" t="s">
        <v>5</v>
      </c>
      <c r="E125" s="14" t="s">
        <v>88</v>
      </c>
      <c r="F125" s="33" t="s">
        <v>240</v>
      </c>
      <c r="G125" s="73">
        <v>0.7</v>
      </c>
      <c r="H125" s="5"/>
    </row>
    <row r="126" ht="15.75" customHeight="1">
      <c r="A126" s="12">
        <v>46107.0</v>
      </c>
      <c r="B126" s="12">
        <v>46113.0</v>
      </c>
      <c r="C126" s="1" t="s">
        <v>119</v>
      </c>
      <c r="D126" s="41" t="s">
        <v>0</v>
      </c>
      <c r="E126" s="14" t="s">
        <v>88</v>
      </c>
      <c r="F126" s="33" t="s">
        <v>240</v>
      </c>
      <c r="G126" s="73">
        <v>0.7</v>
      </c>
      <c r="H126" s="5"/>
    </row>
    <row r="127" ht="15.75" customHeight="1">
      <c r="A127" s="12">
        <v>46107.0</v>
      </c>
      <c r="B127" s="12">
        <v>46113.0</v>
      </c>
      <c r="C127" s="1" t="s">
        <v>119</v>
      </c>
      <c r="D127" s="41" t="s">
        <v>0</v>
      </c>
      <c r="E127" s="14" t="s">
        <v>89</v>
      </c>
      <c r="F127" s="33" t="s">
        <v>386</v>
      </c>
      <c r="G127" s="73">
        <v>0.7</v>
      </c>
      <c r="H127" s="5"/>
    </row>
    <row r="128" ht="15.75" customHeight="1">
      <c r="A128" s="12">
        <v>46114.0</v>
      </c>
      <c r="B128" s="12">
        <v>46127.0</v>
      </c>
      <c r="C128" s="1" t="s">
        <v>122</v>
      </c>
      <c r="D128" s="41" t="s">
        <v>0</v>
      </c>
      <c r="E128" s="14" t="s">
        <v>88</v>
      </c>
      <c r="F128" s="33" t="s">
        <v>240</v>
      </c>
      <c r="G128" s="73">
        <v>0.7</v>
      </c>
      <c r="H128" s="5"/>
    </row>
    <row r="129" ht="15.75" customHeight="1">
      <c r="A129" s="12">
        <v>46114.0</v>
      </c>
      <c r="B129" s="12">
        <v>46127.0</v>
      </c>
      <c r="C129" s="1" t="s">
        <v>122</v>
      </c>
      <c r="D129" s="41" t="s">
        <v>0</v>
      </c>
      <c r="E129" s="14" t="s">
        <v>89</v>
      </c>
      <c r="F129" s="33" t="s">
        <v>386</v>
      </c>
      <c r="G129" s="73">
        <v>0.7</v>
      </c>
      <c r="H129" s="5"/>
    </row>
    <row r="130" ht="15.75" customHeight="1">
      <c r="A130" s="12">
        <v>46128.0</v>
      </c>
      <c r="B130" s="12">
        <v>46141.0</v>
      </c>
      <c r="C130" s="1" t="s">
        <v>213</v>
      </c>
      <c r="D130" s="41" t="s">
        <v>377</v>
      </c>
      <c r="E130" s="14" t="s">
        <v>133</v>
      </c>
      <c r="F130" s="33" t="s">
        <v>387</v>
      </c>
      <c r="G130" s="73">
        <v>0.6</v>
      </c>
      <c r="H130" s="5"/>
    </row>
    <row r="131" ht="15.75" customHeight="1">
      <c r="A131" s="12">
        <v>46128.0</v>
      </c>
      <c r="B131" s="12">
        <v>46141.0</v>
      </c>
      <c r="C131" s="1" t="s">
        <v>213</v>
      </c>
      <c r="D131" s="41" t="s">
        <v>379</v>
      </c>
      <c r="E131" s="14" t="s">
        <v>244</v>
      </c>
      <c r="F131" s="33" t="s">
        <v>380</v>
      </c>
      <c r="G131" s="73">
        <v>0.5</v>
      </c>
      <c r="H131" s="5"/>
    </row>
    <row r="132" ht="15.75" customHeight="1">
      <c r="A132" s="12">
        <v>46128.0</v>
      </c>
      <c r="B132" s="12">
        <v>46141.0</v>
      </c>
      <c r="C132" s="1" t="s">
        <v>213</v>
      </c>
      <c r="D132" s="41" t="s">
        <v>381</v>
      </c>
      <c r="E132" s="14" t="s">
        <v>89</v>
      </c>
      <c r="F132" s="33" t="s">
        <v>281</v>
      </c>
      <c r="G132" s="73">
        <v>0.5</v>
      </c>
      <c r="H132" s="5"/>
    </row>
    <row r="133" ht="15.75" customHeight="1">
      <c r="A133" s="12">
        <v>46128.0</v>
      </c>
      <c r="B133" s="12">
        <v>46141.0</v>
      </c>
      <c r="C133" s="1" t="s">
        <v>213</v>
      </c>
      <c r="D133" s="41" t="s">
        <v>382</v>
      </c>
      <c r="E133" s="14" t="s">
        <v>96</v>
      </c>
      <c r="F133" s="33" t="s">
        <v>383</v>
      </c>
      <c r="G133" s="73">
        <v>0.3</v>
      </c>
      <c r="H133" s="5"/>
    </row>
    <row r="134" ht="15.75" customHeight="1">
      <c r="A134" s="12">
        <v>46126.0</v>
      </c>
      <c r="B134" s="12">
        <v>46132.0</v>
      </c>
      <c r="C134" s="1" t="s">
        <v>92</v>
      </c>
      <c r="D134" s="41" t="s">
        <v>5</v>
      </c>
      <c r="E134" s="14" t="s">
        <v>95</v>
      </c>
      <c r="F134" s="33" t="s">
        <v>281</v>
      </c>
      <c r="G134" s="73">
        <v>0.7</v>
      </c>
      <c r="H134" s="5"/>
    </row>
    <row r="135" ht="15.75" customHeight="1">
      <c r="A135" s="12">
        <v>46126.0</v>
      </c>
      <c r="B135" s="12">
        <v>46132.0</v>
      </c>
      <c r="C135" s="1" t="s">
        <v>92</v>
      </c>
      <c r="D135" s="41" t="s">
        <v>5</v>
      </c>
      <c r="E135" s="14" t="s">
        <v>88</v>
      </c>
      <c r="F135" s="33" t="s">
        <v>240</v>
      </c>
      <c r="G135" s="73">
        <v>0.7</v>
      </c>
      <c r="H135" s="5"/>
    </row>
    <row r="136" ht="15.75" customHeight="1">
      <c r="A136" s="12">
        <v>46133.0</v>
      </c>
      <c r="B136" s="12">
        <v>46139.0</v>
      </c>
      <c r="C136" s="1" t="s">
        <v>92</v>
      </c>
      <c r="D136" s="41" t="s">
        <v>388</v>
      </c>
      <c r="E136" s="14" t="s">
        <v>183</v>
      </c>
      <c r="F136" s="33" t="s">
        <v>132</v>
      </c>
      <c r="G136" s="73">
        <v>0.4</v>
      </c>
      <c r="H136" s="5"/>
    </row>
    <row r="137" ht="15.75" customHeight="1">
      <c r="A137" s="12">
        <v>46163.0</v>
      </c>
      <c r="B137" s="12">
        <v>46169.0</v>
      </c>
      <c r="C137" s="1" t="s">
        <v>389</v>
      </c>
      <c r="D137" s="41" t="s">
        <v>5</v>
      </c>
      <c r="E137" s="14" t="s">
        <v>95</v>
      </c>
      <c r="F137" s="33" t="s">
        <v>380</v>
      </c>
      <c r="G137" s="73">
        <v>0.75</v>
      </c>
      <c r="H137" s="5"/>
    </row>
    <row r="138" ht="15.75" customHeight="1">
      <c r="A138" s="12">
        <v>46163.0</v>
      </c>
      <c r="B138" s="12">
        <v>46169.0</v>
      </c>
      <c r="C138" s="1" t="s">
        <v>389</v>
      </c>
      <c r="D138" s="41" t="s">
        <v>5</v>
      </c>
      <c r="E138" s="14" t="s">
        <v>88</v>
      </c>
      <c r="F138" s="33" t="s">
        <v>391</v>
      </c>
      <c r="G138" s="73">
        <v>0.75</v>
      </c>
      <c r="H138" s="5"/>
    </row>
    <row r="139" ht="15.75" customHeight="1">
      <c r="A139" s="12">
        <v>46170.0</v>
      </c>
      <c r="B139" s="12">
        <v>46183.0</v>
      </c>
      <c r="C139" s="1" t="s">
        <v>125</v>
      </c>
      <c r="D139" s="41" t="s">
        <v>0</v>
      </c>
      <c r="E139" s="14" t="s">
        <v>88</v>
      </c>
      <c r="F139" s="33" t="s">
        <v>391</v>
      </c>
      <c r="G139" s="73">
        <v>0.75</v>
      </c>
      <c r="H139" s="5"/>
    </row>
    <row r="140" ht="15.75" customHeight="1">
      <c r="A140" s="12">
        <v>46170.0</v>
      </c>
      <c r="B140" s="12">
        <v>46183.0</v>
      </c>
      <c r="C140" s="1" t="s">
        <v>125</v>
      </c>
      <c r="D140" s="41" t="s">
        <v>0</v>
      </c>
      <c r="E140" s="14" t="s">
        <v>89</v>
      </c>
      <c r="F140" s="33" t="s">
        <v>392</v>
      </c>
      <c r="G140" s="73">
        <v>0.75</v>
      </c>
      <c r="H140" s="5"/>
    </row>
    <row r="141" ht="15.75" customHeight="1">
      <c r="A141" s="12">
        <v>46184.0</v>
      </c>
      <c r="B141" s="12">
        <v>46190.0</v>
      </c>
      <c r="C141" s="1" t="s">
        <v>126</v>
      </c>
      <c r="D141" s="41" t="s">
        <v>379</v>
      </c>
      <c r="E141" s="14" t="s">
        <v>244</v>
      </c>
      <c r="F141" s="33">
        <v>14.99</v>
      </c>
      <c r="G141" s="73">
        <v>0.4</v>
      </c>
      <c r="H141" s="5"/>
    </row>
    <row r="142" ht="15.75" customHeight="1">
      <c r="A142" s="12">
        <v>46184.0</v>
      </c>
      <c r="B142" s="12">
        <v>46190.0</v>
      </c>
      <c r="C142" s="1" t="s">
        <v>126</v>
      </c>
      <c r="D142" s="41" t="s">
        <v>381</v>
      </c>
      <c r="E142" s="14" t="s">
        <v>89</v>
      </c>
      <c r="F142" s="33">
        <v>17.99</v>
      </c>
      <c r="G142" s="73">
        <v>0.4</v>
      </c>
      <c r="H142" s="5"/>
    </row>
    <row r="143" ht="15.75" customHeight="1">
      <c r="A143" s="12">
        <v>46184.0</v>
      </c>
      <c r="B143" s="12">
        <v>46190.0</v>
      </c>
      <c r="C143" s="1" t="s">
        <v>126</v>
      </c>
      <c r="D143" s="41" t="s">
        <v>382</v>
      </c>
      <c r="E143" s="14" t="s">
        <v>96</v>
      </c>
      <c r="F143" s="33">
        <v>20.99</v>
      </c>
      <c r="G143" s="73">
        <v>0.4</v>
      </c>
      <c r="H143" s="5"/>
    </row>
    <row r="144" ht="15.75" customHeight="1">
      <c r="A144" s="12">
        <v>46184.0</v>
      </c>
      <c r="B144" s="12">
        <v>46190.0</v>
      </c>
      <c r="C144" s="1" t="s">
        <v>258</v>
      </c>
      <c r="D144" s="41" t="s">
        <v>388</v>
      </c>
      <c r="E144" s="14" t="s">
        <v>183</v>
      </c>
      <c r="F144" s="33" t="s">
        <v>132</v>
      </c>
      <c r="G144" s="73">
        <v>0.55</v>
      </c>
      <c r="H144" s="5"/>
    </row>
    <row r="145" ht="15.75" customHeight="1">
      <c r="A145" s="12">
        <v>46191.0</v>
      </c>
      <c r="B145" s="12">
        <v>46204.0</v>
      </c>
      <c r="C145" s="1" t="s">
        <v>394</v>
      </c>
      <c r="D145" s="41" t="s">
        <v>5</v>
      </c>
      <c r="E145" s="14" t="s">
        <v>95</v>
      </c>
      <c r="F145" s="33" t="s">
        <v>380</v>
      </c>
      <c r="G145" s="73">
        <v>0.75</v>
      </c>
      <c r="H145" s="5"/>
    </row>
    <row r="146" ht="15.75" customHeight="1">
      <c r="A146" s="12">
        <v>46191.0</v>
      </c>
      <c r="B146" s="12">
        <v>46204.0</v>
      </c>
      <c r="C146" s="1" t="s">
        <v>394</v>
      </c>
      <c r="D146" s="41" t="s">
        <v>5</v>
      </c>
      <c r="E146" s="14" t="s">
        <v>88</v>
      </c>
      <c r="F146" s="33" t="s">
        <v>391</v>
      </c>
      <c r="G146" s="73">
        <v>0.75</v>
      </c>
      <c r="H146" s="5"/>
    </row>
    <row r="147" ht="15.75" customHeight="1">
      <c r="A147" s="12">
        <v>46210.0</v>
      </c>
      <c r="B147" s="12">
        <v>46216.0</v>
      </c>
      <c r="C147" s="1" t="s">
        <v>191</v>
      </c>
      <c r="D147" s="41" t="s">
        <v>395</v>
      </c>
      <c r="E147" s="14" t="s">
        <v>179</v>
      </c>
      <c r="F147" s="33" t="s">
        <v>264</v>
      </c>
      <c r="G147" s="73">
        <v>0.25</v>
      </c>
      <c r="H147" s="5"/>
    </row>
    <row r="148" ht="15.75" customHeight="1">
      <c r="A148" s="12">
        <v>46212.0</v>
      </c>
      <c r="B148" s="12">
        <v>46219.0</v>
      </c>
      <c r="C148" s="1" t="s">
        <v>86</v>
      </c>
      <c r="D148" s="41" t="s">
        <v>0</v>
      </c>
      <c r="E148" s="14" t="s">
        <v>88</v>
      </c>
      <c r="F148" s="33" t="s">
        <v>391</v>
      </c>
      <c r="G148" s="73">
        <v>0.75</v>
      </c>
      <c r="H148" s="5"/>
    </row>
    <row r="149" ht="15.75" customHeight="1">
      <c r="A149" s="12">
        <v>46212.0</v>
      </c>
      <c r="B149" s="12">
        <v>46219.0</v>
      </c>
      <c r="C149" s="1" t="s">
        <v>86</v>
      </c>
      <c r="D149" s="41" t="s">
        <v>0</v>
      </c>
      <c r="E149" s="14" t="s">
        <v>89</v>
      </c>
      <c r="F149" s="33" t="s">
        <v>392</v>
      </c>
      <c r="G149" s="73">
        <v>0.75</v>
      </c>
      <c r="H149" s="5"/>
    </row>
    <row r="150" ht="15.75" customHeight="1">
      <c r="A150" s="12">
        <v>46218.0</v>
      </c>
      <c r="B150" s="12">
        <v>46233.0</v>
      </c>
      <c r="C150" s="1" t="s">
        <v>90</v>
      </c>
      <c r="D150" s="41" t="s">
        <v>0</v>
      </c>
      <c r="E150" s="14" t="s">
        <v>88</v>
      </c>
      <c r="F150" s="33" t="s">
        <v>391</v>
      </c>
      <c r="G150" s="73">
        <v>0.75</v>
      </c>
      <c r="H150" s="5"/>
    </row>
    <row r="151" ht="15.75" customHeight="1">
      <c r="A151" s="12">
        <v>46218.0</v>
      </c>
      <c r="B151" s="12">
        <v>46233.0</v>
      </c>
      <c r="C151" s="1" t="s">
        <v>90</v>
      </c>
      <c r="D151" s="41" t="s">
        <v>0</v>
      </c>
      <c r="E151" s="14" t="s">
        <v>89</v>
      </c>
      <c r="F151" s="33" t="s">
        <v>392</v>
      </c>
      <c r="G151" s="73">
        <v>0.75</v>
      </c>
      <c r="H151" s="5"/>
    </row>
    <row r="152" ht="15.75" customHeight="1">
      <c r="A152" s="12">
        <v>46224.0</v>
      </c>
      <c r="B152" s="12">
        <v>46230.0</v>
      </c>
      <c r="C152" s="1" t="s">
        <v>92</v>
      </c>
      <c r="D152" s="41" t="s">
        <v>385</v>
      </c>
      <c r="E152" s="14" t="s">
        <v>183</v>
      </c>
      <c r="F152" s="33" t="s">
        <v>397</v>
      </c>
      <c r="G152" s="73">
        <v>0.55</v>
      </c>
      <c r="H152" s="5"/>
    </row>
    <row r="153" ht="15.75" customHeight="1">
      <c r="A153" s="12">
        <v>46233.0</v>
      </c>
      <c r="B153" s="12">
        <v>46247.0</v>
      </c>
      <c r="C153" s="1" t="s">
        <v>135</v>
      </c>
      <c r="D153" s="41" t="s">
        <v>379</v>
      </c>
      <c r="E153" s="14" t="s">
        <v>244</v>
      </c>
      <c r="F153" s="33" t="s">
        <v>130</v>
      </c>
      <c r="G153" s="73">
        <v>0.4</v>
      </c>
      <c r="H153" s="5"/>
    </row>
    <row r="154" ht="15.75" customHeight="1">
      <c r="A154" s="12">
        <v>46233.0</v>
      </c>
      <c r="B154" s="12">
        <v>46247.0</v>
      </c>
      <c r="C154" s="1" t="s">
        <v>135</v>
      </c>
      <c r="D154" s="41" t="s">
        <v>381</v>
      </c>
      <c r="E154" s="14" t="s">
        <v>89</v>
      </c>
      <c r="F154" s="33" t="s">
        <v>399</v>
      </c>
      <c r="G154" s="73">
        <v>0.4</v>
      </c>
      <c r="H154" s="5"/>
    </row>
    <row r="155" ht="15.75" customHeight="1">
      <c r="A155" s="12">
        <v>46233.0</v>
      </c>
      <c r="B155" s="12">
        <v>46247.0</v>
      </c>
      <c r="C155" s="1" t="s">
        <v>135</v>
      </c>
      <c r="D155" s="41" t="s">
        <v>382</v>
      </c>
      <c r="E155" s="14" t="s">
        <v>96</v>
      </c>
      <c r="F155" s="33" t="s">
        <v>400</v>
      </c>
      <c r="G155" s="73">
        <v>0.4</v>
      </c>
      <c r="H155" s="5"/>
    </row>
    <row r="156" ht="15.75" customHeight="1">
      <c r="A156" s="12">
        <v>46233.0</v>
      </c>
      <c r="B156" s="12">
        <v>46247.0</v>
      </c>
      <c r="C156" s="1" t="s">
        <v>135</v>
      </c>
      <c r="D156" s="41" t="s">
        <v>401</v>
      </c>
      <c r="E156" s="14" t="s">
        <v>96</v>
      </c>
      <c r="F156" s="33" t="s">
        <v>115</v>
      </c>
      <c r="G156" s="73">
        <v>0.2</v>
      </c>
      <c r="H156" s="5"/>
    </row>
    <row r="157" ht="15.75" customHeight="1">
      <c r="A157" s="12">
        <v>46238.0</v>
      </c>
      <c r="B157" s="12">
        <v>46244.0</v>
      </c>
      <c r="C157" s="1" t="s">
        <v>92</v>
      </c>
      <c r="D157" s="41" t="s">
        <v>402</v>
      </c>
      <c r="E157" s="14" t="s">
        <v>95</v>
      </c>
      <c r="F157" s="33" t="s">
        <v>380</v>
      </c>
      <c r="G157" s="73">
        <v>0.75</v>
      </c>
      <c r="H157" s="5"/>
    </row>
    <row r="158" ht="15.75" customHeight="1">
      <c r="A158" s="12">
        <v>46238.0</v>
      </c>
      <c r="B158" s="12">
        <v>46244.0</v>
      </c>
      <c r="C158" s="1" t="s">
        <v>92</v>
      </c>
      <c r="D158" s="41" t="s">
        <v>402</v>
      </c>
      <c r="E158" s="14" t="s">
        <v>88</v>
      </c>
      <c r="F158" s="33" t="s">
        <v>391</v>
      </c>
      <c r="G158" s="73">
        <v>0.75</v>
      </c>
      <c r="H158" s="5"/>
    </row>
    <row r="159" ht="15.75" customHeight="1">
      <c r="A159" s="12">
        <v>46259.0</v>
      </c>
      <c r="B159" s="12">
        <v>46266.0</v>
      </c>
      <c r="C159" s="1" t="s">
        <v>290</v>
      </c>
      <c r="D159" s="41" t="s">
        <v>385</v>
      </c>
      <c r="E159" s="14" t="s">
        <v>183</v>
      </c>
      <c r="F159" s="33" t="s">
        <v>397</v>
      </c>
      <c r="G159" s="73">
        <v>0.55</v>
      </c>
      <c r="H159" s="5"/>
    </row>
    <row r="160" ht="15.75" customHeight="1">
      <c r="A160" s="12">
        <v>46268.0</v>
      </c>
      <c r="B160" s="12">
        <v>46275.0</v>
      </c>
      <c r="C160" s="1" t="s">
        <v>294</v>
      </c>
      <c r="D160" s="41" t="s">
        <v>395</v>
      </c>
      <c r="E160" s="14" t="s">
        <v>179</v>
      </c>
      <c r="F160" s="33" t="s">
        <v>264</v>
      </c>
      <c r="G160" s="73">
        <v>0.25</v>
      </c>
      <c r="H160" s="5"/>
    </row>
    <row r="161" ht="15.75" customHeight="1">
      <c r="A161" s="12">
        <v>46275.0</v>
      </c>
      <c r="B161" s="12">
        <v>46289.0</v>
      </c>
      <c r="C161" s="1" t="s">
        <v>98</v>
      </c>
      <c r="D161" s="41" t="s">
        <v>0</v>
      </c>
      <c r="E161" s="14" t="s">
        <v>88</v>
      </c>
      <c r="F161" s="33" t="s">
        <v>391</v>
      </c>
      <c r="G161" s="73">
        <v>0.75</v>
      </c>
      <c r="H161" s="5"/>
    </row>
    <row r="162" ht="15.75" customHeight="1">
      <c r="A162" s="12">
        <v>46275.0</v>
      </c>
      <c r="B162" s="12">
        <v>46289.0</v>
      </c>
      <c r="C162" s="1" t="s">
        <v>98</v>
      </c>
      <c r="D162" s="41" t="s">
        <v>0</v>
      </c>
      <c r="E162" s="14" t="s">
        <v>89</v>
      </c>
      <c r="F162" s="33" t="s">
        <v>392</v>
      </c>
      <c r="G162" s="73">
        <v>0.75</v>
      </c>
      <c r="H162" s="5"/>
    </row>
    <row r="163" ht="15.75" customHeight="1">
      <c r="A163" s="12">
        <v>46275.0</v>
      </c>
      <c r="B163" s="12">
        <v>46289.0</v>
      </c>
      <c r="C163" s="1" t="s">
        <v>98</v>
      </c>
      <c r="D163" s="41" t="s">
        <v>402</v>
      </c>
      <c r="E163" s="14" t="s">
        <v>95</v>
      </c>
      <c r="F163" s="33" t="s">
        <v>380</v>
      </c>
      <c r="G163" s="73">
        <v>0.75</v>
      </c>
      <c r="H163" s="5"/>
    </row>
    <row r="164" ht="15.75" customHeight="1">
      <c r="A164" s="12">
        <v>46275.0</v>
      </c>
      <c r="B164" s="12">
        <v>46289.0</v>
      </c>
      <c r="C164" s="1" t="s">
        <v>98</v>
      </c>
      <c r="D164" s="41" t="s">
        <v>402</v>
      </c>
      <c r="E164" s="14" t="s">
        <v>88</v>
      </c>
      <c r="F164" s="33" t="s">
        <v>391</v>
      </c>
      <c r="G164" s="73">
        <v>0.75</v>
      </c>
      <c r="H164" s="5"/>
    </row>
    <row r="165" ht="15.75" customHeight="1">
      <c r="A165" s="12">
        <v>46296.0</v>
      </c>
      <c r="B165" s="12">
        <v>46303.0</v>
      </c>
      <c r="C165" s="1" t="s">
        <v>258</v>
      </c>
      <c r="D165" s="41" t="s">
        <v>385</v>
      </c>
      <c r="E165" s="14" t="s">
        <v>183</v>
      </c>
      <c r="F165" s="33" t="s">
        <v>397</v>
      </c>
      <c r="G165" s="73">
        <v>0.55</v>
      </c>
      <c r="H165" s="5"/>
    </row>
    <row r="166" ht="15.75" customHeight="1">
      <c r="A166" s="12">
        <v>46310.0</v>
      </c>
      <c r="B166" s="12">
        <v>46317.0</v>
      </c>
      <c r="C166" s="1" t="s">
        <v>298</v>
      </c>
      <c r="D166" s="41" t="s">
        <v>379</v>
      </c>
      <c r="E166" s="14" t="s">
        <v>244</v>
      </c>
      <c r="F166" s="33" t="s">
        <v>130</v>
      </c>
      <c r="G166" s="73">
        <v>0.4</v>
      </c>
      <c r="H166" s="5"/>
    </row>
    <row r="167" ht="15.75" customHeight="1">
      <c r="A167" s="12">
        <v>46310.0</v>
      </c>
      <c r="B167" s="12">
        <v>46317.0</v>
      </c>
      <c r="C167" s="1" t="s">
        <v>298</v>
      </c>
      <c r="D167" s="41" t="s">
        <v>381</v>
      </c>
      <c r="E167" s="14" t="s">
        <v>89</v>
      </c>
      <c r="F167" s="33" t="s">
        <v>399</v>
      </c>
      <c r="G167" s="73">
        <v>0.4</v>
      </c>
      <c r="H167" s="5"/>
    </row>
    <row r="168" ht="15.75" customHeight="1">
      <c r="A168" s="12">
        <v>46310.0</v>
      </c>
      <c r="B168" s="12">
        <v>46317.0</v>
      </c>
      <c r="C168" s="1" t="s">
        <v>298</v>
      </c>
      <c r="D168" s="41" t="s">
        <v>382</v>
      </c>
      <c r="E168" s="14" t="s">
        <v>96</v>
      </c>
      <c r="F168" s="33" t="s">
        <v>400</v>
      </c>
      <c r="G168" s="73">
        <v>0.4</v>
      </c>
      <c r="H168" s="5"/>
    </row>
    <row r="169" ht="15.75" customHeight="1">
      <c r="A169" s="12">
        <v>46310.0</v>
      </c>
      <c r="B169" s="12">
        <v>46317.0</v>
      </c>
      <c r="C169" s="1" t="s">
        <v>298</v>
      </c>
      <c r="D169" s="41" t="s">
        <v>401</v>
      </c>
      <c r="E169" s="14" t="s">
        <v>96</v>
      </c>
      <c r="F169" s="33" t="s">
        <v>115</v>
      </c>
      <c r="G169" s="73">
        <v>0.2</v>
      </c>
      <c r="H169" s="5"/>
    </row>
    <row r="170" ht="15.75" customHeight="1">
      <c r="A170" s="12">
        <v>46315.0</v>
      </c>
      <c r="B170" s="12">
        <v>46321.0</v>
      </c>
      <c r="C170" s="1" t="s">
        <v>191</v>
      </c>
      <c r="D170" s="41" t="s">
        <v>395</v>
      </c>
      <c r="E170" s="14" t="s">
        <v>179</v>
      </c>
      <c r="F170" s="33" t="s">
        <v>264</v>
      </c>
      <c r="G170" s="73">
        <v>0.25</v>
      </c>
      <c r="H170" s="5"/>
    </row>
    <row r="171" ht="15.75" customHeight="1">
      <c r="A171" s="12">
        <v>46322.0</v>
      </c>
      <c r="B171" s="12">
        <v>46328.0</v>
      </c>
      <c r="C171" s="1" t="s">
        <v>92</v>
      </c>
      <c r="D171" s="41" t="s">
        <v>402</v>
      </c>
      <c r="E171" s="14" t="s">
        <v>95</v>
      </c>
      <c r="F171" s="33" t="s">
        <v>380</v>
      </c>
      <c r="G171" s="73">
        <v>0.75</v>
      </c>
      <c r="H171" s="5"/>
    </row>
    <row r="172" ht="15.75" customHeight="1">
      <c r="A172" s="12">
        <v>46322.0</v>
      </c>
      <c r="B172" s="12">
        <v>46328.0</v>
      </c>
      <c r="C172" s="1" t="s">
        <v>92</v>
      </c>
      <c r="D172" s="41" t="s">
        <v>402</v>
      </c>
      <c r="E172" s="14" t="s">
        <v>88</v>
      </c>
      <c r="F172" s="33" t="s">
        <v>391</v>
      </c>
      <c r="G172" s="73">
        <v>0.75</v>
      </c>
      <c r="H172" s="5"/>
    </row>
    <row r="173" ht="15.75" customHeight="1">
      <c r="A173" s="12">
        <v>46336.0</v>
      </c>
      <c r="B173" s="12">
        <v>46342.0</v>
      </c>
      <c r="C173" s="1" t="s">
        <v>92</v>
      </c>
      <c r="D173" s="41" t="s">
        <v>385</v>
      </c>
      <c r="E173" s="14" t="s">
        <v>183</v>
      </c>
      <c r="F173" s="33" t="s">
        <v>397</v>
      </c>
      <c r="G173" s="73">
        <v>0.55</v>
      </c>
      <c r="H173" s="5"/>
    </row>
    <row r="174" ht="15.75" customHeight="1">
      <c r="A174" s="12">
        <v>46345.0</v>
      </c>
      <c r="B174" s="12">
        <v>46359.0</v>
      </c>
      <c r="C174" s="1" t="s">
        <v>103</v>
      </c>
      <c r="D174" s="41" t="s">
        <v>0</v>
      </c>
      <c r="E174" s="14" t="s">
        <v>88</v>
      </c>
      <c r="F174" s="33" t="s">
        <v>391</v>
      </c>
      <c r="G174" s="73">
        <v>0.75</v>
      </c>
      <c r="H174" s="5"/>
    </row>
    <row r="175" ht="15.75" customHeight="1">
      <c r="A175" s="12">
        <v>46345.0</v>
      </c>
      <c r="B175" s="12">
        <v>46359.0</v>
      </c>
      <c r="C175" s="1" t="s">
        <v>103</v>
      </c>
      <c r="D175" s="41" t="s">
        <v>0</v>
      </c>
      <c r="E175" s="14" t="s">
        <v>89</v>
      </c>
      <c r="F175" s="33" t="s">
        <v>392</v>
      </c>
      <c r="G175" s="73">
        <v>0.75</v>
      </c>
      <c r="H175" s="5"/>
    </row>
    <row r="176" ht="15.75" customHeight="1">
      <c r="A176" s="12">
        <v>46350.0</v>
      </c>
      <c r="B176" s="12">
        <v>46356.0</v>
      </c>
      <c r="C176" s="1" t="s">
        <v>191</v>
      </c>
      <c r="D176" s="41" t="s">
        <v>395</v>
      </c>
      <c r="E176" s="14" t="s">
        <v>179</v>
      </c>
      <c r="F176" s="33" t="s">
        <v>264</v>
      </c>
      <c r="G176" s="73">
        <v>0.25</v>
      </c>
      <c r="H176" s="5"/>
    </row>
    <row r="177" ht="15.75" customHeight="1">
      <c r="A177" s="12">
        <v>46359.0</v>
      </c>
      <c r="B177" s="12">
        <v>46373.0</v>
      </c>
      <c r="C177" s="1" t="s">
        <v>138</v>
      </c>
      <c r="D177" s="41" t="s">
        <v>379</v>
      </c>
      <c r="E177" s="14" t="s">
        <v>244</v>
      </c>
      <c r="F177" s="33" t="s">
        <v>130</v>
      </c>
      <c r="G177" s="73">
        <v>0.4</v>
      </c>
      <c r="H177" s="5"/>
    </row>
    <row r="178" ht="15.75" customHeight="1">
      <c r="A178" s="12">
        <v>46359.0</v>
      </c>
      <c r="B178" s="12">
        <v>46373.0</v>
      </c>
      <c r="C178" s="1" t="s">
        <v>138</v>
      </c>
      <c r="D178" s="41" t="s">
        <v>381</v>
      </c>
      <c r="E178" s="14" t="s">
        <v>89</v>
      </c>
      <c r="F178" s="33" t="s">
        <v>399</v>
      </c>
      <c r="G178" s="73">
        <v>0.4</v>
      </c>
      <c r="H178" s="5"/>
    </row>
    <row r="179" ht="15.75" customHeight="1">
      <c r="A179" s="12">
        <v>46359.0</v>
      </c>
      <c r="B179" s="12">
        <v>46373.0</v>
      </c>
      <c r="C179" s="1" t="s">
        <v>138</v>
      </c>
      <c r="D179" s="41" t="s">
        <v>382</v>
      </c>
      <c r="E179" s="14" t="s">
        <v>96</v>
      </c>
      <c r="F179" s="33" t="s">
        <v>400</v>
      </c>
      <c r="G179" s="73">
        <v>0.4</v>
      </c>
      <c r="H179" s="5"/>
    </row>
    <row r="180" ht="15.75" customHeight="1">
      <c r="A180" s="12">
        <v>46359.0</v>
      </c>
      <c r="B180" s="12">
        <v>46373.0</v>
      </c>
      <c r="C180" s="1" t="s">
        <v>138</v>
      </c>
      <c r="D180" s="41" t="s">
        <v>401</v>
      </c>
      <c r="E180" s="14" t="s">
        <v>96</v>
      </c>
      <c r="F180" s="33" t="s">
        <v>115</v>
      </c>
      <c r="G180" s="73">
        <v>0.2</v>
      </c>
      <c r="H180" s="5"/>
    </row>
    <row r="181" ht="15.75" customHeight="1">
      <c r="A181" s="12">
        <v>46364.0</v>
      </c>
      <c r="B181" s="12">
        <v>46370.0</v>
      </c>
      <c r="C181" s="1" t="s">
        <v>92</v>
      </c>
      <c r="D181" s="41" t="s">
        <v>402</v>
      </c>
      <c r="E181" s="14" t="s">
        <v>95</v>
      </c>
      <c r="F181" s="33" t="s">
        <v>380</v>
      </c>
      <c r="G181" s="73">
        <v>0.75</v>
      </c>
      <c r="H181" s="5"/>
    </row>
    <row r="182" ht="15.75" customHeight="1">
      <c r="A182" s="12">
        <v>46364.0</v>
      </c>
      <c r="B182" s="12">
        <v>46370.0</v>
      </c>
      <c r="C182" s="1" t="s">
        <v>92</v>
      </c>
      <c r="D182" s="41" t="s">
        <v>402</v>
      </c>
      <c r="E182" s="14" t="s">
        <v>88</v>
      </c>
      <c r="F182" s="33" t="s">
        <v>391</v>
      </c>
      <c r="G182" s="73">
        <v>0.75</v>
      </c>
      <c r="H182" s="5"/>
    </row>
    <row r="183" ht="15.75" customHeight="1">
      <c r="A183" s="12">
        <v>46372.0</v>
      </c>
      <c r="B183" s="12">
        <v>46029.0</v>
      </c>
      <c r="C183" s="1" t="s">
        <v>106</v>
      </c>
      <c r="D183" s="41" t="s">
        <v>0</v>
      </c>
      <c r="E183" s="14" t="s">
        <v>88</v>
      </c>
      <c r="F183" s="33" t="s">
        <v>391</v>
      </c>
      <c r="G183" s="73">
        <v>0.75</v>
      </c>
      <c r="H183" s="5"/>
    </row>
    <row r="184" ht="15.75" customHeight="1">
      <c r="A184" s="12">
        <v>46372.0</v>
      </c>
      <c r="B184" s="12">
        <v>46029.0</v>
      </c>
      <c r="C184" s="1" t="s">
        <v>106</v>
      </c>
      <c r="D184" s="41" t="s">
        <v>0</v>
      </c>
      <c r="E184" s="14" t="s">
        <v>89</v>
      </c>
      <c r="F184" s="33" t="s">
        <v>392</v>
      </c>
      <c r="G184" s="73">
        <v>0.75</v>
      </c>
      <c r="H184" s="5"/>
    </row>
    <row r="185" ht="15.75" customHeight="1">
      <c r="A185" s="12">
        <v>46372.0</v>
      </c>
      <c r="B185" s="12">
        <v>46029.0</v>
      </c>
      <c r="C185" s="1" t="s">
        <v>106</v>
      </c>
      <c r="D185" s="41" t="s">
        <v>385</v>
      </c>
      <c r="E185" s="14" t="s">
        <v>183</v>
      </c>
      <c r="F185" s="33" t="s">
        <v>397</v>
      </c>
      <c r="G185" s="73">
        <v>0.55</v>
      </c>
      <c r="H185" s="5"/>
    </row>
    <row r="186" ht="15.75" customHeight="1">
      <c r="A186" s="12">
        <v>46385.0</v>
      </c>
      <c r="B186" s="12">
        <v>46026.0</v>
      </c>
      <c r="C186" s="1" t="s">
        <v>191</v>
      </c>
      <c r="D186" s="41" t="s">
        <v>395</v>
      </c>
      <c r="E186" s="14" t="s">
        <v>179</v>
      </c>
      <c r="F186" s="33" t="s">
        <v>264</v>
      </c>
      <c r="G186" s="73">
        <v>0.25</v>
      </c>
      <c r="H186" s="5"/>
    </row>
    <row r="187" ht="15.75" customHeight="1">
      <c r="H187" s="5"/>
    </row>
    <row r="188" ht="15.75" customHeight="1">
      <c r="A188" s="42" t="s">
        <v>107</v>
      </c>
      <c r="H188" s="5"/>
    </row>
    <row r="189" ht="15.75" customHeight="1">
      <c r="A189" s="63">
        <v>46013.0</v>
      </c>
      <c r="B189" s="63">
        <v>46029.0</v>
      </c>
      <c r="C189" s="64" t="s">
        <v>316</v>
      </c>
      <c r="D189" s="64" t="s">
        <v>388</v>
      </c>
      <c r="E189" s="65">
        <v>99.99</v>
      </c>
      <c r="F189" s="8">
        <f t="shared" ref="F189:F194" si="10">IFERROR(E189*(1-G189),"-")</f>
        <v>59.994</v>
      </c>
      <c r="G189" s="66">
        <v>0.4</v>
      </c>
      <c r="H189" s="5"/>
    </row>
    <row r="190" ht="15.75" customHeight="1">
      <c r="A190" s="63">
        <v>46013.0</v>
      </c>
      <c r="B190" s="63">
        <v>46029.0</v>
      </c>
      <c r="C190" s="64" t="s">
        <v>316</v>
      </c>
      <c r="D190" s="64" t="s">
        <v>379</v>
      </c>
      <c r="E190" s="65" t="str">
        <f t="array" ref="E190">_xlfn.XLOOKUP(D190,Prices!A:A,Prices!B:B,"-")</f>
        <v>-</v>
      </c>
      <c r="F190" s="8" t="str">
        <f t="shared" si="10"/>
        <v>-</v>
      </c>
      <c r="G190" s="66">
        <v>0.3</v>
      </c>
      <c r="H190" s="5"/>
    </row>
    <row r="191" ht="15.75" customHeight="1">
      <c r="A191" s="63">
        <v>46013.0</v>
      </c>
      <c r="B191" s="63">
        <v>46029.0</v>
      </c>
      <c r="C191" s="64" t="s">
        <v>316</v>
      </c>
      <c r="D191" s="64" t="s">
        <v>381</v>
      </c>
      <c r="E191" s="65" t="str">
        <f t="array" ref="E191">_xlfn.XLOOKUP(D191,Prices!A:A,Prices!B:B,"-")</f>
        <v>-</v>
      </c>
      <c r="F191" s="8" t="str">
        <f t="shared" si="10"/>
        <v>-</v>
      </c>
      <c r="G191" s="66">
        <v>0.3</v>
      </c>
      <c r="H191" s="5"/>
    </row>
    <row r="192" ht="15.75" customHeight="1">
      <c r="A192" s="63">
        <v>46013.0</v>
      </c>
      <c r="B192" s="63">
        <v>46029.0</v>
      </c>
      <c r="C192" s="64" t="s">
        <v>316</v>
      </c>
      <c r="D192" s="64" t="s">
        <v>382</v>
      </c>
      <c r="E192" s="65" t="str">
        <f t="array" ref="E192">_xlfn.XLOOKUP(D192,Prices!A:A,Prices!B:B,"-")</f>
        <v>-</v>
      </c>
      <c r="F192" s="8" t="str">
        <f t="shared" si="10"/>
        <v>-</v>
      </c>
      <c r="G192" s="66">
        <v>0.3</v>
      </c>
      <c r="H192" s="5"/>
    </row>
    <row r="193" ht="15.75" customHeight="1">
      <c r="A193" s="63">
        <v>46013.0</v>
      </c>
      <c r="B193" s="63">
        <v>46029.0</v>
      </c>
      <c r="C193" s="64" t="s">
        <v>316</v>
      </c>
      <c r="D193" s="64" t="s">
        <v>0</v>
      </c>
      <c r="E193" s="65">
        <f t="array" ref="E193">_xlfn.XLOOKUP(D193,Prices!A:A,Prices!B:B,"-")</f>
        <v>39.99</v>
      </c>
      <c r="F193" s="8">
        <f t="shared" si="10"/>
        <v>11.997</v>
      </c>
      <c r="G193" s="66">
        <v>0.7</v>
      </c>
      <c r="H193" s="5"/>
    </row>
    <row r="194" ht="15.75" customHeight="1">
      <c r="A194" s="63">
        <v>46027.0</v>
      </c>
      <c r="B194" s="63">
        <v>46043.0</v>
      </c>
      <c r="C194" s="64" t="s">
        <v>317</v>
      </c>
      <c r="D194" s="64" t="s">
        <v>5</v>
      </c>
      <c r="E194" s="65">
        <f t="array" ref="E194">_xlfn.XLOOKUP(D194,Prices!A:A,Prices!B:B,"-")</f>
        <v>49.99</v>
      </c>
      <c r="F194" s="8">
        <f t="shared" si="10"/>
        <v>14.997</v>
      </c>
      <c r="G194" s="66">
        <v>0.7</v>
      </c>
      <c r="H194" s="5"/>
    </row>
    <row r="195" ht="15.75" customHeight="1">
      <c r="A195" s="63">
        <v>46027.0</v>
      </c>
      <c r="B195" s="63">
        <v>46043.0</v>
      </c>
      <c r="C195" s="64" t="s">
        <v>317</v>
      </c>
      <c r="D195" s="64" t="s">
        <v>377</v>
      </c>
      <c r="E195" s="65" t="s">
        <v>4</v>
      </c>
      <c r="F195" s="8" t="s">
        <v>4</v>
      </c>
      <c r="G195" s="66">
        <v>0.3</v>
      </c>
      <c r="H195" s="5"/>
    </row>
    <row r="196" ht="15.75" customHeight="1">
      <c r="A196" s="63">
        <v>46027.0</v>
      </c>
      <c r="B196" s="63">
        <v>46043.0</v>
      </c>
      <c r="C196" s="64" t="s">
        <v>317</v>
      </c>
      <c r="D196" s="64" t="s">
        <v>395</v>
      </c>
      <c r="E196" s="65" t="s">
        <v>4</v>
      </c>
      <c r="F196" s="8" t="s">
        <v>4</v>
      </c>
      <c r="G196" s="66">
        <v>0.2</v>
      </c>
      <c r="H196" s="5"/>
    </row>
    <row r="197" ht="15.75" customHeight="1">
      <c r="A197" s="63">
        <v>46057.0</v>
      </c>
      <c r="B197" s="63">
        <v>46078.0</v>
      </c>
      <c r="C197" s="64" t="s">
        <v>143</v>
      </c>
      <c r="D197" s="64" t="s">
        <v>0</v>
      </c>
      <c r="E197" s="65">
        <f t="array" ref="E197">_xlfn.XLOOKUP(D197,Prices!A:A,Prices!B:B,"-")</f>
        <v>39.99</v>
      </c>
      <c r="F197" s="8">
        <f t="shared" ref="F197:F202" si="11">IFERROR(E197*(1-G197),"-")</f>
        <v>11.997</v>
      </c>
      <c r="G197" s="66">
        <v>0.7</v>
      </c>
      <c r="H197" s="5"/>
    </row>
    <row r="198" ht="15.75" customHeight="1">
      <c r="A198" s="63">
        <v>46057.0</v>
      </c>
      <c r="B198" s="63">
        <v>46078.0</v>
      </c>
      <c r="C198" s="64" t="s">
        <v>143</v>
      </c>
      <c r="D198" s="64" t="s">
        <v>388</v>
      </c>
      <c r="E198" s="65">
        <v>99.99</v>
      </c>
      <c r="F198" s="8">
        <f t="shared" si="11"/>
        <v>59.994</v>
      </c>
      <c r="G198" s="66">
        <v>0.4</v>
      </c>
      <c r="H198" s="5"/>
    </row>
    <row r="199" ht="15.75" customHeight="1">
      <c r="A199" s="63">
        <v>46057.0</v>
      </c>
      <c r="B199" s="63">
        <v>46078.0</v>
      </c>
      <c r="C199" s="64" t="s">
        <v>143</v>
      </c>
      <c r="D199" s="64" t="s">
        <v>379</v>
      </c>
      <c r="E199" s="65" t="str">
        <f t="array" ref="E199">_xlfn.XLOOKUP(D199,Prices!A:A,Prices!B:B,"-")</f>
        <v>-</v>
      </c>
      <c r="F199" s="8" t="str">
        <f t="shared" si="11"/>
        <v>-</v>
      </c>
      <c r="G199" s="66">
        <v>0.3</v>
      </c>
      <c r="H199" s="5"/>
    </row>
    <row r="200" ht="15.75" customHeight="1">
      <c r="A200" s="63">
        <v>46057.0</v>
      </c>
      <c r="B200" s="63">
        <v>46078.0</v>
      </c>
      <c r="C200" s="64" t="s">
        <v>143</v>
      </c>
      <c r="D200" s="64" t="s">
        <v>381</v>
      </c>
      <c r="E200" s="65" t="str">
        <f t="array" ref="E200">_xlfn.XLOOKUP(D200,Prices!A:A,Prices!B:B,"-")</f>
        <v>-</v>
      </c>
      <c r="F200" s="8" t="str">
        <f t="shared" si="11"/>
        <v>-</v>
      </c>
      <c r="G200" s="66">
        <v>0.3</v>
      </c>
      <c r="H200" s="5"/>
    </row>
    <row r="201" ht="15.75" customHeight="1">
      <c r="A201" s="63">
        <v>46057.0</v>
      </c>
      <c r="B201" s="63">
        <v>46078.0</v>
      </c>
      <c r="C201" s="64" t="s">
        <v>143</v>
      </c>
      <c r="D201" s="64" t="s">
        <v>382</v>
      </c>
      <c r="E201" s="65" t="str">
        <f t="array" ref="E201">_xlfn.XLOOKUP(D201,Prices!A:A,Prices!B:B,"-")</f>
        <v>-</v>
      </c>
      <c r="F201" s="8" t="str">
        <f t="shared" si="11"/>
        <v>-</v>
      </c>
      <c r="G201" s="66">
        <v>0.3</v>
      </c>
      <c r="H201" s="5"/>
    </row>
    <row r="202" ht="15.75" customHeight="1">
      <c r="A202" s="63">
        <v>46078.0</v>
      </c>
      <c r="B202" s="63">
        <v>46092.0</v>
      </c>
      <c r="C202" s="64" t="s">
        <v>144</v>
      </c>
      <c r="D202" s="64" t="s">
        <v>5</v>
      </c>
      <c r="E202" s="65">
        <f t="array" ref="E202">_xlfn.XLOOKUP(D202,Prices!A:A,Prices!B:B,"-")</f>
        <v>49.99</v>
      </c>
      <c r="F202" s="8">
        <f t="shared" si="11"/>
        <v>14.997</v>
      </c>
      <c r="G202" s="66">
        <v>0.7</v>
      </c>
      <c r="H202" s="5"/>
    </row>
    <row r="203" ht="15.75" customHeight="1">
      <c r="A203" s="63">
        <v>46078.0</v>
      </c>
      <c r="B203" s="63">
        <v>46092.0</v>
      </c>
      <c r="C203" s="64" t="s">
        <v>144</v>
      </c>
      <c r="D203" s="64" t="s">
        <v>395</v>
      </c>
      <c r="E203" s="65" t="s">
        <v>4</v>
      </c>
      <c r="F203" s="8" t="s">
        <v>4</v>
      </c>
      <c r="G203" s="66">
        <v>0.2</v>
      </c>
      <c r="H203" s="5"/>
    </row>
    <row r="204" ht="15.75" customHeight="1">
      <c r="A204" s="63">
        <v>46101.0</v>
      </c>
      <c r="B204" s="63">
        <v>46105.0</v>
      </c>
      <c r="C204" s="64" t="s">
        <v>145</v>
      </c>
      <c r="D204" s="64" t="s">
        <v>0</v>
      </c>
      <c r="E204" s="65">
        <f t="array" ref="E204">_xlfn.XLOOKUP(D204,Prices!A:A,Prices!B:B,"-")</f>
        <v>39.99</v>
      </c>
      <c r="F204" s="8">
        <f t="shared" ref="F204:F211" si="12">IFERROR(E204*(1-G204),"-")</f>
        <v>11.997</v>
      </c>
      <c r="G204" s="66">
        <v>0.7</v>
      </c>
      <c r="H204" s="5"/>
    </row>
    <row r="205" ht="15.75" customHeight="1">
      <c r="A205" s="63">
        <v>46101.0</v>
      </c>
      <c r="B205" s="63">
        <v>46105.0</v>
      </c>
      <c r="C205" s="64" t="s">
        <v>145</v>
      </c>
      <c r="D205" s="64" t="s">
        <v>388</v>
      </c>
      <c r="E205" s="65">
        <v>99.99</v>
      </c>
      <c r="F205" s="8">
        <f t="shared" si="12"/>
        <v>59.994</v>
      </c>
      <c r="G205" s="66">
        <v>0.4</v>
      </c>
      <c r="H205" s="5"/>
    </row>
    <row r="206" ht="15.75" customHeight="1">
      <c r="A206" s="63">
        <v>46106.0</v>
      </c>
      <c r="B206" s="63">
        <v>46120.0</v>
      </c>
      <c r="C206" s="64" t="s">
        <v>146</v>
      </c>
      <c r="D206" s="64" t="s">
        <v>0</v>
      </c>
      <c r="E206" s="65">
        <f t="array" ref="E206">_xlfn.XLOOKUP(D206,Prices!A:A,Prices!B:B,"-")</f>
        <v>39.99</v>
      </c>
      <c r="F206" s="8">
        <f t="shared" si="12"/>
        <v>11.997</v>
      </c>
      <c r="G206" s="66">
        <v>0.7</v>
      </c>
      <c r="H206" s="5"/>
    </row>
    <row r="207" ht="15.75" customHeight="1">
      <c r="A207" s="63">
        <v>46106.0</v>
      </c>
      <c r="B207" s="63">
        <v>46120.0</v>
      </c>
      <c r="C207" s="64" t="s">
        <v>146</v>
      </c>
      <c r="D207" s="64" t="s">
        <v>388</v>
      </c>
      <c r="E207" s="65">
        <v>99.99</v>
      </c>
      <c r="F207" s="8">
        <f t="shared" si="12"/>
        <v>59.994</v>
      </c>
      <c r="G207" s="66">
        <v>0.4</v>
      </c>
      <c r="H207" s="5"/>
    </row>
    <row r="208" ht="15.75" customHeight="1">
      <c r="A208" s="63">
        <v>46106.0</v>
      </c>
      <c r="B208" s="63">
        <v>46120.0</v>
      </c>
      <c r="C208" s="64" t="s">
        <v>146</v>
      </c>
      <c r="D208" s="64" t="s">
        <v>379</v>
      </c>
      <c r="E208" s="65" t="str">
        <f t="array" ref="E208">_xlfn.XLOOKUP(D208,Prices!A:A,Prices!B:B,"-")</f>
        <v>-</v>
      </c>
      <c r="F208" s="8" t="str">
        <f t="shared" si="12"/>
        <v>-</v>
      </c>
      <c r="G208" s="66">
        <v>0.3</v>
      </c>
      <c r="H208" s="5"/>
    </row>
    <row r="209" ht="15.75" customHeight="1">
      <c r="A209" s="63">
        <v>46106.0</v>
      </c>
      <c r="B209" s="63">
        <v>46120.0</v>
      </c>
      <c r="C209" s="64" t="s">
        <v>146</v>
      </c>
      <c r="D209" s="64" t="s">
        <v>381</v>
      </c>
      <c r="E209" s="65" t="str">
        <f t="array" ref="E209">_xlfn.XLOOKUP(D209,Prices!A:A,Prices!B:B,"-")</f>
        <v>-</v>
      </c>
      <c r="F209" s="8" t="str">
        <f t="shared" si="12"/>
        <v>-</v>
      </c>
      <c r="G209" s="66">
        <v>0.3</v>
      </c>
      <c r="H209" s="5"/>
    </row>
    <row r="210" ht="15.75" customHeight="1">
      <c r="A210" s="63">
        <v>46106.0</v>
      </c>
      <c r="B210" s="63">
        <v>46120.0</v>
      </c>
      <c r="C210" s="64" t="s">
        <v>146</v>
      </c>
      <c r="D210" s="64" t="s">
        <v>382</v>
      </c>
      <c r="E210" s="65" t="str">
        <f t="array" ref="E210">_xlfn.XLOOKUP(D210,Prices!A:A,Prices!B:B,"-")</f>
        <v>-</v>
      </c>
      <c r="F210" s="8" t="str">
        <f t="shared" si="12"/>
        <v>-</v>
      </c>
      <c r="G210" s="66">
        <v>0.3</v>
      </c>
      <c r="H210" s="5"/>
    </row>
    <row r="211" ht="15.75" customHeight="1">
      <c r="A211" s="63">
        <v>46120.0</v>
      </c>
      <c r="B211" s="63">
        <v>46134.0</v>
      </c>
      <c r="C211" s="64" t="s">
        <v>147</v>
      </c>
      <c r="D211" s="64" t="s">
        <v>5</v>
      </c>
      <c r="E211" s="65">
        <f t="array" ref="E211">_xlfn.XLOOKUP(D211,Prices!A:A,Prices!B:B,"-")</f>
        <v>49.99</v>
      </c>
      <c r="F211" s="8">
        <f t="shared" si="12"/>
        <v>14.997</v>
      </c>
      <c r="G211" s="66">
        <v>0.7</v>
      </c>
      <c r="H211" s="5"/>
    </row>
    <row r="212" ht="15.75" customHeight="1">
      <c r="A212" s="63">
        <v>46120.0</v>
      </c>
      <c r="B212" s="63">
        <v>46134.0</v>
      </c>
      <c r="C212" s="64" t="s">
        <v>147</v>
      </c>
      <c r="D212" s="64" t="s">
        <v>395</v>
      </c>
      <c r="E212" s="65" t="s">
        <v>4</v>
      </c>
      <c r="F212" s="8" t="s">
        <v>4</v>
      </c>
      <c r="G212" s="66">
        <v>0.2</v>
      </c>
      <c r="H212" s="5"/>
    </row>
    <row r="213" ht="15.75" customHeight="1">
      <c r="A213" s="63">
        <v>46143.0</v>
      </c>
      <c r="B213" s="63">
        <v>46146.0</v>
      </c>
      <c r="C213" s="64" t="s">
        <v>440</v>
      </c>
      <c r="D213" s="64" t="s">
        <v>0</v>
      </c>
      <c r="E213" s="65">
        <v>39.99</v>
      </c>
      <c r="F213" s="8">
        <f t="shared" ref="F213:F230" si="13">IFERROR(E213*(1-G213),"-")</f>
        <v>11.997</v>
      </c>
      <c r="G213" s="66">
        <v>0.7</v>
      </c>
      <c r="H213" s="5"/>
    </row>
    <row r="214" ht="15.75" customHeight="1">
      <c r="A214" s="63">
        <v>46143.0</v>
      </c>
      <c r="B214" s="63">
        <v>46146.0</v>
      </c>
      <c r="C214" s="64" t="s">
        <v>440</v>
      </c>
      <c r="D214" s="64" t="s">
        <v>379</v>
      </c>
      <c r="E214" s="65">
        <v>24.99</v>
      </c>
      <c r="F214" s="8">
        <f t="shared" si="13"/>
        <v>17.493</v>
      </c>
      <c r="G214" s="66">
        <v>0.3</v>
      </c>
      <c r="H214" s="5"/>
    </row>
    <row r="215" ht="15.75" customHeight="1">
      <c r="A215" s="63">
        <v>46143.0</v>
      </c>
      <c r="B215" s="63">
        <v>46146.0</v>
      </c>
      <c r="C215" s="64" t="s">
        <v>440</v>
      </c>
      <c r="D215" s="64" t="s">
        <v>381</v>
      </c>
      <c r="E215" s="65">
        <v>29.99</v>
      </c>
      <c r="F215" s="8">
        <f t="shared" si="13"/>
        <v>20.993</v>
      </c>
      <c r="G215" s="66">
        <v>0.3</v>
      </c>
      <c r="H215" s="5"/>
    </row>
    <row r="216" ht="15.75" customHeight="1">
      <c r="A216" s="63">
        <v>46143.0</v>
      </c>
      <c r="B216" s="63">
        <v>46146.0</v>
      </c>
      <c r="C216" s="64" t="s">
        <v>440</v>
      </c>
      <c r="D216" s="64" t="s">
        <v>382</v>
      </c>
      <c r="E216" s="65">
        <v>34.99</v>
      </c>
      <c r="F216" s="8">
        <f t="shared" si="13"/>
        <v>24.493</v>
      </c>
      <c r="G216" s="66">
        <v>0.3</v>
      </c>
      <c r="H216" s="5"/>
    </row>
    <row r="217" ht="15.75" customHeight="1">
      <c r="A217" s="63">
        <v>46143.0</v>
      </c>
      <c r="B217" s="63">
        <v>46146.0</v>
      </c>
      <c r="C217" s="64" t="s">
        <v>440</v>
      </c>
      <c r="D217" s="64" t="s">
        <v>401</v>
      </c>
      <c r="E217" s="65">
        <v>34.99</v>
      </c>
      <c r="F217" s="8">
        <f t="shared" si="13"/>
        <v>34.99</v>
      </c>
      <c r="G217" s="66">
        <v>0.0</v>
      </c>
      <c r="H217" s="5"/>
    </row>
    <row r="218" ht="15.75" customHeight="1">
      <c r="A218" s="63">
        <v>46155.0</v>
      </c>
      <c r="B218" s="63">
        <v>46169.0</v>
      </c>
      <c r="C218" s="64" t="s">
        <v>148</v>
      </c>
      <c r="D218" s="64" t="s">
        <v>388</v>
      </c>
      <c r="E218" s="65">
        <v>99.99</v>
      </c>
      <c r="F218" s="8">
        <f t="shared" si="13"/>
        <v>59.994</v>
      </c>
      <c r="G218" s="66">
        <v>0.4</v>
      </c>
      <c r="H218" s="5"/>
    </row>
    <row r="219" ht="15.75" customHeight="1">
      <c r="A219" s="63">
        <v>46169.0</v>
      </c>
      <c r="B219" s="63">
        <v>46183.0</v>
      </c>
      <c r="C219" s="64" t="s">
        <v>151</v>
      </c>
      <c r="D219" s="64" t="s">
        <v>0</v>
      </c>
      <c r="E219" s="65">
        <v>39.99</v>
      </c>
      <c r="F219" s="8">
        <f t="shared" si="13"/>
        <v>11.997</v>
      </c>
      <c r="G219" s="66">
        <v>0.7</v>
      </c>
      <c r="H219" s="5"/>
    </row>
    <row r="220" ht="15.75" customHeight="1">
      <c r="A220" s="63">
        <v>46169.0</v>
      </c>
      <c r="B220" s="63">
        <v>46183.0</v>
      </c>
      <c r="C220" s="64" t="s">
        <v>151</v>
      </c>
      <c r="D220" s="64" t="s">
        <v>379</v>
      </c>
      <c r="E220" s="65">
        <v>24.99</v>
      </c>
      <c r="F220" s="8">
        <f t="shared" si="13"/>
        <v>17.493</v>
      </c>
      <c r="G220" s="66">
        <v>0.3</v>
      </c>
      <c r="H220" s="5"/>
    </row>
    <row r="221" ht="15.75" customHeight="1">
      <c r="A221" s="63">
        <v>46169.0</v>
      </c>
      <c r="B221" s="63">
        <v>46183.0</v>
      </c>
      <c r="C221" s="64" t="s">
        <v>151</v>
      </c>
      <c r="D221" s="64" t="s">
        <v>381</v>
      </c>
      <c r="E221" s="65">
        <v>29.99</v>
      </c>
      <c r="F221" s="8">
        <f t="shared" si="13"/>
        <v>20.993</v>
      </c>
      <c r="G221" s="66">
        <v>0.3</v>
      </c>
      <c r="H221" s="5"/>
    </row>
    <row r="222" ht="15.75" customHeight="1">
      <c r="A222" s="63">
        <v>46169.0</v>
      </c>
      <c r="B222" s="63">
        <v>46183.0</v>
      </c>
      <c r="C222" s="64" t="s">
        <v>151</v>
      </c>
      <c r="D222" s="64" t="s">
        <v>382</v>
      </c>
      <c r="E222" s="65">
        <v>34.99</v>
      </c>
      <c r="F222" s="8">
        <f t="shared" si="13"/>
        <v>24.493</v>
      </c>
      <c r="G222" s="66">
        <v>0.3</v>
      </c>
      <c r="H222" s="5"/>
    </row>
    <row r="223" ht="15.75" customHeight="1">
      <c r="A223" s="63">
        <v>46169.0</v>
      </c>
      <c r="B223" s="63">
        <v>46183.0</v>
      </c>
      <c r="C223" s="64" t="s">
        <v>151</v>
      </c>
      <c r="D223" s="64" t="s">
        <v>401</v>
      </c>
      <c r="E223" s="65">
        <v>34.99</v>
      </c>
      <c r="F223" s="8">
        <f t="shared" si="13"/>
        <v>34.99</v>
      </c>
      <c r="G223" s="66">
        <v>0.0</v>
      </c>
      <c r="H223" s="5"/>
    </row>
    <row r="224" ht="15.75" customHeight="1">
      <c r="A224" s="63">
        <v>46190.0</v>
      </c>
      <c r="B224" s="63">
        <v>46204.0</v>
      </c>
      <c r="C224" s="64" t="s">
        <v>357</v>
      </c>
      <c r="D224" s="64" t="s">
        <v>441</v>
      </c>
      <c r="E224" s="65">
        <v>49.99</v>
      </c>
      <c r="F224" s="8">
        <f t="shared" si="13"/>
        <v>14.997</v>
      </c>
      <c r="G224" s="66">
        <v>0.7</v>
      </c>
      <c r="H224" s="5"/>
    </row>
    <row r="225" ht="15.75" customHeight="1">
      <c r="A225" s="63">
        <v>46190.0</v>
      </c>
      <c r="B225" s="63">
        <v>46204.0</v>
      </c>
      <c r="C225" s="64" t="s">
        <v>357</v>
      </c>
      <c r="D225" s="64" t="s">
        <v>395</v>
      </c>
      <c r="E225" s="65">
        <v>69.99</v>
      </c>
      <c r="F225" s="8">
        <f t="shared" si="13"/>
        <v>55.992</v>
      </c>
      <c r="G225" s="66">
        <v>0.2</v>
      </c>
      <c r="H225" s="5"/>
    </row>
    <row r="226" ht="15.75" customHeight="1">
      <c r="A226" s="63">
        <v>46213.0</v>
      </c>
      <c r="B226" s="63">
        <v>46232.0</v>
      </c>
      <c r="C226" s="64" t="s">
        <v>442</v>
      </c>
      <c r="D226" s="64" t="s">
        <v>0</v>
      </c>
      <c r="E226" s="65">
        <v>39.99</v>
      </c>
      <c r="F226" s="8">
        <f t="shared" si="13"/>
        <v>9.9975</v>
      </c>
      <c r="G226" s="66">
        <v>0.75</v>
      </c>
      <c r="H226" s="5"/>
    </row>
    <row r="227" ht="15.75" customHeight="1">
      <c r="A227" s="63">
        <v>46218.0</v>
      </c>
      <c r="B227" s="63">
        <v>46232.0</v>
      </c>
      <c r="C227" s="64" t="s">
        <v>442</v>
      </c>
      <c r="D227" s="64" t="s">
        <v>379</v>
      </c>
      <c r="E227" s="65">
        <v>24.99</v>
      </c>
      <c r="F227" s="8">
        <f t="shared" si="13"/>
        <v>14.994</v>
      </c>
      <c r="G227" s="66">
        <v>0.4</v>
      </c>
      <c r="H227" s="5"/>
    </row>
    <row r="228" ht="15.75" customHeight="1">
      <c r="A228" s="63">
        <v>46218.0</v>
      </c>
      <c r="B228" s="63">
        <v>46232.0</v>
      </c>
      <c r="C228" s="64" t="s">
        <v>442</v>
      </c>
      <c r="D228" s="64" t="s">
        <v>381</v>
      </c>
      <c r="E228" s="65">
        <v>29.99</v>
      </c>
      <c r="F228" s="8">
        <f t="shared" si="13"/>
        <v>17.994</v>
      </c>
      <c r="G228" s="66">
        <v>0.4</v>
      </c>
      <c r="H228" s="5"/>
    </row>
    <row r="229" ht="15.75" customHeight="1">
      <c r="A229" s="63">
        <v>46218.0</v>
      </c>
      <c r="B229" s="63">
        <v>46232.0</v>
      </c>
      <c r="C229" s="64" t="s">
        <v>442</v>
      </c>
      <c r="D229" s="64" t="s">
        <v>382</v>
      </c>
      <c r="E229" s="65">
        <v>34.99</v>
      </c>
      <c r="F229" s="8">
        <f t="shared" si="13"/>
        <v>20.994</v>
      </c>
      <c r="G229" s="66">
        <v>0.4</v>
      </c>
      <c r="H229" s="5"/>
    </row>
    <row r="230" ht="15.75" customHeight="1">
      <c r="A230" s="63">
        <v>46218.0</v>
      </c>
      <c r="B230" s="63">
        <v>46232.0</v>
      </c>
      <c r="C230" s="64" t="s">
        <v>442</v>
      </c>
      <c r="D230" s="64" t="s">
        <v>401</v>
      </c>
      <c r="E230" s="65">
        <v>34.99</v>
      </c>
      <c r="F230" s="8">
        <f t="shared" si="13"/>
        <v>27.992</v>
      </c>
      <c r="G230" s="66">
        <v>0.2</v>
      </c>
      <c r="H230" s="5"/>
    </row>
    <row r="231" ht="15.75" customHeight="1">
      <c r="A231" s="63">
        <v>46230.0</v>
      </c>
      <c r="B231" s="63">
        <v>46246.0</v>
      </c>
      <c r="C231" s="64" t="s">
        <v>444</v>
      </c>
      <c r="D231" s="64" t="s">
        <v>5</v>
      </c>
      <c r="E231" s="65">
        <v>49.99</v>
      </c>
      <c r="F231" s="8">
        <v>14.997000000000003</v>
      </c>
      <c r="G231" s="66">
        <v>0.75</v>
      </c>
      <c r="H231" s="5"/>
    </row>
    <row r="232" ht="15.75" customHeight="1">
      <c r="A232" s="63">
        <v>46230.0</v>
      </c>
      <c r="B232" s="63">
        <v>46246.0</v>
      </c>
      <c r="C232" s="64" t="s">
        <v>444</v>
      </c>
      <c r="D232" s="64" t="s">
        <v>395</v>
      </c>
      <c r="E232" s="65" t="s">
        <v>4</v>
      </c>
      <c r="F232" s="8" t="s">
        <v>4</v>
      </c>
      <c r="G232" s="66">
        <v>0.2</v>
      </c>
      <c r="H232" s="5"/>
    </row>
    <row r="233" ht="15.75" customHeight="1">
      <c r="A233" s="63">
        <v>46246.0</v>
      </c>
      <c r="B233" s="63">
        <v>46260.0</v>
      </c>
      <c r="C233" s="64" t="s">
        <v>421</v>
      </c>
      <c r="D233" s="64" t="s">
        <v>388</v>
      </c>
      <c r="E233" s="65">
        <v>99.99</v>
      </c>
      <c r="F233" s="8">
        <f t="shared" ref="F233:F238" si="14">IFERROR(E233*(1-G233),"-")</f>
        <v>44.9955</v>
      </c>
      <c r="G233" s="66">
        <v>0.55</v>
      </c>
      <c r="H233" s="5"/>
    </row>
    <row r="234" ht="15.75" customHeight="1">
      <c r="A234" s="63">
        <v>46260.0</v>
      </c>
      <c r="B234" s="63">
        <v>46274.0</v>
      </c>
      <c r="C234" s="64" t="s">
        <v>121</v>
      </c>
      <c r="D234" s="64" t="s">
        <v>0</v>
      </c>
      <c r="E234" s="65">
        <v>39.99</v>
      </c>
      <c r="F234" s="8">
        <f t="shared" si="14"/>
        <v>9.9975</v>
      </c>
      <c r="G234" s="66">
        <v>0.75</v>
      </c>
      <c r="H234" s="5"/>
    </row>
    <row r="235" ht="15.75" customHeight="1">
      <c r="A235" s="63">
        <v>46260.0</v>
      </c>
      <c r="B235" s="63">
        <v>46274.0</v>
      </c>
      <c r="C235" s="64" t="s">
        <v>121</v>
      </c>
      <c r="D235" s="64" t="s">
        <v>379</v>
      </c>
      <c r="E235" s="65">
        <v>24.99</v>
      </c>
      <c r="F235" s="8">
        <f t="shared" si="14"/>
        <v>14.994</v>
      </c>
      <c r="G235" s="66">
        <v>0.4</v>
      </c>
      <c r="H235" s="5"/>
    </row>
    <row r="236" ht="15.75" customHeight="1">
      <c r="A236" s="63">
        <v>46260.0</v>
      </c>
      <c r="B236" s="63">
        <v>46274.0</v>
      </c>
      <c r="C236" s="64" t="s">
        <v>121</v>
      </c>
      <c r="D236" s="64" t="s">
        <v>381</v>
      </c>
      <c r="E236" s="65">
        <v>29.99</v>
      </c>
      <c r="F236" s="8">
        <f t="shared" si="14"/>
        <v>17.994</v>
      </c>
      <c r="G236" s="66">
        <v>0.4</v>
      </c>
      <c r="H236" s="5"/>
    </row>
    <row r="237" ht="15.75" customHeight="1">
      <c r="A237" s="63">
        <v>46260.0</v>
      </c>
      <c r="B237" s="63">
        <v>46274.0</v>
      </c>
      <c r="C237" s="64" t="s">
        <v>121</v>
      </c>
      <c r="D237" s="64" t="s">
        <v>382</v>
      </c>
      <c r="E237" s="65">
        <v>34.99</v>
      </c>
      <c r="F237" s="8">
        <f t="shared" si="14"/>
        <v>20.994</v>
      </c>
      <c r="G237" s="66">
        <v>0.4</v>
      </c>
      <c r="H237" s="5"/>
    </row>
    <row r="238" ht="15.75" customHeight="1">
      <c r="A238" s="63">
        <v>46260.0</v>
      </c>
      <c r="B238" s="63">
        <v>46274.0</v>
      </c>
      <c r="C238" s="64" t="s">
        <v>121</v>
      </c>
      <c r="D238" s="64" t="s">
        <v>401</v>
      </c>
      <c r="E238" s="65">
        <v>34.99</v>
      </c>
      <c r="F238" s="8">
        <f t="shared" si="14"/>
        <v>27.992</v>
      </c>
      <c r="G238" s="66">
        <v>0.2</v>
      </c>
      <c r="H238" s="5"/>
    </row>
    <row r="239" ht="15.75" customHeight="1">
      <c r="A239" s="63">
        <v>46274.0</v>
      </c>
      <c r="B239" s="63">
        <v>46288.0</v>
      </c>
      <c r="C239" s="64" t="s">
        <v>123</v>
      </c>
      <c r="D239" s="64" t="s">
        <v>441</v>
      </c>
      <c r="E239" s="65">
        <v>49.99</v>
      </c>
      <c r="F239" s="8">
        <v>14.997000000000003</v>
      </c>
      <c r="G239" s="66">
        <v>0.75</v>
      </c>
      <c r="H239" s="5"/>
    </row>
    <row r="240" ht="15.75" customHeight="1">
      <c r="A240" s="63">
        <v>46274.0</v>
      </c>
      <c r="B240" s="63">
        <v>46288.0</v>
      </c>
      <c r="C240" s="64" t="s">
        <v>123</v>
      </c>
      <c r="D240" s="64" t="s">
        <v>395</v>
      </c>
      <c r="E240" s="65" t="s">
        <v>4</v>
      </c>
      <c r="F240" s="8" t="s">
        <v>4</v>
      </c>
      <c r="G240" s="66">
        <v>0.2</v>
      </c>
      <c r="H240" s="5"/>
    </row>
    <row r="241" ht="15.75" customHeight="1">
      <c r="A241" s="63">
        <v>46288.0</v>
      </c>
      <c r="B241" s="63">
        <v>46302.0</v>
      </c>
      <c r="C241" s="64" t="s">
        <v>422</v>
      </c>
      <c r="D241" s="64" t="s">
        <v>388</v>
      </c>
      <c r="E241" s="65">
        <v>99.99</v>
      </c>
      <c r="F241" s="8">
        <f t="shared" ref="F241:F246" si="15">IFERROR(E241*(1-G241),"-")</f>
        <v>44.9955</v>
      </c>
      <c r="G241" s="66">
        <v>0.55</v>
      </c>
      <c r="H241" s="5"/>
    </row>
    <row r="242" ht="15.75" customHeight="1">
      <c r="A242" s="64" t="s">
        <v>108</v>
      </c>
      <c r="B242" s="64" t="s">
        <v>108</v>
      </c>
      <c r="C242" s="64" t="s">
        <v>108</v>
      </c>
      <c r="D242" s="64" t="s">
        <v>0</v>
      </c>
      <c r="E242" s="65">
        <v>39.99</v>
      </c>
      <c r="F242" s="8">
        <f t="shared" si="15"/>
        <v>9.9975</v>
      </c>
      <c r="G242" s="66">
        <v>0.75</v>
      </c>
      <c r="H242" s="5"/>
    </row>
    <row r="243" ht="15.75" customHeight="1">
      <c r="A243" s="64" t="s">
        <v>108</v>
      </c>
      <c r="B243" s="64" t="s">
        <v>108</v>
      </c>
      <c r="C243" s="64" t="s">
        <v>108</v>
      </c>
      <c r="D243" s="64" t="s">
        <v>379</v>
      </c>
      <c r="E243" s="65">
        <v>24.99</v>
      </c>
      <c r="F243" s="8">
        <f t="shared" si="15"/>
        <v>14.994</v>
      </c>
      <c r="G243" s="66">
        <v>0.4</v>
      </c>
      <c r="H243" s="5"/>
    </row>
    <row r="244" ht="15.75" customHeight="1">
      <c r="A244" s="64" t="s">
        <v>108</v>
      </c>
      <c r="B244" s="64" t="s">
        <v>108</v>
      </c>
      <c r="C244" s="64" t="s">
        <v>108</v>
      </c>
      <c r="D244" s="64" t="s">
        <v>381</v>
      </c>
      <c r="E244" s="65">
        <v>29.99</v>
      </c>
      <c r="F244" s="8">
        <f t="shared" si="15"/>
        <v>17.994</v>
      </c>
      <c r="G244" s="66">
        <v>0.4</v>
      </c>
      <c r="H244" s="5"/>
    </row>
    <row r="245" ht="15.75" customHeight="1">
      <c r="A245" s="64" t="s">
        <v>108</v>
      </c>
      <c r="B245" s="64" t="s">
        <v>108</v>
      </c>
      <c r="C245" s="64" t="s">
        <v>108</v>
      </c>
      <c r="D245" s="64" t="s">
        <v>382</v>
      </c>
      <c r="E245" s="65">
        <v>34.99</v>
      </c>
      <c r="F245" s="8">
        <f t="shared" si="15"/>
        <v>20.994</v>
      </c>
      <c r="G245" s="66">
        <v>0.4</v>
      </c>
      <c r="H245" s="5"/>
    </row>
    <row r="246" ht="15.75" customHeight="1">
      <c r="A246" s="64" t="s">
        <v>108</v>
      </c>
      <c r="B246" s="64" t="s">
        <v>108</v>
      </c>
      <c r="C246" s="64" t="s">
        <v>108</v>
      </c>
      <c r="D246" s="64" t="s">
        <v>401</v>
      </c>
      <c r="E246" s="65">
        <v>34.99</v>
      </c>
      <c r="F246" s="8">
        <f t="shared" si="15"/>
        <v>27.992</v>
      </c>
      <c r="G246" s="66">
        <v>0.2</v>
      </c>
      <c r="H246" s="5"/>
    </row>
    <row r="247" ht="15.75" customHeight="1">
      <c r="H247" s="5"/>
    </row>
    <row r="248" ht="15.75" customHeight="1">
      <c r="H248" s="5"/>
    </row>
    <row r="249" ht="15.75" customHeight="1">
      <c r="H249" s="5"/>
    </row>
    <row r="250" ht="15.75" customHeight="1">
      <c r="H250" s="5"/>
    </row>
    <row r="251" ht="15.75" customHeight="1">
      <c r="H251" s="5"/>
    </row>
    <row r="252" ht="15.75" customHeight="1">
      <c r="H252" s="5"/>
    </row>
    <row r="253" ht="15.75" customHeight="1">
      <c r="H253" s="5"/>
    </row>
    <row r="254" ht="15.75" customHeight="1">
      <c r="H254" s="5"/>
    </row>
    <row r="255" ht="15.75" customHeight="1">
      <c r="H255" s="5"/>
    </row>
    <row r="256" ht="15.75" customHeight="1">
      <c r="H256" s="5"/>
    </row>
    <row r="257" ht="15.75" customHeight="1">
      <c r="H257" s="5"/>
    </row>
    <row r="258" ht="15.75" customHeight="1">
      <c r="H258" s="5"/>
    </row>
    <row r="259" ht="15.75" customHeight="1">
      <c r="H259" s="5"/>
    </row>
    <row r="260" ht="15.75" customHeight="1">
      <c r="H260" s="5"/>
    </row>
    <row r="261" ht="15.75" customHeight="1">
      <c r="H261" s="5"/>
    </row>
    <row r="262" ht="15.75" customHeight="1">
      <c r="H262" s="5"/>
    </row>
    <row r="263" ht="15.75" customHeight="1">
      <c r="H263" s="5"/>
    </row>
    <row r="264" ht="15.75" customHeight="1">
      <c r="H264" s="5"/>
    </row>
    <row r="265" ht="15.75" customHeight="1">
      <c r="H265" s="5"/>
    </row>
    <row r="266" ht="15.75" customHeight="1">
      <c r="H266" s="5"/>
    </row>
    <row r="267" ht="15.75" customHeight="1">
      <c r="H267" s="5"/>
    </row>
    <row r="268" ht="15.75" customHeight="1">
      <c r="H268" s="5"/>
    </row>
    <row r="269" ht="15.75" customHeight="1">
      <c r="H269" s="5"/>
    </row>
    <row r="270" ht="15.75" customHeight="1">
      <c r="H270" s="5"/>
    </row>
    <row r="271" ht="15.75" customHeight="1">
      <c r="H271" s="5"/>
    </row>
    <row r="272" ht="15.75" customHeight="1">
      <c r="H272" s="5"/>
    </row>
    <row r="273" ht="15.75" customHeight="1">
      <c r="H273" s="5"/>
    </row>
    <row r="274" ht="15.75" customHeight="1">
      <c r="H274" s="5"/>
    </row>
    <row r="275" ht="15.75" customHeight="1">
      <c r="H275" s="5"/>
    </row>
    <row r="276" ht="15.75" customHeight="1">
      <c r="H276" s="5"/>
    </row>
    <row r="277" ht="15.75" customHeight="1">
      <c r="H277" s="5"/>
    </row>
    <row r="278" ht="15.75" customHeight="1">
      <c r="H278" s="5"/>
    </row>
    <row r="279" ht="15.75" customHeight="1">
      <c r="H279" s="5"/>
    </row>
    <row r="280" ht="15.75" customHeight="1">
      <c r="H280" s="5"/>
    </row>
    <row r="281" ht="15.75" customHeight="1">
      <c r="H281" s="5"/>
    </row>
    <row r="282" ht="15.75" customHeight="1">
      <c r="H282" s="5"/>
    </row>
    <row r="283" ht="15.75" customHeight="1">
      <c r="H283" s="5"/>
    </row>
    <row r="284" ht="15.75" customHeight="1">
      <c r="H284" s="5"/>
    </row>
    <row r="285" ht="15.75" customHeight="1">
      <c r="H285" s="5"/>
    </row>
    <row r="286" ht="15.75" customHeight="1">
      <c r="H286" s="5"/>
    </row>
    <row r="287" ht="15.75" customHeight="1">
      <c r="H287" s="5"/>
    </row>
    <row r="288" ht="15.75" customHeight="1">
      <c r="H288" s="5"/>
    </row>
    <row r="289" ht="15.75" customHeight="1">
      <c r="H289" s="5"/>
    </row>
    <row r="290" ht="15.75" customHeight="1">
      <c r="H290" s="5"/>
    </row>
    <row r="291" ht="15.75" customHeight="1">
      <c r="H291" s="5"/>
    </row>
    <row r="292" ht="15.75" customHeight="1">
      <c r="H292" s="5"/>
    </row>
    <row r="293" ht="15.75" customHeight="1">
      <c r="H293" s="5"/>
    </row>
    <row r="294" ht="15.75" customHeight="1">
      <c r="H294" s="5"/>
    </row>
    <row r="295" ht="15.75" customHeight="1">
      <c r="H295" s="5"/>
    </row>
    <row r="296" ht="15.75" customHeight="1">
      <c r="H296" s="5"/>
    </row>
    <row r="297" ht="15.75" customHeight="1">
      <c r="H297" s="5"/>
    </row>
    <row r="298" ht="15.75" customHeight="1">
      <c r="H298" s="5"/>
    </row>
    <row r="299" ht="15.75" customHeight="1">
      <c r="H299" s="5"/>
    </row>
    <row r="300" ht="15.75" customHeight="1">
      <c r="H300" s="5"/>
    </row>
    <row r="301" ht="15.75" customHeight="1">
      <c r="H301" s="5"/>
    </row>
    <row r="302" ht="15.75" customHeight="1">
      <c r="H302" s="5"/>
    </row>
    <row r="303" ht="15.75" customHeight="1">
      <c r="H303" s="5"/>
    </row>
    <row r="304" ht="15.75" customHeight="1">
      <c r="H304" s="5"/>
    </row>
    <row r="305" ht="15.75" customHeight="1">
      <c r="H305" s="5"/>
    </row>
    <row r="306" ht="15.75" customHeight="1">
      <c r="H306" s="5"/>
    </row>
    <row r="307" ht="15.75" customHeight="1">
      <c r="H307" s="5"/>
    </row>
    <row r="308" ht="15.75" customHeight="1">
      <c r="H308" s="5"/>
    </row>
    <row r="309" ht="15.75" customHeight="1">
      <c r="H309" s="5"/>
    </row>
    <row r="310" ht="15.75" customHeight="1">
      <c r="H310" s="5"/>
    </row>
    <row r="311" ht="15.75" customHeight="1">
      <c r="H311" s="5"/>
    </row>
    <row r="312" ht="15.75" customHeight="1">
      <c r="H312" s="5"/>
    </row>
    <row r="313" ht="15.75" customHeight="1">
      <c r="H313" s="5"/>
    </row>
    <row r="314" ht="15.75" customHeight="1">
      <c r="H314" s="5"/>
    </row>
    <row r="315" ht="15.75" customHeight="1">
      <c r="H315" s="5"/>
    </row>
    <row r="316" ht="15.75" customHeight="1">
      <c r="H316" s="5"/>
    </row>
    <row r="317" ht="15.75" customHeight="1">
      <c r="H317" s="5"/>
    </row>
    <row r="318" ht="15.75" customHeight="1">
      <c r="H318" s="5"/>
    </row>
    <row r="319" ht="15.75" customHeight="1">
      <c r="H319" s="5"/>
    </row>
    <row r="320" ht="15.75" customHeight="1">
      <c r="H320" s="5"/>
    </row>
    <row r="321" ht="15.75" customHeight="1">
      <c r="H321" s="5"/>
    </row>
    <row r="322" ht="15.75" customHeight="1">
      <c r="H322" s="5"/>
    </row>
    <row r="323" ht="15.75" customHeight="1">
      <c r="H323" s="5"/>
    </row>
    <row r="324" ht="15.75" customHeight="1">
      <c r="H324" s="5"/>
    </row>
    <row r="325" ht="15.75" customHeight="1">
      <c r="H325" s="5"/>
    </row>
    <row r="326" ht="15.75" customHeight="1">
      <c r="H326" s="5"/>
    </row>
    <row r="327" ht="15.75" customHeight="1">
      <c r="H327" s="5"/>
    </row>
    <row r="328" ht="15.75" customHeight="1">
      <c r="H328" s="5"/>
    </row>
    <row r="329" ht="15.75" customHeight="1">
      <c r="H329" s="5"/>
    </row>
    <row r="330" ht="15.75" customHeight="1">
      <c r="H330" s="5"/>
    </row>
    <row r="331" ht="15.75" customHeight="1">
      <c r="H331" s="5"/>
    </row>
    <row r="332" ht="15.75" customHeight="1">
      <c r="H332" s="5"/>
    </row>
    <row r="333" ht="15.75" customHeight="1">
      <c r="H333" s="5"/>
    </row>
    <row r="334" ht="15.75" customHeight="1">
      <c r="H334" s="5"/>
    </row>
    <row r="335" ht="15.75" customHeight="1">
      <c r="H335" s="5"/>
    </row>
    <row r="336" ht="15.75" customHeight="1">
      <c r="H336" s="5"/>
    </row>
    <row r="337" ht="15.75" customHeight="1">
      <c r="H337" s="5"/>
    </row>
    <row r="338" ht="15.75" customHeight="1">
      <c r="H338" s="5"/>
    </row>
    <row r="339" ht="15.75" customHeight="1">
      <c r="H339" s="5"/>
    </row>
    <row r="340" ht="15.75" customHeight="1">
      <c r="H340" s="5"/>
    </row>
    <row r="341" ht="15.75" customHeight="1">
      <c r="H341" s="5"/>
    </row>
    <row r="342" ht="15.75" customHeight="1">
      <c r="H342" s="5"/>
    </row>
    <row r="343" ht="15.75" customHeight="1">
      <c r="H343" s="5"/>
    </row>
    <row r="344" ht="15.75" customHeight="1">
      <c r="H344" s="5"/>
    </row>
    <row r="345" ht="15.75" customHeight="1">
      <c r="H345" s="5"/>
    </row>
    <row r="346" ht="15.75" customHeight="1">
      <c r="H346" s="5"/>
    </row>
    <row r="347" ht="15.75" customHeight="1">
      <c r="H347" s="5"/>
    </row>
    <row r="348" ht="15.75" customHeight="1">
      <c r="H348" s="5"/>
    </row>
    <row r="349" ht="15.75" customHeight="1">
      <c r="H349" s="5"/>
    </row>
    <row r="350" ht="15.75" customHeight="1">
      <c r="H350" s="5"/>
    </row>
    <row r="351" ht="15.75" customHeight="1">
      <c r="H351" s="5"/>
    </row>
    <row r="352" ht="15.75" customHeight="1">
      <c r="H352" s="5"/>
    </row>
    <row r="353" ht="15.75" customHeight="1">
      <c r="H353" s="5"/>
    </row>
    <row r="354" ht="15.75" customHeight="1">
      <c r="H354" s="5"/>
    </row>
    <row r="355" ht="15.75" customHeight="1">
      <c r="H355" s="5"/>
    </row>
    <row r="356" ht="15.75" customHeight="1">
      <c r="H356" s="5"/>
    </row>
    <row r="357" ht="15.75" customHeight="1">
      <c r="H357" s="5"/>
    </row>
    <row r="358" ht="15.75" customHeight="1">
      <c r="H358" s="5"/>
    </row>
    <row r="359" ht="15.75" customHeight="1">
      <c r="H359" s="5"/>
    </row>
    <row r="360" ht="15.75" customHeight="1">
      <c r="H360" s="5"/>
    </row>
    <row r="361" ht="15.75" customHeight="1">
      <c r="H361" s="5"/>
    </row>
    <row r="362" ht="15.75" customHeight="1">
      <c r="H362" s="5"/>
    </row>
    <row r="363" ht="15.75" customHeight="1">
      <c r="H363" s="5"/>
    </row>
    <row r="364" ht="15.75" customHeight="1">
      <c r="H364" s="5"/>
    </row>
    <row r="365" ht="15.75" customHeight="1">
      <c r="H365" s="5"/>
    </row>
    <row r="366" ht="15.75" customHeight="1">
      <c r="H366" s="5"/>
    </row>
    <row r="367" ht="15.75" customHeight="1">
      <c r="H367" s="5"/>
    </row>
    <row r="368" ht="15.75" customHeight="1">
      <c r="H368" s="5"/>
    </row>
    <row r="369" ht="15.75" customHeight="1">
      <c r="H369" s="5"/>
    </row>
    <row r="370" ht="15.75" customHeight="1">
      <c r="H370" s="5"/>
    </row>
    <row r="371" ht="15.75" customHeight="1">
      <c r="H371" s="5"/>
    </row>
    <row r="372" ht="15.75" customHeight="1">
      <c r="H372" s="5"/>
    </row>
    <row r="373" ht="15.75" customHeight="1">
      <c r="H373" s="5"/>
    </row>
    <row r="374" ht="15.75" customHeight="1">
      <c r="H374" s="5"/>
    </row>
    <row r="375" ht="15.75" customHeight="1">
      <c r="H375" s="5"/>
    </row>
    <row r="376" ht="15.75" customHeight="1">
      <c r="H376" s="5"/>
    </row>
    <row r="377" ht="15.75" customHeight="1">
      <c r="H377" s="5"/>
    </row>
    <row r="378" ht="15.75" customHeight="1">
      <c r="H378" s="5"/>
    </row>
    <row r="379" ht="15.75" customHeight="1">
      <c r="H379" s="5"/>
    </row>
    <row r="380" ht="15.75" customHeight="1">
      <c r="H380" s="5"/>
    </row>
    <row r="381" ht="15.75" customHeight="1">
      <c r="H381" s="5"/>
    </row>
    <row r="382" ht="15.75" customHeight="1">
      <c r="H382" s="5"/>
    </row>
    <row r="383" ht="15.75" customHeight="1">
      <c r="H383" s="5"/>
    </row>
    <row r="384" ht="15.75" customHeight="1">
      <c r="H384" s="5"/>
    </row>
    <row r="385" ht="15.75" customHeight="1">
      <c r="H385" s="5"/>
    </row>
    <row r="386" ht="15.75" customHeight="1">
      <c r="H386" s="5"/>
    </row>
    <row r="387" ht="15.75" customHeight="1">
      <c r="H387" s="5"/>
    </row>
    <row r="388" ht="15.75" customHeight="1">
      <c r="H388" s="5"/>
    </row>
    <row r="389" ht="15.75" customHeight="1">
      <c r="H389" s="5"/>
    </row>
    <row r="390" ht="15.75" customHeight="1">
      <c r="H390" s="5"/>
    </row>
    <row r="391" ht="15.75" customHeight="1">
      <c r="H391" s="5"/>
    </row>
    <row r="392" ht="15.75" customHeight="1">
      <c r="H392" s="5"/>
    </row>
    <row r="393" ht="15.75" customHeight="1">
      <c r="H393" s="5"/>
    </row>
    <row r="394" ht="15.75" customHeight="1">
      <c r="H394" s="5"/>
    </row>
    <row r="395" ht="15.75" customHeight="1">
      <c r="H395" s="5"/>
    </row>
    <row r="396" ht="15.75" customHeight="1">
      <c r="H396" s="5"/>
    </row>
    <row r="397" ht="15.75" customHeight="1">
      <c r="H397" s="5"/>
    </row>
    <row r="398" ht="15.75" customHeight="1">
      <c r="H398" s="5"/>
    </row>
    <row r="399" ht="15.75" customHeight="1">
      <c r="H399" s="5"/>
    </row>
    <row r="400" ht="15.75" customHeight="1">
      <c r="H400" s="5"/>
    </row>
    <row r="401" ht="15.75" customHeight="1">
      <c r="H401" s="5"/>
    </row>
    <row r="402" ht="15.75" customHeight="1">
      <c r="H402" s="5"/>
    </row>
    <row r="403" ht="15.75" customHeight="1">
      <c r="H403" s="5"/>
    </row>
    <row r="404" ht="15.75" customHeight="1">
      <c r="H404" s="5"/>
    </row>
    <row r="405" ht="15.75" customHeight="1">
      <c r="H405" s="5"/>
    </row>
    <row r="406" ht="15.75" customHeight="1">
      <c r="H406" s="5"/>
    </row>
    <row r="407" ht="15.75" customHeight="1">
      <c r="H407" s="5"/>
    </row>
    <row r="408" ht="15.75" customHeight="1">
      <c r="H408" s="5"/>
    </row>
    <row r="409" ht="15.75" customHeight="1">
      <c r="H409" s="5"/>
    </row>
    <row r="410" ht="15.75" customHeight="1">
      <c r="H410" s="5"/>
    </row>
    <row r="411" ht="15.75" customHeight="1">
      <c r="H411" s="5"/>
    </row>
    <row r="412" ht="15.75" customHeight="1">
      <c r="H412" s="5"/>
    </row>
    <row r="413" ht="15.75" customHeight="1">
      <c r="H413" s="5"/>
    </row>
    <row r="414" ht="15.75" customHeight="1">
      <c r="H414" s="5"/>
    </row>
    <row r="415" ht="15.75" customHeight="1">
      <c r="H415" s="5"/>
    </row>
    <row r="416" ht="15.75" customHeight="1">
      <c r="H416" s="5"/>
    </row>
    <row r="417" ht="15.75" customHeight="1">
      <c r="H417" s="5"/>
    </row>
    <row r="418" ht="15.75" customHeight="1">
      <c r="H418" s="5"/>
    </row>
    <row r="419" ht="15.75" customHeight="1">
      <c r="H419" s="5"/>
    </row>
    <row r="420" ht="15.75" customHeight="1">
      <c r="H420" s="5"/>
    </row>
    <row r="421" ht="15.75" customHeight="1">
      <c r="H421" s="5"/>
    </row>
    <row r="422" ht="15.75" customHeight="1">
      <c r="H422" s="5"/>
    </row>
    <row r="423" ht="15.75" customHeight="1">
      <c r="H423" s="5"/>
    </row>
    <row r="424" ht="15.75" customHeight="1">
      <c r="H424" s="5"/>
    </row>
    <row r="425" ht="15.75" customHeight="1">
      <c r="H425" s="5"/>
    </row>
    <row r="426" ht="15.75" customHeight="1">
      <c r="H426" s="5"/>
    </row>
    <row r="427" ht="15.75" customHeight="1">
      <c r="H427" s="5"/>
    </row>
    <row r="428" ht="15.75" customHeight="1">
      <c r="H428" s="5"/>
    </row>
    <row r="429" ht="15.75" customHeight="1">
      <c r="H429" s="5"/>
    </row>
    <row r="430" ht="15.75" customHeight="1">
      <c r="H430" s="5"/>
    </row>
    <row r="431" ht="15.75" customHeight="1">
      <c r="H431" s="5"/>
    </row>
    <row r="432" ht="15.75" customHeight="1">
      <c r="H432" s="5"/>
    </row>
    <row r="433" ht="15.75" customHeight="1">
      <c r="H433" s="5"/>
    </row>
    <row r="434" ht="15.75" customHeight="1">
      <c r="H434" s="5"/>
    </row>
    <row r="435" ht="15.75" customHeight="1">
      <c r="H435" s="5"/>
    </row>
    <row r="436" ht="15.75" customHeight="1">
      <c r="H436" s="5"/>
    </row>
    <row r="437" ht="15.75" customHeight="1">
      <c r="H437" s="5"/>
    </row>
    <row r="438" ht="15.75" customHeight="1">
      <c r="H438" s="5"/>
    </row>
    <row r="439" ht="15.75" customHeight="1">
      <c r="H439" s="5"/>
    </row>
    <row r="440" ht="15.75" customHeight="1">
      <c r="H440" s="5"/>
    </row>
    <row r="441" ht="15.75" customHeight="1">
      <c r="H441" s="5"/>
    </row>
    <row r="442" ht="15.75" customHeight="1">
      <c r="H442" s="5"/>
    </row>
    <row r="443" ht="15.75" customHeight="1">
      <c r="H443" s="5"/>
    </row>
    <row r="444" ht="15.75" customHeight="1">
      <c r="H444" s="5"/>
    </row>
    <row r="445" ht="15.75" customHeight="1">
      <c r="H445" s="5"/>
    </row>
    <row r="446" ht="15.75" customHeight="1">
      <c r="H446" s="5"/>
    </row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G1"/>
    <mergeCell ref="A3:G3"/>
    <mergeCell ref="A109:G109"/>
    <mergeCell ref="A188:G188"/>
  </mergeCells>
  <drawing r:id="rId1"/>
  <tableParts count="2"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75"/>
    <col customWidth="1" min="2" max="2" width="7.88"/>
    <col customWidth="1" min="3" max="3" width="31.5"/>
    <col customWidth="1" min="4" max="4" width="49.0"/>
    <col customWidth="1" min="5" max="5" width="15.75"/>
    <col customWidth="1" min="6" max="6" width="15.0"/>
    <col customWidth="1" min="7" max="7" width="9.38"/>
  </cols>
  <sheetData>
    <row r="1" ht="15.75" customHeight="1">
      <c r="A1" s="2">
        <v>2025.0</v>
      </c>
    </row>
    <row r="2" ht="15.75" customHeight="1">
      <c r="A2" s="4" t="s">
        <v>2</v>
      </c>
      <c r="B2" s="4" t="s">
        <v>6</v>
      </c>
      <c r="C2" s="4" t="s">
        <v>7</v>
      </c>
      <c r="D2" s="4" t="s">
        <v>8</v>
      </c>
      <c r="E2" s="7" t="s">
        <v>9</v>
      </c>
      <c r="F2" s="7" t="s">
        <v>10</v>
      </c>
      <c r="G2" s="7" t="s">
        <v>11</v>
      </c>
    </row>
    <row r="3" ht="15.75" customHeight="1">
      <c r="A3" s="9" t="s">
        <v>45</v>
      </c>
    </row>
    <row r="4" ht="15.75" customHeight="1">
      <c r="A4" s="43">
        <v>45673.0</v>
      </c>
      <c r="B4" s="43">
        <v>45684.0</v>
      </c>
      <c r="C4" s="44" t="s">
        <v>390</v>
      </c>
      <c r="D4" s="17" t="s">
        <v>44</v>
      </c>
      <c r="E4" s="8">
        <v>59.99</v>
      </c>
      <c r="F4" s="8">
        <f t="shared" ref="F4:F11" si="1">E4*(1-G4)</f>
        <v>44.9925</v>
      </c>
      <c r="G4" s="46">
        <v>0.25</v>
      </c>
    </row>
    <row r="5" ht="15.75" customHeight="1">
      <c r="A5" s="43">
        <v>45673.0</v>
      </c>
      <c r="B5" s="43">
        <v>45684.0</v>
      </c>
      <c r="C5" s="44" t="s">
        <v>390</v>
      </c>
      <c r="D5" s="17" t="s">
        <v>393</v>
      </c>
      <c r="E5" s="8">
        <v>89.99</v>
      </c>
      <c r="F5" s="8">
        <f t="shared" si="1"/>
        <v>67.4925</v>
      </c>
      <c r="G5" s="46">
        <v>0.25</v>
      </c>
    </row>
    <row r="6" ht="15.75" customHeight="1">
      <c r="A6" s="43">
        <v>45673.0</v>
      </c>
      <c r="B6" s="43">
        <v>45684.0</v>
      </c>
      <c r="C6" s="44" t="s">
        <v>390</v>
      </c>
      <c r="D6" s="17" t="s">
        <v>53</v>
      </c>
      <c r="E6" s="8">
        <v>99.99</v>
      </c>
      <c r="F6" s="8">
        <f t="shared" si="1"/>
        <v>74.9925</v>
      </c>
      <c r="G6" s="46">
        <v>0.25</v>
      </c>
    </row>
    <row r="7" ht="15.75" customHeight="1">
      <c r="A7" s="43">
        <v>45673.0</v>
      </c>
      <c r="B7" s="43">
        <v>45684.0</v>
      </c>
      <c r="C7" s="44" t="s">
        <v>390</v>
      </c>
      <c r="D7" s="17" t="s">
        <v>43</v>
      </c>
      <c r="E7" s="8">
        <v>39.99</v>
      </c>
      <c r="F7" s="8">
        <f t="shared" si="1"/>
        <v>31.992</v>
      </c>
      <c r="G7" s="32">
        <v>0.2</v>
      </c>
      <c r="H7" s="75">
        <v>45536.0</v>
      </c>
    </row>
    <row r="8" ht="15.75" customHeight="1">
      <c r="A8" s="43">
        <v>45673.0</v>
      </c>
      <c r="B8" s="43">
        <v>45684.0</v>
      </c>
      <c r="C8" s="44" t="s">
        <v>390</v>
      </c>
      <c r="D8" s="17" t="s">
        <v>57</v>
      </c>
      <c r="E8" s="8">
        <v>4.99</v>
      </c>
      <c r="F8" s="8">
        <f t="shared" si="1"/>
        <v>3.992</v>
      </c>
      <c r="G8" s="32">
        <v>0.2</v>
      </c>
      <c r="H8" s="75">
        <v>45566.0</v>
      </c>
    </row>
    <row r="9" ht="15.75" customHeight="1">
      <c r="A9" s="43">
        <v>45673.0</v>
      </c>
      <c r="B9" s="43">
        <v>45684.0</v>
      </c>
      <c r="C9" s="44" t="s">
        <v>390</v>
      </c>
      <c r="D9" s="17" t="s">
        <v>58</v>
      </c>
      <c r="E9" s="8">
        <v>6.99</v>
      </c>
      <c r="F9" s="8">
        <f t="shared" si="1"/>
        <v>5.592</v>
      </c>
      <c r="G9" s="32">
        <v>0.2</v>
      </c>
      <c r="H9" s="75">
        <v>45566.0</v>
      </c>
    </row>
    <row r="10" ht="15.75" customHeight="1">
      <c r="A10" s="43">
        <v>45673.0</v>
      </c>
      <c r="B10" s="43">
        <v>45684.0</v>
      </c>
      <c r="C10" s="44" t="s">
        <v>390</v>
      </c>
      <c r="D10" s="17" t="s">
        <v>59</v>
      </c>
      <c r="E10" s="8">
        <v>7.99</v>
      </c>
      <c r="F10" s="8">
        <f t="shared" si="1"/>
        <v>6.392</v>
      </c>
      <c r="G10" s="32">
        <v>0.2</v>
      </c>
      <c r="H10" s="75">
        <v>45566.0</v>
      </c>
    </row>
    <row r="11" ht="15.75" customHeight="1">
      <c r="A11" s="43">
        <v>45673.0</v>
      </c>
      <c r="B11" s="43">
        <v>45684.0</v>
      </c>
      <c r="C11" s="44" t="s">
        <v>390</v>
      </c>
      <c r="D11" s="17" t="s">
        <v>60</v>
      </c>
      <c r="E11" s="8">
        <v>9.99</v>
      </c>
      <c r="F11" s="8">
        <f t="shared" si="1"/>
        <v>9.99</v>
      </c>
      <c r="G11" s="19">
        <v>0.0</v>
      </c>
      <c r="H11" s="5" t="s">
        <v>396</v>
      </c>
    </row>
    <row r="12" ht="15.75" customHeight="1">
      <c r="A12" s="43"/>
      <c r="B12" s="43"/>
      <c r="C12" s="44"/>
      <c r="D12" s="17"/>
      <c r="E12" s="8"/>
    </row>
    <row r="13" ht="15.75" customHeight="1"/>
    <row r="14" ht="15.75" customHeight="1">
      <c r="A14" s="43">
        <v>45721.0</v>
      </c>
      <c r="B14" s="43">
        <v>45729.0</v>
      </c>
      <c r="C14" s="44" t="s">
        <v>398</v>
      </c>
      <c r="D14" s="17" t="s">
        <v>44</v>
      </c>
      <c r="E14" s="8">
        <v>59.99</v>
      </c>
      <c r="F14" s="8">
        <f t="shared" ref="F14:F23" si="2">E14*(1-G14)</f>
        <v>38.9935</v>
      </c>
      <c r="G14" s="32">
        <v>0.35</v>
      </c>
      <c r="H14" s="76" t="s">
        <v>108</v>
      </c>
    </row>
    <row r="15" ht="15.75" customHeight="1">
      <c r="A15" s="43">
        <v>45721.0</v>
      </c>
      <c r="B15" s="43">
        <v>45729.0</v>
      </c>
      <c r="C15" s="44" t="s">
        <v>398</v>
      </c>
      <c r="D15" s="17" t="s">
        <v>393</v>
      </c>
      <c r="E15" s="8">
        <v>89.99</v>
      </c>
      <c r="F15" s="8">
        <f t="shared" si="2"/>
        <v>58.4935</v>
      </c>
      <c r="G15" s="32">
        <v>0.35</v>
      </c>
    </row>
    <row r="16" ht="15.75" customHeight="1">
      <c r="A16" s="43">
        <v>45721.0</v>
      </c>
      <c r="B16" s="43">
        <v>45729.0</v>
      </c>
      <c r="C16" s="44" t="s">
        <v>398</v>
      </c>
      <c r="D16" s="17" t="s">
        <v>53</v>
      </c>
      <c r="E16" s="8">
        <v>99.99</v>
      </c>
      <c r="F16" s="8">
        <f t="shared" si="2"/>
        <v>64.9935</v>
      </c>
      <c r="G16" s="32">
        <v>0.35</v>
      </c>
    </row>
    <row r="17" ht="15.75" customHeight="1">
      <c r="A17" s="43">
        <v>45721.0</v>
      </c>
      <c r="B17" s="43">
        <v>45729.0</v>
      </c>
      <c r="C17" s="44" t="s">
        <v>398</v>
      </c>
      <c r="D17" s="17" t="s">
        <v>43</v>
      </c>
      <c r="E17" s="8">
        <v>39.99</v>
      </c>
      <c r="F17" s="8">
        <f t="shared" si="2"/>
        <v>31.992</v>
      </c>
      <c r="G17" s="19">
        <v>0.2</v>
      </c>
      <c r="I17" s="75">
        <v>45536.0</v>
      </c>
    </row>
    <row r="18" ht="15.75" customHeight="1">
      <c r="A18" s="43">
        <v>45721.0</v>
      </c>
      <c r="B18" s="43">
        <v>45729.0</v>
      </c>
      <c r="C18" s="44" t="s">
        <v>398</v>
      </c>
      <c r="D18" s="17" t="s">
        <v>57</v>
      </c>
      <c r="E18" s="8">
        <v>4.99</v>
      </c>
      <c r="F18" s="8">
        <f t="shared" si="2"/>
        <v>3.992</v>
      </c>
      <c r="G18" s="19">
        <v>0.2</v>
      </c>
      <c r="I18" s="75">
        <v>45566.0</v>
      </c>
    </row>
    <row r="19" ht="15.75" customHeight="1">
      <c r="A19" s="43">
        <v>45721.0</v>
      </c>
      <c r="B19" s="43">
        <v>45729.0</v>
      </c>
      <c r="C19" s="44" t="s">
        <v>398</v>
      </c>
      <c r="D19" s="17" t="s">
        <v>58</v>
      </c>
      <c r="E19" s="8">
        <v>6.99</v>
      </c>
      <c r="F19" s="8">
        <f t="shared" si="2"/>
        <v>5.592</v>
      </c>
      <c r="G19" s="19">
        <v>0.2</v>
      </c>
      <c r="I19" s="75">
        <v>45566.0</v>
      </c>
    </row>
    <row r="20" ht="15.75" customHeight="1">
      <c r="A20" s="43">
        <v>45721.0</v>
      </c>
      <c r="B20" s="43">
        <v>45729.0</v>
      </c>
      <c r="C20" s="44" t="s">
        <v>398</v>
      </c>
      <c r="D20" s="17" t="s">
        <v>59</v>
      </c>
      <c r="E20" s="8">
        <v>7.99</v>
      </c>
      <c r="F20" s="8">
        <f t="shared" si="2"/>
        <v>6.392</v>
      </c>
      <c r="G20" s="19">
        <v>0.2</v>
      </c>
      <c r="I20" s="75">
        <v>45566.0</v>
      </c>
    </row>
    <row r="21" ht="15.75" customHeight="1">
      <c r="A21" s="43">
        <v>45721.0</v>
      </c>
      <c r="B21" s="43">
        <v>45729.0</v>
      </c>
      <c r="C21" s="44" t="s">
        <v>398</v>
      </c>
      <c r="D21" s="17" t="s">
        <v>60</v>
      </c>
      <c r="E21" s="8">
        <v>9.99</v>
      </c>
      <c r="F21" s="8">
        <f t="shared" si="2"/>
        <v>7.992</v>
      </c>
      <c r="G21" s="32">
        <v>0.2</v>
      </c>
      <c r="I21" s="5" t="s">
        <v>396</v>
      </c>
    </row>
    <row r="22" ht="15.75" customHeight="1">
      <c r="A22" s="43">
        <v>45721.0</v>
      </c>
      <c r="B22" s="43">
        <v>45729.0</v>
      </c>
      <c r="C22" s="44" t="s">
        <v>398</v>
      </c>
      <c r="D22" s="17" t="s">
        <v>61</v>
      </c>
      <c r="E22" s="8">
        <v>7.99</v>
      </c>
      <c r="F22" s="8">
        <f t="shared" si="2"/>
        <v>7.99</v>
      </c>
      <c r="G22" s="19">
        <v>0.0</v>
      </c>
      <c r="I22" s="5" t="s">
        <v>405</v>
      </c>
    </row>
    <row r="23" ht="15.75" customHeight="1">
      <c r="A23" s="43">
        <v>45721.0</v>
      </c>
      <c r="B23" s="43">
        <v>45729.0</v>
      </c>
      <c r="C23" s="44" t="s">
        <v>398</v>
      </c>
      <c r="D23" s="17" t="s">
        <v>63</v>
      </c>
      <c r="E23" s="8">
        <v>4.99</v>
      </c>
      <c r="F23" s="8">
        <f t="shared" si="2"/>
        <v>4.99</v>
      </c>
      <c r="G23" s="19">
        <v>0.0</v>
      </c>
      <c r="I23" s="5" t="s">
        <v>405</v>
      </c>
    </row>
    <row r="24" ht="15.75" customHeight="1">
      <c r="F24" s="8"/>
    </row>
    <row r="25" ht="15.75" customHeight="1">
      <c r="A25" s="11">
        <v>45729.0</v>
      </c>
      <c r="B25" s="12">
        <v>45734.0</v>
      </c>
      <c r="C25" s="1" t="s">
        <v>54</v>
      </c>
      <c r="D25" s="17" t="s">
        <v>44</v>
      </c>
      <c r="E25" s="8">
        <v>59.99</v>
      </c>
      <c r="F25" s="8">
        <f t="shared" ref="F25:F34" si="3">E25*(1-G25)</f>
        <v>38.9935</v>
      </c>
      <c r="G25" s="19">
        <v>0.35</v>
      </c>
      <c r="H25" s="76" t="s">
        <v>108</v>
      </c>
    </row>
    <row r="26" ht="15.75" customHeight="1">
      <c r="A26" s="11">
        <v>45729.0</v>
      </c>
      <c r="B26" s="12">
        <v>45734.0</v>
      </c>
      <c r="C26" s="1" t="s">
        <v>54</v>
      </c>
      <c r="D26" s="17" t="s">
        <v>393</v>
      </c>
      <c r="E26" s="8">
        <v>89.99</v>
      </c>
      <c r="F26" s="8">
        <f t="shared" si="3"/>
        <v>58.4935</v>
      </c>
      <c r="G26" s="19">
        <v>0.35</v>
      </c>
    </row>
    <row r="27" ht="15.75" customHeight="1">
      <c r="A27" s="11">
        <v>45729.0</v>
      </c>
      <c r="B27" s="12">
        <v>45734.0</v>
      </c>
      <c r="C27" s="1" t="s">
        <v>54</v>
      </c>
      <c r="D27" s="17" t="s">
        <v>53</v>
      </c>
      <c r="E27" s="8">
        <v>99.99</v>
      </c>
      <c r="F27" s="8">
        <f t="shared" si="3"/>
        <v>64.9935</v>
      </c>
      <c r="G27" s="19">
        <v>0.35</v>
      </c>
    </row>
    <row r="28" ht="15.75" customHeight="1">
      <c r="A28" s="11">
        <v>45729.0</v>
      </c>
      <c r="B28" s="12">
        <v>45734.0</v>
      </c>
      <c r="C28" s="1" t="s">
        <v>54</v>
      </c>
      <c r="D28" s="17" t="s">
        <v>43</v>
      </c>
      <c r="E28" s="8">
        <v>39.99</v>
      </c>
      <c r="F28" s="8">
        <f t="shared" si="3"/>
        <v>31.992</v>
      </c>
      <c r="G28" s="19">
        <v>0.2</v>
      </c>
      <c r="I28" s="75">
        <v>45536.0</v>
      </c>
    </row>
    <row r="29" ht="15.75" customHeight="1">
      <c r="A29" s="11">
        <v>45729.0</v>
      </c>
      <c r="B29" s="12">
        <v>45734.0</v>
      </c>
      <c r="C29" s="1" t="s">
        <v>54</v>
      </c>
      <c r="D29" s="17" t="s">
        <v>57</v>
      </c>
      <c r="E29" s="8">
        <v>4.99</v>
      </c>
      <c r="F29" s="8">
        <f t="shared" si="3"/>
        <v>3.992</v>
      </c>
      <c r="G29" s="19">
        <v>0.2</v>
      </c>
      <c r="I29" s="75">
        <v>45566.0</v>
      </c>
    </row>
    <row r="30" ht="15.75" customHeight="1">
      <c r="A30" s="11">
        <v>45729.0</v>
      </c>
      <c r="B30" s="12">
        <v>45734.0</v>
      </c>
      <c r="C30" s="1" t="s">
        <v>54</v>
      </c>
      <c r="D30" s="17" t="s">
        <v>58</v>
      </c>
      <c r="E30" s="8">
        <v>6.99</v>
      </c>
      <c r="F30" s="8">
        <f t="shared" si="3"/>
        <v>5.592</v>
      </c>
      <c r="G30" s="19">
        <v>0.2</v>
      </c>
      <c r="I30" s="75">
        <v>45566.0</v>
      </c>
    </row>
    <row r="31" ht="15.75" customHeight="1">
      <c r="A31" s="11">
        <v>45729.0</v>
      </c>
      <c r="B31" s="12">
        <v>45734.0</v>
      </c>
      <c r="C31" s="1" t="s">
        <v>54</v>
      </c>
      <c r="D31" s="17" t="s">
        <v>59</v>
      </c>
      <c r="E31" s="8">
        <v>7.99</v>
      </c>
      <c r="F31" s="8">
        <f t="shared" si="3"/>
        <v>6.392</v>
      </c>
      <c r="G31" s="19">
        <v>0.2</v>
      </c>
      <c r="I31" s="75">
        <v>45566.0</v>
      </c>
    </row>
    <row r="32" ht="15.75" customHeight="1">
      <c r="A32" s="11">
        <v>45729.0</v>
      </c>
      <c r="B32" s="12">
        <v>45734.0</v>
      </c>
      <c r="C32" s="1" t="s">
        <v>54</v>
      </c>
      <c r="D32" s="17" t="s">
        <v>60</v>
      </c>
      <c r="E32" s="8">
        <v>9.99</v>
      </c>
      <c r="F32" s="8">
        <f t="shared" si="3"/>
        <v>7.992</v>
      </c>
      <c r="G32" s="19">
        <v>0.2</v>
      </c>
      <c r="I32" s="5" t="s">
        <v>396</v>
      </c>
    </row>
    <row r="33" ht="15.75" customHeight="1">
      <c r="A33" s="11">
        <v>45729.0</v>
      </c>
      <c r="B33" s="12">
        <v>45734.0</v>
      </c>
      <c r="C33" s="1" t="s">
        <v>54</v>
      </c>
      <c r="D33" s="17" t="s">
        <v>61</v>
      </c>
      <c r="E33" s="8">
        <v>7.99</v>
      </c>
      <c r="F33" s="8">
        <f t="shared" si="3"/>
        <v>7.99</v>
      </c>
      <c r="G33" s="19">
        <v>0.0</v>
      </c>
      <c r="I33" s="5" t="s">
        <v>405</v>
      </c>
    </row>
    <row r="34" ht="15.75" customHeight="1">
      <c r="A34" s="11">
        <v>45729.0</v>
      </c>
      <c r="B34" s="12">
        <v>45734.0</v>
      </c>
      <c r="C34" s="1" t="s">
        <v>54</v>
      </c>
      <c r="D34" s="17" t="s">
        <v>63</v>
      </c>
      <c r="E34" s="8">
        <v>4.99</v>
      </c>
      <c r="F34" s="8">
        <f t="shared" si="3"/>
        <v>4.99</v>
      </c>
      <c r="G34" s="19">
        <v>0.0</v>
      </c>
      <c r="I34" s="5" t="s">
        <v>405</v>
      </c>
    </row>
    <row r="35" ht="15.75" customHeight="1"/>
    <row r="36" ht="15.75" customHeight="1">
      <c r="A36" s="11">
        <v>45759.0</v>
      </c>
      <c r="B36" s="12">
        <v>45769.0</v>
      </c>
      <c r="C36" s="1" t="s">
        <v>406</v>
      </c>
      <c r="D36" s="17" t="s">
        <v>44</v>
      </c>
      <c r="E36" s="8">
        <v>59.99</v>
      </c>
      <c r="F36" s="8">
        <f t="shared" ref="F36:F47" si="4">E36*(1-G36)</f>
        <v>38.9935</v>
      </c>
      <c r="G36" s="19">
        <v>0.35</v>
      </c>
      <c r="H36" s="76" t="s">
        <v>108</v>
      </c>
    </row>
    <row r="37" ht="15.75" customHeight="1">
      <c r="A37" s="11">
        <v>45759.0</v>
      </c>
      <c r="B37" s="12">
        <v>45769.0</v>
      </c>
      <c r="C37" s="1" t="s">
        <v>406</v>
      </c>
      <c r="D37" s="17" t="s">
        <v>393</v>
      </c>
      <c r="E37" s="8">
        <v>89.99</v>
      </c>
      <c r="F37" s="8">
        <f t="shared" si="4"/>
        <v>58.4935</v>
      </c>
      <c r="G37" s="19">
        <v>0.35</v>
      </c>
    </row>
    <row r="38" ht="15.75" customHeight="1">
      <c r="A38" s="11">
        <v>45759.0</v>
      </c>
      <c r="B38" s="12">
        <v>45769.0</v>
      </c>
      <c r="C38" s="1" t="s">
        <v>406</v>
      </c>
      <c r="D38" s="17" t="s">
        <v>53</v>
      </c>
      <c r="E38" s="8">
        <v>99.99</v>
      </c>
      <c r="F38" s="8">
        <f t="shared" si="4"/>
        <v>64.9935</v>
      </c>
      <c r="G38" s="19">
        <v>0.35</v>
      </c>
    </row>
    <row r="39" ht="15.75" customHeight="1">
      <c r="A39" s="11">
        <v>45759.0</v>
      </c>
      <c r="B39" s="12">
        <v>45769.0</v>
      </c>
      <c r="C39" s="1" t="s">
        <v>406</v>
      </c>
      <c r="D39" s="17" t="s">
        <v>43</v>
      </c>
      <c r="E39" s="8">
        <v>39.99</v>
      </c>
      <c r="F39" s="8">
        <f t="shared" si="4"/>
        <v>31.992</v>
      </c>
      <c r="G39" s="19">
        <v>0.2</v>
      </c>
      <c r="I39" s="75">
        <v>45536.0</v>
      </c>
    </row>
    <row r="40" ht="15.75" customHeight="1">
      <c r="A40" s="11">
        <v>45759.0</v>
      </c>
      <c r="B40" s="12">
        <v>45769.0</v>
      </c>
      <c r="C40" s="1" t="s">
        <v>406</v>
      </c>
      <c r="D40" s="17" t="s">
        <v>57</v>
      </c>
      <c r="E40" s="8">
        <v>4.99</v>
      </c>
      <c r="F40" s="8">
        <f t="shared" si="4"/>
        <v>3.992</v>
      </c>
      <c r="G40" s="19">
        <v>0.2</v>
      </c>
      <c r="I40" s="75">
        <v>45566.0</v>
      </c>
    </row>
    <row r="41" ht="15.75" customHeight="1">
      <c r="A41" s="11">
        <v>45759.0</v>
      </c>
      <c r="B41" s="12">
        <v>45769.0</v>
      </c>
      <c r="C41" s="1" t="s">
        <v>406</v>
      </c>
      <c r="D41" s="17" t="s">
        <v>58</v>
      </c>
      <c r="E41" s="8">
        <v>6.99</v>
      </c>
      <c r="F41" s="8">
        <f t="shared" si="4"/>
        <v>5.592</v>
      </c>
      <c r="G41" s="19">
        <v>0.2</v>
      </c>
      <c r="I41" s="75">
        <v>45566.0</v>
      </c>
    </row>
    <row r="42" ht="15.75" customHeight="1">
      <c r="A42" s="11">
        <v>45759.0</v>
      </c>
      <c r="B42" s="12">
        <v>45769.0</v>
      </c>
      <c r="C42" s="1" t="s">
        <v>406</v>
      </c>
      <c r="D42" s="17" t="s">
        <v>59</v>
      </c>
      <c r="E42" s="8">
        <v>7.99</v>
      </c>
      <c r="F42" s="8">
        <f t="shared" si="4"/>
        <v>6.392</v>
      </c>
      <c r="G42" s="19">
        <v>0.2</v>
      </c>
      <c r="I42" s="75">
        <v>45566.0</v>
      </c>
    </row>
    <row r="43" ht="15.75" customHeight="1">
      <c r="A43" s="11">
        <v>45759.0</v>
      </c>
      <c r="B43" s="12">
        <v>45769.0</v>
      </c>
      <c r="C43" s="1" t="s">
        <v>406</v>
      </c>
      <c r="D43" s="17" t="s">
        <v>60</v>
      </c>
      <c r="E43" s="8">
        <v>9.99</v>
      </c>
      <c r="F43" s="8">
        <f t="shared" si="4"/>
        <v>7.992</v>
      </c>
      <c r="G43" s="19">
        <v>0.2</v>
      </c>
      <c r="I43" s="5" t="s">
        <v>396</v>
      </c>
    </row>
    <row r="44" ht="15.75" customHeight="1">
      <c r="A44" s="11">
        <v>45759.0</v>
      </c>
      <c r="B44" s="12">
        <v>45769.0</v>
      </c>
      <c r="C44" s="1" t="s">
        <v>406</v>
      </c>
      <c r="D44" s="17" t="s">
        <v>61</v>
      </c>
      <c r="E44" s="8">
        <v>7.99</v>
      </c>
      <c r="F44" s="8">
        <f t="shared" si="4"/>
        <v>7.99</v>
      </c>
      <c r="G44" s="19">
        <v>0.0</v>
      </c>
      <c r="I44" s="5" t="s">
        <v>405</v>
      </c>
    </row>
    <row r="45" ht="15.75" customHeight="1">
      <c r="A45" s="11">
        <v>45759.0</v>
      </c>
      <c r="B45" s="12">
        <v>45769.0</v>
      </c>
      <c r="C45" s="1" t="s">
        <v>406</v>
      </c>
      <c r="D45" s="17" t="s">
        <v>63</v>
      </c>
      <c r="E45" s="8">
        <v>4.99</v>
      </c>
      <c r="F45" s="8">
        <f t="shared" si="4"/>
        <v>4.99</v>
      </c>
      <c r="G45" s="19">
        <v>0.0</v>
      </c>
      <c r="I45" s="5" t="s">
        <v>405</v>
      </c>
    </row>
    <row r="46" ht="15.75" customHeight="1">
      <c r="A46" s="11">
        <v>45759.0</v>
      </c>
      <c r="B46" s="12">
        <v>45769.0</v>
      </c>
      <c r="C46" s="1" t="s">
        <v>406</v>
      </c>
      <c r="D46" s="34" t="s">
        <v>65</v>
      </c>
      <c r="E46" s="8">
        <v>9.99</v>
      </c>
      <c r="F46" s="8">
        <f t="shared" si="4"/>
        <v>9.99</v>
      </c>
      <c r="G46" s="19">
        <v>0.0</v>
      </c>
      <c r="I46" s="5" t="s">
        <v>416</v>
      </c>
    </row>
    <row r="47" ht="15.75" customHeight="1">
      <c r="A47" s="11">
        <v>45759.0</v>
      </c>
      <c r="B47" s="12">
        <v>45769.0</v>
      </c>
      <c r="C47" s="1" t="s">
        <v>406</v>
      </c>
      <c r="D47" s="34" t="s">
        <v>66</v>
      </c>
      <c r="E47" s="8">
        <v>7.99</v>
      </c>
      <c r="F47" s="8">
        <f t="shared" si="4"/>
        <v>7.99</v>
      </c>
      <c r="G47" s="19">
        <v>0.0</v>
      </c>
      <c r="I47" s="5" t="s">
        <v>416</v>
      </c>
    </row>
    <row r="48" ht="15.75" customHeight="1"/>
    <row r="49" ht="15.75" customHeight="1">
      <c r="A49" s="11">
        <v>45799.0</v>
      </c>
      <c r="B49" s="12">
        <v>45813.0</v>
      </c>
      <c r="C49" s="1" t="s">
        <v>420</v>
      </c>
      <c r="D49" s="17" t="s">
        <v>44</v>
      </c>
      <c r="E49" s="8">
        <v>59.99</v>
      </c>
      <c r="F49" s="8">
        <f t="shared" ref="F49:F60" si="5">E49*(1-G49)</f>
        <v>35.994</v>
      </c>
      <c r="G49" s="32">
        <v>0.4</v>
      </c>
      <c r="H49" s="76" t="s">
        <v>108</v>
      </c>
    </row>
    <row r="50" ht="15.75" customHeight="1">
      <c r="A50" s="11">
        <v>45799.0</v>
      </c>
      <c r="B50" s="12">
        <v>45813.0</v>
      </c>
      <c r="C50" s="1" t="s">
        <v>420</v>
      </c>
      <c r="D50" s="17" t="s">
        <v>393</v>
      </c>
      <c r="E50" s="8">
        <v>89.99</v>
      </c>
      <c r="F50" s="8">
        <f t="shared" si="5"/>
        <v>53.994</v>
      </c>
      <c r="G50" s="32">
        <v>0.4</v>
      </c>
    </row>
    <row r="51" ht="15.75" customHeight="1">
      <c r="A51" s="11">
        <v>45799.0</v>
      </c>
      <c r="B51" s="12">
        <v>45813.0</v>
      </c>
      <c r="C51" s="1" t="s">
        <v>420</v>
      </c>
      <c r="D51" s="17" t="s">
        <v>53</v>
      </c>
      <c r="E51" s="8">
        <v>99.99</v>
      </c>
      <c r="F51" s="8">
        <f t="shared" si="5"/>
        <v>59.994</v>
      </c>
      <c r="G51" s="32">
        <v>0.4</v>
      </c>
    </row>
    <row r="52" ht="15.75" customHeight="1">
      <c r="A52" s="11">
        <v>45799.0</v>
      </c>
      <c r="B52" s="12">
        <v>45813.0</v>
      </c>
      <c r="C52" s="1" t="s">
        <v>420</v>
      </c>
      <c r="D52" s="17" t="s">
        <v>43</v>
      </c>
      <c r="E52" s="8">
        <v>39.99</v>
      </c>
      <c r="F52" s="8">
        <f t="shared" si="5"/>
        <v>31.992</v>
      </c>
      <c r="G52" s="19">
        <v>0.2</v>
      </c>
      <c r="I52" s="75">
        <v>45536.0</v>
      </c>
    </row>
    <row r="53" ht="15.75" customHeight="1">
      <c r="A53" s="11">
        <v>45799.0</v>
      </c>
      <c r="B53" s="12">
        <v>45813.0</v>
      </c>
      <c r="C53" s="1" t="s">
        <v>420</v>
      </c>
      <c r="D53" s="17" t="s">
        <v>57</v>
      </c>
      <c r="E53" s="8">
        <v>4.99</v>
      </c>
      <c r="F53" s="8">
        <f t="shared" si="5"/>
        <v>3.992</v>
      </c>
      <c r="G53" s="19">
        <v>0.2</v>
      </c>
      <c r="I53" s="75">
        <v>45566.0</v>
      </c>
    </row>
    <row r="54" ht="15.75" customHeight="1">
      <c r="A54" s="11">
        <v>45799.0</v>
      </c>
      <c r="B54" s="12">
        <v>45813.0</v>
      </c>
      <c r="C54" s="1" t="s">
        <v>420</v>
      </c>
      <c r="D54" s="17" t="s">
        <v>58</v>
      </c>
      <c r="E54" s="8">
        <v>6.99</v>
      </c>
      <c r="F54" s="8">
        <f t="shared" si="5"/>
        <v>5.592</v>
      </c>
      <c r="G54" s="19">
        <v>0.2</v>
      </c>
      <c r="I54" s="75">
        <v>45566.0</v>
      </c>
    </row>
    <row r="55" ht="15.75" customHeight="1">
      <c r="A55" s="11">
        <v>45799.0</v>
      </c>
      <c r="B55" s="12">
        <v>45813.0</v>
      </c>
      <c r="C55" s="1" t="s">
        <v>420</v>
      </c>
      <c r="D55" s="17" t="s">
        <v>59</v>
      </c>
      <c r="E55" s="8">
        <v>7.99</v>
      </c>
      <c r="F55" s="8">
        <f t="shared" si="5"/>
        <v>6.392</v>
      </c>
      <c r="G55" s="19">
        <v>0.2</v>
      </c>
      <c r="I55" s="75">
        <v>45566.0</v>
      </c>
    </row>
    <row r="56" ht="15.75" customHeight="1">
      <c r="A56" s="11">
        <v>45799.0</v>
      </c>
      <c r="B56" s="12">
        <v>45813.0</v>
      </c>
      <c r="C56" s="1" t="s">
        <v>420</v>
      </c>
      <c r="D56" s="17" t="s">
        <v>60</v>
      </c>
      <c r="E56" s="8">
        <v>9.99</v>
      </c>
      <c r="F56" s="8">
        <f t="shared" si="5"/>
        <v>7.992</v>
      </c>
      <c r="G56" s="19">
        <v>0.2</v>
      </c>
      <c r="I56" s="5" t="s">
        <v>396</v>
      </c>
    </row>
    <row r="57" ht="15.75" customHeight="1">
      <c r="A57" s="11">
        <v>45799.0</v>
      </c>
      <c r="B57" s="12">
        <v>45813.0</v>
      </c>
      <c r="C57" s="1" t="s">
        <v>420</v>
      </c>
      <c r="D57" s="17" t="s">
        <v>61</v>
      </c>
      <c r="E57" s="8">
        <v>7.99</v>
      </c>
      <c r="F57" s="8">
        <f t="shared" si="5"/>
        <v>6.392</v>
      </c>
      <c r="G57" s="32">
        <v>0.2</v>
      </c>
      <c r="I57" s="5" t="s">
        <v>405</v>
      </c>
    </row>
    <row r="58" ht="15.75" customHeight="1">
      <c r="A58" s="11">
        <v>45799.0</v>
      </c>
      <c r="B58" s="12">
        <v>45813.0</v>
      </c>
      <c r="C58" s="1" t="s">
        <v>420</v>
      </c>
      <c r="D58" s="17" t="s">
        <v>63</v>
      </c>
      <c r="E58" s="8">
        <v>4.99</v>
      </c>
      <c r="F58" s="8">
        <f t="shared" si="5"/>
        <v>3.992</v>
      </c>
      <c r="G58" s="32">
        <v>0.2</v>
      </c>
      <c r="I58" s="5" t="s">
        <v>405</v>
      </c>
    </row>
    <row r="59" ht="15.75" customHeight="1">
      <c r="A59" s="11">
        <v>45799.0</v>
      </c>
      <c r="B59" s="12">
        <v>45813.0</v>
      </c>
      <c r="C59" s="1" t="s">
        <v>420</v>
      </c>
      <c r="D59" s="17" t="s">
        <v>65</v>
      </c>
      <c r="E59" s="8">
        <v>9.99</v>
      </c>
      <c r="F59" s="8">
        <f t="shared" si="5"/>
        <v>9.99</v>
      </c>
      <c r="G59" s="19">
        <v>0.0</v>
      </c>
      <c r="I59" s="5" t="s">
        <v>416</v>
      </c>
    </row>
    <row r="60" ht="15.75" customHeight="1">
      <c r="A60" s="11">
        <v>45799.0</v>
      </c>
      <c r="B60" s="12">
        <v>45813.0</v>
      </c>
      <c r="C60" s="1" t="s">
        <v>420</v>
      </c>
      <c r="D60" s="17" t="s">
        <v>66</v>
      </c>
      <c r="E60" s="8">
        <v>7.99</v>
      </c>
      <c r="F60" s="8">
        <f t="shared" si="5"/>
        <v>7.99</v>
      </c>
      <c r="G60" s="19">
        <v>0.0</v>
      </c>
      <c r="I60" s="5" t="s">
        <v>416</v>
      </c>
    </row>
    <row r="61" ht="15.75" customHeight="1"/>
    <row r="62" ht="15.75" customHeight="1">
      <c r="A62" s="11">
        <v>45834.0</v>
      </c>
      <c r="B62" s="12">
        <v>45848.0</v>
      </c>
      <c r="C62" s="1" t="s">
        <v>56</v>
      </c>
      <c r="D62" s="17" t="s">
        <v>44</v>
      </c>
      <c r="E62" s="8">
        <v>59.99</v>
      </c>
      <c r="F62" s="8">
        <f t="shared" ref="F62:F75" si="6">E62*(1-G62)</f>
        <v>35.994</v>
      </c>
      <c r="G62" s="19">
        <v>0.4</v>
      </c>
      <c r="H62" s="76" t="s">
        <v>108</v>
      </c>
    </row>
    <row r="63" ht="15.75" customHeight="1">
      <c r="A63" s="11">
        <v>45834.0</v>
      </c>
      <c r="B63" s="12">
        <v>45848.0</v>
      </c>
      <c r="C63" s="1" t="s">
        <v>56</v>
      </c>
      <c r="D63" s="17" t="s">
        <v>393</v>
      </c>
      <c r="E63" s="8">
        <v>89.99</v>
      </c>
      <c r="F63" s="8">
        <f t="shared" si="6"/>
        <v>53.994</v>
      </c>
      <c r="G63" s="19">
        <v>0.4</v>
      </c>
    </row>
    <row r="64" ht="15.75" customHeight="1">
      <c r="A64" s="11">
        <v>45834.0</v>
      </c>
      <c r="B64" s="12">
        <v>45848.0</v>
      </c>
      <c r="C64" s="1" t="s">
        <v>56</v>
      </c>
      <c r="D64" s="17" t="s">
        <v>53</v>
      </c>
      <c r="E64" s="8">
        <v>99.99</v>
      </c>
      <c r="F64" s="8">
        <f t="shared" si="6"/>
        <v>59.994</v>
      </c>
      <c r="G64" s="19">
        <v>0.4</v>
      </c>
    </row>
    <row r="65" ht="15.75" customHeight="1">
      <c r="A65" s="11">
        <v>45834.0</v>
      </c>
      <c r="B65" s="12">
        <v>45848.0</v>
      </c>
      <c r="C65" s="1" t="s">
        <v>56</v>
      </c>
      <c r="D65" s="17" t="s">
        <v>43</v>
      </c>
      <c r="E65" s="8">
        <v>39.99</v>
      </c>
      <c r="F65" s="8">
        <f t="shared" si="6"/>
        <v>31.992</v>
      </c>
      <c r="G65" s="19">
        <v>0.2</v>
      </c>
      <c r="I65" s="75">
        <v>45536.0</v>
      </c>
    </row>
    <row r="66" ht="15.75" customHeight="1">
      <c r="A66" s="11">
        <v>45834.0</v>
      </c>
      <c r="B66" s="12">
        <v>45848.0</v>
      </c>
      <c r="C66" s="1" t="s">
        <v>56</v>
      </c>
      <c r="D66" s="17" t="s">
        <v>57</v>
      </c>
      <c r="E66" s="8">
        <v>4.99</v>
      </c>
      <c r="F66" s="8">
        <f t="shared" si="6"/>
        <v>3.992</v>
      </c>
      <c r="G66" s="19">
        <v>0.2</v>
      </c>
      <c r="I66" s="75">
        <v>45566.0</v>
      </c>
    </row>
    <row r="67" ht="15.75" customHeight="1">
      <c r="A67" s="11">
        <v>45834.0</v>
      </c>
      <c r="B67" s="12">
        <v>45848.0</v>
      </c>
      <c r="C67" s="1" t="s">
        <v>56</v>
      </c>
      <c r="D67" s="17" t="s">
        <v>58</v>
      </c>
      <c r="E67" s="8">
        <v>6.99</v>
      </c>
      <c r="F67" s="8">
        <f t="shared" si="6"/>
        <v>5.592</v>
      </c>
      <c r="G67" s="19">
        <v>0.2</v>
      </c>
      <c r="I67" s="75">
        <v>45566.0</v>
      </c>
    </row>
    <row r="68" ht="15.75" customHeight="1">
      <c r="A68" s="11">
        <v>45834.0</v>
      </c>
      <c r="B68" s="12">
        <v>45848.0</v>
      </c>
      <c r="C68" s="1" t="s">
        <v>56</v>
      </c>
      <c r="D68" s="17" t="s">
        <v>59</v>
      </c>
      <c r="E68" s="8">
        <v>7.99</v>
      </c>
      <c r="F68" s="8">
        <f t="shared" si="6"/>
        <v>6.392</v>
      </c>
      <c r="G68" s="19">
        <v>0.2</v>
      </c>
      <c r="I68" s="75">
        <v>45566.0</v>
      </c>
    </row>
    <row r="69" ht="15.75" customHeight="1">
      <c r="A69" s="11">
        <v>45834.0</v>
      </c>
      <c r="B69" s="12">
        <v>45848.0</v>
      </c>
      <c r="C69" s="1" t="s">
        <v>56</v>
      </c>
      <c r="D69" s="17" t="s">
        <v>60</v>
      </c>
      <c r="E69" s="8">
        <v>9.99</v>
      </c>
      <c r="F69" s="8">
        <f t="shared" si="6"/>
        <v>7.992</v>
      </c>
      <c r="G69" s="19">
        <v>0.2</v>
      </c>
      <c r="I69" s="5" t="s">
        <v>396</v>
      </c>
    </row>
    <row r="70" ht="15.75" customHeight="1">
      <c r="A70" s="11">
        <v>45834.0</v>
      </c>
      <c r="B70" s="12">
        <v>45848.0</v>
      </c>
      <c r="C70" s="1" t="s">
        <v>56</v>
      </c>
      <c r="D70" s="17" t="s">
        <v>61</v>
      </c>
      <c r="E70" s="8">
        <v>7.99</v>
      </c>
      <c r="F70" s="8">
        <f t="shared" si="6"/>
        <v>6.392</v>
      </c>
      <c r="G70" s="32">
        <v>0.2</v>
      </c>
      <c r="I70" s="5" t="s">
        <v>405</v>
      </c>
    </row>
    <row r="71" ht="15.75" customHeight="1">
      <c r="A71" s="11">
        <v>45834.0</v>
      </c>
      <c r="B71" s="12">
        <v>45848.0</v>
      </c>
      <c r="C71" s="1" t="s">
        <v>56</v>
      </c>
      <c r="D71" s="17" t="s">
        <v>63</v>
      </c>
      <c r="E71" s="8">
        <v>4.99</v>
      </c>
      <c r="F71" s="8">
        <f t="shared" si="6"/>
        <v>3.992</v>
      </c>
      <c r="G71" s="32">
        <v>0.2</v>
      </c>
      <c r="I71" s="5" t="s">
        <v>405</v>
      </c>
    </row>
    <row r="72" ht="15.75" customHeight="1">
      <c r="A72" s="11">
        <v>45834.0</v>
      </c>
      <c r="B72" s="12">
        <v>45848.0</v>
      </c>
      <c r="C72" s="1" t="s">
        <v>56</v>
      </c>
      <c r="D72" s="17" t="s">
        <v>65</v>
      </c>
      <c r="E72" s="8">
        <v>9.99</v>
      </c>
      <c r="F72" s="8">
        <f t="shared" si="6"/>
        <v>7.992</v>
      </c>
      <c r="G72" s="32">
        <v>0.2</v>
      </c>
      <c r="I72" s="5" t="s">
        <v>416</v>
      </c>
    </row>
    <row r="73" ht="15.75" customHeight="1">
      <c r="A73" s="11">
        <v>45834.0</v>
      </c>
      <c r="B73" s="12">
        <v>45848.0</v>
      </c>
      <c r="C73" s="1" t="s">
        <v>56</v>
      </c>
      <c r="D73" s="17" t="s">
        <v>66</v>
      </c>
      <c r="E73" s="8">
        <v>7.99</v>
      </c>
      <c r="F73" s="8">
        <f t="shared" si="6"/>
        <v>6.392</v>
      </c>
      <c r="G73" s="32">
        <v>0.2</v>
      </c>
      <c r="I73" s="5" t="s">
        <v>416</v>
      </c>
    </row>
    <row r="74" ht="15.75" customHeight="1">
      <c r="A74" s="11">
        <v>45834.0</v>
      </c>
      <c r="B74" s="12">
        <v>45848.0</v>
      </c>
      <c r="C74" s="1" t="s">
        <v>56</v>
      </c>
      <c r="D74" s="34" t="s">
        <v>67</v>
      </c>
      <c r="E74" s="8">
        <v>9.99</v>
      </c>
      <c r="F74" s="8">
        <f t="shared" si="6"/>
        <v>9.99</v>
      </c>
      <c r="G74" s="19">
        <v>0.0</v>
      </c>
      <c r="I74" s="5" t="s">
        <v>431</v>
      </c>
    </row>
    <row r="75" ht="15.75" customHeight="1">
      <c r="A75" s="11">
        <v>45834.0</v>
      </c>
      <c r="B75" s="12">
        <v>45848.0</v>
      </c>
      <c r="C75" s="1" t="s">
        <v>56</v>
      </c>
      <c r="D75" s="34" t="s">
        <v>69</v>
      </c>
      <c r="E75" s="8">
        <v>4.99</v>
      </c>
      <c r="F75" s="8">
        <f t="shared" si="6"/>
        <v>4.99</v>
      </c>
      <c r="G75" s="19">
        <v>0.0</v>
      </c>
      <c r="I75" s="5" t="s">
        <v>431</v>
      </c>
    </row>
    <row r="76" ht="15.75" customHeight="1"/>
    <row r="77" ht="15.75" customHeight="1">
      <c r="A77" s="11">
        <v>45862.0</v>
      </c>
      <c r="B77" s="12">
        <v>45873.0</v>
      </c>
      <c r="C77" s="1" t="s">
        <v>432</v>
      </c>
      <c r="D77" s="17" t="s">
        <v>44</v>
      </c>
      <c r="E77" s="8">
        <v>59.99</v>
      </c>
      <c r="F77" s="8">
        <f t="shared" ref="F77:F90" si="7">E77*(1-G77)</f>
        <v>32.9945</v>
      </c>
      <c r="G77" s="32">
        <v>0.45</v>
      </c>
      <c r="H77" s="76" t="s">
        <v>108</v>
      </c>
    </row>
    <row r="78" ht="15.75" customHeight="1">
      <c r="A78" s="11">
        <v>45862.0</v>
      </c>
      <c r="B78" s="12">
        <v>45873.0</v>
      </c>
      <c r="C78" s="1" t="s">
        <v>432</v>
      </c>
      <c r="D78" s="17" t="s">
        <v>393</v>
      </c>
      <c r="E78" s="8">
        <v>89.99</v>
      </c>
      <c r="F78" s="8">
        <f t="shared" si="7"/>
        <v>49.4945</v>
      </c>
      <c r="G78" s="32">
        <v>0.45</v>
      </c>
    </row>
    <row r="79" ht="15.75" customHeight="1">
      <c r="A79" s="11">
        <v>45862.0</v>
      </c>
      <c r="B79" s="12">
        <v>45873.0</v>
      </c>
      <c r="C79" s="1" t="s">
        <v>432</v>
      </c>
      <c r="D79" s="17" t="s">
        <v>53</v>
      </c>
      <c r="E79" s="8">
        <v>99.99</v>
      </c>
      <c r="F79" s="8">
        <f t="shared" si="7"/>
        <v>54.9945</v>
      </c>
      <c r="G79" s="32">
        <v>0.45</v>
      </c>
    </row>
    <row r="80" ht="15.75" customHeight="1">
      <c r="A80" s="11">
        <v>45862.0</v>
      </c>
      <c r="B80" s="12">
        <v>45873.0</v>
      </c>
      <c r="C80" s="1" t="s">
        <v>432</v>
      </c>
      <c r="D80" s="17" t="s">
        <v>43</v>
      </c>
      <c r="E80" s="8">
        <v>39.99</v>
      </c>
      <c r="F80" s="8">
        <f t="shared" si="7"/>
        <v>31.992</v>
      </c>
      <c r="G80" s="19">
        <v>0.2</v>
      </c>
      <c r="I80" s="75">
        <v>45536.0</v>
      </c>
    </row>
    <row r="81" ht="15.75" customHeight="1">
      <c r="A81" s="11">
        <v>45862.0</v>
      </c>
      <c r="B81" s="12">
        <v>45873.0</v>
      </c>
      <c r="C81" s="1" t="s">
        <v>432</v>
      </c>
      <c r="D81" s="17" t="s">
        <v>57</v>
      </c>
      <c r="E81" s="8">
        <v>4.99</v>
      </c>
      <c r="F81" s="8">
        <f t="shared" si="7"/>
        <v>3.992</v>
      </c>
      <c r="G81" s="19">
        <v>0.2</v>
      </c>
      <c r="I81" s="75">
        <v>45566.0</v>
      </c>
    </row>
    <row r="82" ht="15.75" customHeight="1">
      <c r="A82" s="11">
        <v>45862.0</v>
      </c>
      <c r="B82" s="12">
        <v>45873.0</v>
      </c>
      <c r="C82" s="1" t="s">
        <v>432</v>
      </c>
      <c r="D82" s="17" t="s">
        <v>58</v>
      </c>
      <c r="E82" s="8">
        <v>6.99</v>
      </c>
      <c r="F82" s="8">
        <f t="shared" si="7"/>
        <v>5.592</v>
      </c>
      <c r="G82" s="19">
        <v>0.2</v>
      </c>
      <c r="I82" s="75">
        <v>45566.0</v>
      </c>
    </row>
    <row r="83" ht="15.75" customHeight="1">
      <c r="A83" s="11">
        <v>45862.0</v>
      </c>
      <c r="B83" s="12">
        <v>45873.0</v>
      </c>
      <c r="C83" s="1" t="s">
        <v>432</v>
      </c>
      <c r="D83" s="17" t="s">
        <v>59</v>
      </c>
      <c r="E83" s="8">
        <v>7.99</v>
      </c>
      <c r="F83" s="8">
        <f t="shared" si="7"/>
        <v>6.392</v>
      </c>
      <c r="G83" s="19">
        <v>0.2</v>
      </c>
      <c r="I83" s="75">
        <v>45566.0</v>
      </c>
    </row>
    <row r="84" ht="15.75" customHeight="1">
      <c r="A84" s="11">
        <v>45862.0</v>
      </c>
      <c r="B84" s="12">
        <v>45873.0</v>
      </c>
      <c r="C84" s="1" t="s">
        <v>432</v>
      </c>
      <c r="D84" s="17" t="s">
        <v>60</v>
      </c>
      <c r="E84" s="8">
        <v>9.99</v>
      </c>
      <c r="F84" s="8">
        <f t="shared" si="7"/>
        <v>7.992</v>
      </c>
      <c r="G84" s="19">
        <v>0.2</v>
      </c>
      <c r="I84" s="5" t="s">
        <v>396</v>
      </c>
    </row>
    <row r="85" ht="15.75" customHeight="1">
      <c r="A85" s="11">
        <v>45862.0</v>
      </c>
      <c r="B85" s="12">
        <v>45873.0</v>
      </c>
      <c r="C85" s="1" t="s">
        <v>432</v>
      </c>
      <c r="D85" s="17" t="s">
        <v>61</v>
      </c>
      <c r="E85" s="8">
        <v>7.99</v>
      </c>
      <c r="F85" s="8">
        <f t="shared" si="7"/>
        <v>6.392</v>
      </c>
      <c r="G85" s="19">
        <v>0.2</v>
      </c>
      <c r="I85" s="5" t="s">
        <v>405</v>
      </c>
    </row>
    <row r="86" ht="15.75" customHeight="1">
      <c r="A86" s="11">
        <v>45862.0</v>
      </c>
      <c r="B86" s="12">
        <v>45873.0</v>
      </c>
      <c r="C86" s="1" t="s">
        <v>432</v>
      </c>
      <c r="D86" s="17" t="s">
        <v>63</v>
      </c>
      <c r="E86" s="8">
        <v>4.99</v>
      </c>
      <c r="F86" s="8">
        <f t="shared" si="7"/>
        <v>3.992</v>
      </c>
      <c r="G86" s="19">
        <v>0.2</v>
      </c>
      <c r="I86" s="5" t="s">
        <v>405</v>
      </c>
    </row>
    <row r="87" ht="15.75" customHeight="1">
      <c r="A87" s="11">
        <v>45862.0</v>
      </c>
      <c r="B87" s="12">
        <v>45873.0</v>
      </c>
      <c r="C87" s="1" t="s">
        <v>432</v>
      </c>
      <c r="D87" s="17" t="s">
        <v>65</v>
      </c>
      <c r="E87" s="8">
        <v>9.99</v>
      </c>
      <c r="F87" s="8">
        <f t="shared" si="7"/>
        <v>7.992</v>
      </c>
      <c r="G87" s="19">
        <v>0.2</v>
      </c>
      <c r="I87" s="5" t="s">
        <v>416</v>
      </c>
    </row>
    <row r="88" ht="15.75" customHeight="1">
      <c r="A88" s="11">
        <v>45862.0</v>
      </c>
      <c r="B88" s="12">
        <v>45873.0</v>
      </c>
      <c r="C88" s="1" t="s">
        <v>432</v>
      </c>
      <c r="D88" s="17" t="s">
        <v>66</v>
      </c>
      <c r="E88" s="8">
        <v>7.99</v>
      </c>
      <c r="F88" s="8">
        <f t="shared" si="7"/>
        <v>6.392</v>
      </c>
      <c r="G88" s="19">
        <v>0.2</v>
      </c>
      <c r="I88" s="5" t="s">
        <v>416</v>
      </c>
    </row>
    <row r="89" ht="15.75" customHeight="1">
      <c r="A89" s="11">
        <v>45862.0</v>
      </c>
      <c r="B89" s="12">
        <v>45873.0</v>
      </c>
      <c r="C89" s="1" t="s">
        <v>432</v>
      </c>
      <c r="D89" s="17" t="s">
        <v>67</v>
      </c>
      <c r="E89" s="8">
        <v>9.99</v>
      </c>
      <c r="F89" s="8">
        <f t="shared" si="7"/>
        <v>9.99</v>
      </c>
      <c r="G89" s="19">
        <v>0.0</v>
      </c>
      <c r="I89" s="5" t="s">
        <v>431</v>
      </c>
    </row>
    <row r="90" ht="15.75" customHeight="1">
      <c r="A90" s="11">
        <v>45862.0</v>
      </c>
      <c r="B90" s="12">
        <v>45873.0</v>
      </c>
      <c r="C90" s="1" t="s">
        <v>432</v>
      </c>
      <c r="D90" s="17" t="s">
        <v>69</v>
      </c>
      <c r="E90" s="8">
        <v>4.99</v>
      </c>
      <c r="F90" s="8">
        <f t="shared" si="7"/>
        <v>4.99</v>
      </c>
      <c r="G90" s="19">
        <v>0.0</v>
      </c>
      <c r="I90" s="5" t="s">
        <v>431</v>
      </c>
    </row>
    <row r="91" ht="15.75" customHeight="1"/>
    <row r="92" ht="15.75" customHeight="1">
      <c r="A92" s="11">
        <v>45904.0</v>
      </c>
      <c r="B92" s="12">
        <v>45915.0</v>
      </c>
      <c r="C92" s="1" t="s">
        <v>72</v>
      </c>
      <c r="D92" s="17" t="s">
        <v>44</v>
      </c>
      <c r="E92" s="8">
        <v>59.99</v>
      </c>
      <c r="F92" s="8">
        <f t="shared" ref="F92:F106" si="8">E92*(1-G92)</f>
        <v>29.995</v>
      </c>
      <c r="G92" s="32">
        <v>0.5</v>
      </c>
      <c r="H92" s="76" t="s">
        <v>108</v>
      </c>
    </row>
    <row r="93" ht="15.75" customHeight="1">
      <c r="A93" s="11">
        <v>45904.0</v>
      </c>
      <c r="B93" s="12">
        <v>45915.0</v>
      </c>
      <c r="C93" s="1" t="s">
        <v>72</v>
      </c>
      <c r="D93" s="17" t="s">
        <v>52</v>
      </c>
      <c r="E93" s="8">
        <v>89.99</v>
      </c>
      <c r="F93" s="8">
        <f t="shared" si="8"/>
        <v>44.995</v>
      </c>
      <c r="G93" s="32">
        <v>0.5</v>
      </c>
    </row>
    <row r="94" ht="15.75" customHeight="1">
      <c r="A94" s="77">
        <v>45904.0</v>
      </c>
      <c r="B94" s="78">
        <v>45915.0</v>
      </c>
      <c r="C94" s="79" t="s">
        <v>72</v>
      </c>
      <c r="D94" s="20" t="s">
        <v>53</v>
      </c>
      <c r="E94" s="21">
        <v>99.99</v>
      </c>
      <c r="F94" s="21">
        <f t="shared" si="8"/>
        <v>49.995</v>
      </c>
      <c r="G94" s="22">
        <v>0.5</v>
      </c>
    </row>
    <row r="95" ht="15.75" customHeight="1">
      <c r="A95" s="11">
        <v>45904.0</v>
      </c>
      <c r="B95" s="12">
        <v>45915.0</v>
      </c>
      <c r="C95" s="1" t="s">
        <v>72</v>
      </c>
      <c r="D95" s="17" t="s">
        <v>55</v>
      </c>
      <c r="E95" s="8">
        <v>119.99</v>
      </c>
      <c r="F95" s="8">
        <f t="shared" si="8"/>
        <v>119.99</v>
      </c>
      <c r="G95" s="19">
        <v>0.0</v>
      </c>
      <c r="I95" s="75"/>
    </row>
    <row r="96" ht="15.75" customHeight="1">
      <c r="A96" s="11">
        <v>45904.0</v>
      </c>
      <c r="B96" s="12">
        <v>45915.0</v>
      </c>
      <c r="C96" s="1" t="s">
        <v>72</v>
      </c>
      <c r="D96" s="17" t="s">
        <v>43</v>
      </c>
      <c r="E96" s="8">
        <v>39.99</v>
      </c>
      <c r="F96" s="8">
        <f t="shared" si="8"/>
        <v>31.992</v>
      </c>
      <c r="G96" s="19">
        <v>0.2</v>
      </c>
      <c r="I96" s="75">
        <v>45536.0</v>
      </c>
    </row>
    <row r="97" ht="15.75" customHeight="1">
      <c r="A97" s="11">
        <v>45904.0</v>
      </c>
      <c r="B97" s="12">
        <v>45915.0</v>
      </c>
      <c r="C97" s="1" t="s">
        <v>72</v>
      </c>
      <c r="D97" s="17" t="s">
        <v>57</v>
      </c>
      <c r="E97" s="8">
        <v>4.99</v>
      </c>
      <c r="F97" s="8">
        <f t="shared" si="8"/>
        <v>3.992</v>
      </c>
      <c r="G97" s="19">
        <v>0.2</v>
      </c>
      <c r="I97" s="75">
        <v>45566.0</v>
      </c>
    </row>
    <row r="98" ht="15.75" customHeight="1">
      <c r="A98" s="11">
        <v>45904.0</v>
      </c>
      <c r="B98" s="12">
        <v>45915.0</v>
      </c>
      <c r="C98" s="1" t="s">
        <v>72</v>
      </c>
      <c r="D98" s="17" t="s">
        <v>58</v>
      </c>
      <c r="E98" s="8">
        <v>6.99</v>
      </c>
      <c r="F98" s="8">
        <f t="shared" si="8"/>
        <v>5.592</v>
      </c>
      <c r="G98" s="19">
        <v>0.2</v>
      </c>
      <c r="I98" s="75">
        <v>45566.0</v>
      </c>
    </row>
    <row r="99" ht="15.75" customHeight="1">
      <c r="A99" s="11">
        <v>45904.0</v>
      </c>
      <c r="B99" s="12">
        <v>45915.0</v>
      </c>
      <c r="C99" s="1" t="s">
        <v>72</v>
      </c>
      <c r="D99" s="17" t="s">
        <v>59</v>
      </c>
      <c r="E99" s="8">
        <v>7.99</v>
      </c>
      <c r="F99" s="8">
        <f t="shared" si="8"/>
        <v>6.392</v>
      </c>
      <c r="G99" s="19">
        <v>0.2</v>
      </c>
      <c r="I99" s="75">
        <v>45566.0</v>
      </c>
    </row>
    <row r="100" ht="15.75" customHeight="1">
      <c r="A100" s="11">
        <v>45904.0</v>
      </c>
      <c r="B100" s="12">
        <v>45915.0</v>
      </c>
      <c r="C100" s="1" t="s">
        <v>72</v>
      </c>
      <c r="D100" s="17" t="s">
        <v>60</v>
      </c>
      <c r="E100" s="8">
        <v>9.99</v>
      </c>
      <c r="F100" s="8">
        <f t="shared" si="8"/>
        <v>7.992</v>
      </c>
      <c r="G100" s="19">
        <v>0.2</v>
      </c>
      <c r="I100" s="5" t="s">
        <v>396</v>
      </c>
    </row>
    <row r="101" ht="15.75" customHeight="1">
      <c r="A101" s="11">
        <v>45904.0</v>
      </c>
      <c r="B101" s="12">
        <v>45915.0</v>
      </c>
      <c r="C101" s="1" t="s">
        <v>72</v>
      </c>
      <c r="D101" s="17" t="s">
        <v>61</v>
      </c>
      <c r="E101" s="8">
        <v>7.99</v>
      </c>
      <c r="F101" s="8">
        <f t="shared" si="8"/>
        <v>6.392</v>
      </c>
      <c r="G101" s="19">
        <v>0.2</v>
      </c>
      <c r="I101" s="5" t="s">
        <v>405</v>
      </c>
    </row>
    <row r="102" ht="15.75" customHeight="1">
      <c r="A102" s="11">
        <v>45904.0</v>
      </c>
      <c r="B102" s="12">
        <v>45915.0</v>
      </c>
      <c r="C102" s="1" t="s">
        <v>72</v>
      </c>
      <c r="D102" s="17" t="s">
        <v>63</v>
      </c>
      <c r="E102" s="8">
        <v>4.99</v>
      </c>
      <c r="F102" s="8">
        <f t="shared" si="8"/>
        <v>3.992</v>
      </c>
      <c r="G102" s="19">
        <v>0.2</v>
      </c>
      <c r="I102" s="5" t="s">
        <v>405</v>
      </c>
    </row>
    <row r="103" ht="15.75" customHeight="1">
      <c r="A103" s="11">
        <v>45904.0</v>
      </c>
      <c r="B103" s="12">
        <v>45915.0</v>
      </c>
      <c r="C103" s="1" t="s">
        <v>72</v>
      </c>
      <c r="D103" s="17" t="s">
        <v>65</v>
      </c>
      <c r="E103" s="8">
        <v>9.99</v>
      </c>
      <c r="F103" s="8">
        <f t="shared" si="8"/>
        <v>7.992</v>
      </c>
      <c r="G103" s="19">
        <v>0.2</v>
      </c>
      <c r="I103" s="5" t="s">
        <v>416</v>
      </c>
    </row>
    <row r="104" ht="15.75" customHeight="1">
      <c r="A104" s="11">
        <v>45904.0</v>
      </c>
      <c r="B104" s="12">
        <v>45915.0</v>
      </c>
      <c r="C104" s="1" t="s">
        <v>72</v>
      </c>
      <c r="D104" s="17" t="s">
        <v>66</v>
      </c>
      <c r="E104" s="8">
        <v>7.99</v>
      </c>
      <c r="F104" s="8">
        <f t="shared" si="8"/>
        <v>6.392</v>
      </c>
      <c r="G104" s="19">
        <v>0.2</v>
      </c>
      <c r="I104" s="5" t="s">
        <v>416</v>
      </c>
    </row>
    <row r="105" ht="15.75" customHeight="1">
      <c r="A105" s="11">
        <v>45904.0</v>
      </c>
      <c r="B105" s="12">
        <v>45915.0</v>
      </c>
      <c r="C105" s="1" t="s">
        <v>72</v>
      </c>
      <c r="D105" s="17" t="s">
        <v>67</v>
      </c>
      <c r="E105" s="8">
        <v>9.99</v>
      </c>
      <c r="F105" s="8">
        <f t="shared" si="8"/>
        <v>7.992</v>
      </c>
      <c r="G105" s="32">
        <v>0.2</v>
      </c>
      <c r="I105" s="5" t="s">
        <v>431</v>
      </c>
    </row>
    <row r="106" ht="15.75" customHeight="1">
      <c r="A106" s="11">
        <v>45904.0</v>
      </c>
      <c r="B106" s="12">
        <v>45915.0</v>
      </c>
      <c r="C106" s="1" t="s">
        <v>72</v>
      </c>
      <c r="D106" s="17" t="s">
        <v>69</v>
      </c>
      <c r="E106" s="8">
        <v>4.99</v>
      </c>
      <c r="F106" s="8">
        <f t="shared" si="8"/>
        <v>3.992</v>
      </c>
      <c r="G106" s="32">
        <v>0.2</v>
      </c>
      <c r="I106" s="5" t="s">
        <v>431</v>
      </c>
    </row>
    <row r="107" ht="15.75" customHeight="1"/>
    <row r="108" ht="15.75" customHeight="1">
      <c r="A108" s="11">
        <v>45929.0</v>
      </c>
      <c r="B108" s="12">
        <v>45936.0</v>
      </c>
      <c r="C108" s="1" t="s">
        <v>75</v>
      </c>
      <c r="D108" s="17" t="s">
        <v>44</v>
      </c>
      <c r="E108" s="8">
        <v>59.99</v>
      </c>
      <c r="F108" s="8">
        <f t="shared" ref="F108:F122" si="9">E108*(1-G108)</f>
        <v>29.995</v>
      </c>
      <c r="G108" s="19">
        <v>0.5</v>
      </c>
      <c r="H108" s="76" t="s">
        <v>108</v>
      </c>
      <c r="J108" s="81">
        <f>E108*0.45</f>
        <v>26.9955</v>
      </c>
      <c r="K108" s="53">
        <f>69.99*0.45</f>
        <v>31.4955</v>
      </c>
    </row>
    <row r="109" ht="15.75" customHeight="1">
      <c r="A109" s="11">
        <v>45929.0</v>
      </c>
      <c r="B109" s="12">
        <v>45936.0</v>
      </c>
      <c r="C109" s="1" t="s">
        <v>75</v>
      </c>
      <c r="D109" s="17" t="s">
        <v>52</v>
      </c>
      <c r="E109" s="8">
        <v>89.99</v>
      </c>
      <c r="F109" s="8">
        <f t="shared" si="9"/>
        <v>44.995</v>
      </c>
      <c r="G109" s="19">
        <v>0.5</v>
      </c>
    </row>
    <row r="110" ht="15.75" customHeight="1">
      <c r="A110" s="77">
        <v>45929.0</v>
      </c>
      <c r="B110" s="78">
        <v>45936.0</v>
      </c>
      <c r="C110" s="79" t="s">
        <v>75</v>
      </c>
      <c r="D110" s="20" t="s">
        <v>53</v>
      </c>
      <c r="E110" s="21">
        <v>99.99</v>
      </c>
      <c r="F110" s="21">
        <f t="shared" si="9"/>
        <v>49.995</v>
      </c>
      <c r="G110" s="22">
        <v>0.5</v>
      </c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</row>
    <row r="111" ht="15.75" customHeight="1">
      <c r="A111" s="11">
        <v>45929.0</v>
      </c>
      <c r="B111" s="12">
        <v>45936.0</v>
      </c>
      <c r="C111" s="1" t="s">
        <v>75</v>
      </c>
      <c r="D111" s="17" t="s">
        <v>55</v>
      </c>
      <c r="E111" s="8">
        <v>119.99</v>
      </c>
      <c r="F111" s="8">
        <f t="shared" si="9"/>
        <v>119.99</v>
      </c>
      <c r="G111" s="19">
        <v>0.0</v>
      </c>
      <c r="I111" s="75"/>
    </row>
    <row r="112" ht="15.75" customHeight="1">
      <c r="A112" s="11">
        <v>45929.0</v>
      </c>
      <c r="B112" s="12">
        <v>45936.0</v>
      </c>
      <c r="C112" s="1" t="s">
        <v>75</v>
      </c>
      <c r="D112" s="17" t="s">
        <v>43</v>
      </c>
      <c r="E112" s="8">
        <v>39.99</v>
      </c>
      <c r="F112" s="8">
        <f t="shared" si="9"/>
        <v>31.992</v>
      </c>
      <c r="G112" s="19">
        <v>0.2</v>
      </c>
      <c r="I112" s="75">
        <v>45536.0</v>
      </c>
    </row>
    <row r="113" ht="15.75" customHeight="1">
      <c r="A113" s="11">
        <v>45929.0</v>
      </c>
      <c r="B113" s="12">
        <v>45936.0</v>
      </c>
      <c r="C113" s="1" t="s">
        <v>75</v>
      </c>
      <c r="D113" s="17" t="s">
        <v>57</v>
      </c>
      <c r="E113" s="8">
        <v>4.99</v>
      </c>
      <c r="F113" s="8">
        <f t="shared" si="9"/>
        <v>3.992</v>
      </c>
      <c r="G113" s="19">
        <v>0.2</v>
      </c>
      <c r="I113" s="75">
        <v>45566.0</v>
      </c>
    </row>
    <row r="114" ht="15.75" customHeight="1">
      <c r="A114" s="11">
        <v>45929.0</v>
      </c>
      <c r="B114" s="12">
        <v>45936.0</v>
      </c>
      <c r="C114" s="1" t="s">
        <v>75</v>
      </c>
      <c r="D114" s="17" t="s">
        <v>58</v>
      </c>
      <c r="E114" s="8">
        <v>6.99</v>
      </c>
      <c r="F114" s="8">
        <f t="shared" si="9"/>
        <v>5.592</v>
      </c>
      <c r="G114" s="19">
        <v>0.2</v>
      </c>
      <c r="I114" s="75">
        <v>45566.0</v>
      </c>
    </row>
    <row r="115" ht="15.75" customHeight="1">
      <c r="A115" s="11">
        <v>45929.0</v>
      </c>
      <c r="B115" s="12">
        <v>45936.0</v>
      </c>
      <c r="C115" s="1" t="s">
        <v>75</v>
      </c>
      <c r="D115" s="17" t="s">
        <v>59</v>
      </c>
      <c r="E115" s="8">
        <v>7.99</v>
      </c>
      <c r="F115" s="8">
        <f t="shared" si="9"/>
        <v>6.392</v>
      </c>
      <c r="G115" s="19">
        <v>0.2</v>
      </c>
      <c r="I115" s="75">
        <v>45566.0</v>
      </c>
    </row>
    <row r="116" ht="15.75" customHeight="1">
      <c r="A116" s="11">
        <v>45929.0</v>
      </c>
      <c r="B116" s="12">
        <v>45936.0</v>
      </c>
      <c r="C116" s="1" t="s">
        <v>75</v>
      </c>
      <c r="D116" s="17" t="s">
        <v>60</v>
      </c>
      <c r="E116" s="8">
        <v>9.99</v>
      </c>
      <c r="F116" s="8">
        <f t="shared" si="9"/>
        <v>7.992</v>
      </c>
      <c r="G116" s="19">
        <v>0.2</v>
      </c>
      <c r="I116" s="5" t="s">
        <v>396</v>
      </c>
    </row>
    <row r="117" ht="15.75" customHeight="1">
      <c r="A117" s="11">
        <v>45929.0</v>
      </c>
      <c r="B117" s="12">
        <v>45936.0</v>
      </c>
      <c r="C117" s="1" t="s">
        <v>75</v>
      </c>
      <c r="D117" s="17" t="s">
        <v>61</v>
      </c>
      <c r="E117" s="8">
        <v>7.99</v>
      </c>
      <c r="F117" s="8">
        <f t="shared" si="9"/>
        <v>6.392</v>
      </c>
      <c r="G117" s="19">
        <v>0.2</v>
      </c>
      <c r="I117" s="5" t="s">
        <v>405</v>
      </c>
    </row>
    <row r="118" ht="15.75" customHeight="1">
      <c r="A118" s="11">
        <v>45929.0</v>
      </c>
      <c r="B118" s="12">
        <v>45936.0</v>
      </c>
      <c r="C118" s="1" t="s">
        <v>75</v>
      </c>
      <c r="D118" s="17" t="s">
        <v>63</v>
      </c>
      <c r="E118" s="8">
        <v>4.99</v>
      </c>
      <c r="F118" s="8">
        <f t="shared" si="9"/>
        <v>3.992</v>
      </c>
      <c r="G118" s="19">
        <v>0.2</v>
      </c>
      <c r="I118" s="5" t="s">
        <v>405</v>
      </c>
    </row>
    <row r="119" ht="15.75" customHeight="1">
      <c r="A119" s="11">
        <v>45929.0</v>
      </c>
      <c r="B119" s="12">
        <v>45936.0</v>
      </c>
      <c r="C119" s="1" t="s">
        <v>75</v>
      </c>
      <c r="D119" s="17" t="s">
        <v>65</v>
      </c>
      <c r="E119" s="8">
        <v>9.99</v>
      </c>
      <c r="F119" s="8">
        <f t="shared" si="9"/>
        <v>7.992</v>
      </c>
      <c r="G119" s="19">
        <v>0.2</v>
      </c>
      <c r="I119" s="5" t="s">
        <v>416</v>
      </c>
    </row>
    <row r="120" ht="15.75" customHeight="1">
      <c r="A120" s="11">
        <v>45929.0</v>
      </c>
      <c r="B120" s="12">
        <v>45936.0</v>
      </c>
      <c r="C120" s="1" t="s">
        <v>75</v>
      </c>
      <c r="D120" s="17" t="s">
        <v>66</v>
      </c>
      <c r="E120" s="8">
        <v>7.99</v>
      </c>
      <c r="F120" s="8">
        <f t="shared" si="9"/>
        <v>6.392</v>
      </c>
      <c r="G120" s="19">
        <v>0.2</v>
      </c>
      <c r="I120" s="5" t="s">
        <v>416</v>
      </c>
    </row>
    <row r="121" ht="15.75" customHeight="1">
      <c r="A121" s="11">
        <v>45929.0</v>
      </c>
      <c r="B121" s="12">
        <v>45936.0</v>
      </c>
      <c r="C121" s="1" t="s">
        <v>75</v>
      </c>
      <c r="D121" s="17" t="s">
        <v>67</v>
      </c>
      <c r="E121" s="8">
        <v>9.99</v>
      </c>
      <c r="F121" s="8">
        <f t="shared" si="9"/>
        <v>7.992</v>
      </c>
      <c r="G121" s="19">
        <v>0.2</v>
      </c>
      <c r="I121" s="5" t="s">
        <v>431</v>
      </c>
    </row>
    <row r="122" ht="15.75" customHeight="1">
      <c r="A122" s="11">
        <v>45929.0</v>
      </c>
      <c r="B122" s="12">
        <v>45936.0</v>
      </c>
      <c r="C122" s="1" t="s">
        <v>75</v>
      </c>
      <c r="D122" s="17" t="s">
        <v>69</v>
      </c>
      <c r="E122" s="8">
        <v>4.99</v>
      </c>
      <c r="F122" s="8">
        <f t="shared" si="9"/>
        <v>3.992</v>
      </c>
      <c r="G122" s="19">
        <v>0.2</v>
      </c>
      <c r="I122" s="5" t="s">
        <v>431</v>
      </c>
    </row>
    <row r="123" ht="15.75" customHeight="1"/>
    <row r="124" ht="15.75" customHeight="1">
      <c r="A124" s="11">
        <v>46350.0</v>
      </c>
      <c r="B124" s="12">
        <v>46357.0</v>
      </c>
      <c r="C124" s="1" t="s">
        <v>408</v>
      </c>
      <c r="D124" s="34" t="s">
        <v>44</v>
      </c>
      <c r="E124" s="8">
        <v>59.99</v>
      </c>
      <c r="F124" s="8">
        <f t="shared" ref="F124:F138" si="10">E124*(1-G124)</f>
        <v>23.996</v>
      </c>
      <c r="G124" s="19">
        <v>0.6</v>
      </c>
    </row>
    <row r="125" ht="15.75" customHeight="1">
      <c r="A125" s="11">
        <v>46350.0</v>
      </c>
      <c r="B125" s="12">
        <v>46357.0</v>
      </c>
      <c r="C125" s="1" t="s">
        <v>408</v>
      </c>
      <c r="D125" s="34" t="s">
        <v>52</v>
      </c>
      <c r="E125" s="8">
        <v>89.99</v>
      </c>
      <c r="F125" s="8">
        <f t="shared" si="10"/>
        <v>35.996</v>
      </c>
      <c r="G125" s="19">
        <v>0.6</v>
      </c>
    </row>
    <row r="126" ht="15.75" customHeight="1">
      <c r="A126" s="11">
        <v>46350.0</v>
      </c>
      <c r="B126" s="12">
        <v>46357.0</v>
      </c>
      <c r="C126" s="1" t="s">
        <v>408</v>
      </c>
      <c r="D126" s="20" t="s">
        <v>53</v>
      </c>
      <c r="E126" s="21">
        <v>99.99</v>
      </c>
      <c r="F126" s="21">
        <f t="shared" si="10"/>
        <v>49.995</v>
      </c>
      <c r="G126" s="22">
        <v>0.5</v>
      </c>
    </row>
    <row r="127" ht="15.75" customHeight="1">
      <c r="A127" s="11">
        <v>46350.0</v>
      </c>
      <c r="B127" s="12">
        <v>46357.0</v>
      </c>
      <c r="C127" s="1" t="s">
        <v>408</v>
      </c>
      <c r="D127" s="34" t="s">
        <v>55</v>
      </c>
      <c r="E127" s="8">
        <v>119.99</v>
      </c>
      <c r="F127" s="8">
        <f t="shared" si="10"/>
        <v>79.1934</v>
      </c>
      <c r="G127" s="19">
        <v>0.34</v>
      </c>
    </row>
    <row r="128" ht="15.75" customHeight="1">
      <c r="A128" s="11">
        <v>46350.0</v>
      </c>
      <c r="B128" s="12">
        <v>46357.0</v>
      </c>
      <c r="C128" s="1" t="s">
        <v>408</v>
      </c>
      <c r="D128" s="17" t="s">
        <v>43</v>
      </c>
      <c r="E128" s="8">
        <v>39.99</v>
      </c>
      <c r="F128" s="8">
        <f t="shared" si="10"/>
        <v>29.9925</v>
      </c>
      <c r="G128" s="19">
        <v>0.25</v>
      </c>
    </row>
    <row r="129" ht="15.75" customHeight="1">
      <c r="A129" s="11">
        <v>46350.0</v>
      </c>
      <c r="B129" s="12">
        <v>46357.0</v>
      </c>
      <c r="C129" s="1" t="s">
        <v>408</v>
      </c>
      <c r="D129" s="17" t="s">
        <v>57</v>
      </c>
      <c r="E129" s="8">
        <v>4.99</v>
      </c>
      <c r="F129" s="8">
        <f t="shared" si="10"/>
        <v>3.992</v>
      </c>
      <c r="G129" s="19">
        <v>0.2</v>
      </c>
    </row>
    <row r="130" ht="15.75" customHeight="1">
      <c r="A130" s="11">
        <v>46350.0</v>
      </c>
      <c r="B130" s="12">
        <v>46357.0</v>
      </c>
      <c r="C130" s="1" t="s">
        <v>408</v>
      </c>
      <c r="D130" s="17" t="s">
        <v>58</v>
      </c>
      <c r="E130" s="8">
        <v>6.99</v>
      </c>
      <c r="F130" s="8">
        <f t="shared" si="10"/>
        <v>5.592</v>
      </c>
      <c r="G130" s="19">
        <v>0.2</v>
      </c>
    </row>
    <row r="131" ht="15.75" customHeight="1">
      <c r="A131" s="11">
        <v>46350.0</v>
      </c>
      <c r="B131" s="12">
        <v>46357.0</v>
      </c>
      <c r="C131" s="1" t="s">
        <v>408</v>
      </c>
      <c r="D131" s="17" t="s">
        <v>59</v>
      </c>
      <c r="E131" s="8">
        <v>7.99</v>
      </c>
      <c r="F131" s="8">
        <f t="shared" si="10"/>
        <v>6.392</v>
      </c>
      <c r="G131" s="19">
        <v>0.2</v>
      </c>
    </row>
    <row r="132" ht="15.75" customHeight="1">
      <c r="A132" s="11">
        <v>46350.0</v>
      </c>
      <c r="B132" s="12">
        <v>46357.0</v>
      </c>
      <c r="C132" s="1" t="s">
        <v>408</v>
      </c>
      <c r="D132" s="17" t="s">
        <v>60</v>
      </c>
      <c r="E132" s="8">
        <v>9.99</v>
      </c>
      <c r="F132" s="8">
        <f t="shared" si="10"/>
        <v>7.992</v>
      </c>
      <c r="G132" s="19">
        <v>0.2</v>
      </c>
    </row>
    <row r="133" ht="15.75" customHeight="1">
      <c r="A133" s="11">
        <v>46350.0</v>
      </c>
      <c r="B133" s="12">
        <v>46357.0</v>
      </c>
      <c r="C133" s="1" t="s">
        <v>408</v>
      </c>
      <c r="D133" s="17" t="s">
        <v>61</v>
      </c>
      <c r="E133" s="8">
        <v>7.99</v>
      </c>
      <c r="F133" s="8">
        <f t="shared" si="10"/>
        <v>6.392</v>
      </c>
      <c r="G133" s="19">
        <v>0.2</v>
      </c>
    </row>
    <row r="134" ht="15.75" customHeight="1">
      <c r="A134" s="11">
        <v>46350.0</v>
      </c>
      <c r="B134" s="12">
        <v>46357.0</v>
      </c>
      <c r="C134" s="1" t="s">
        <v>408</v>
      </c>
      <c r="D134" s="17" t="s">
        <v>63</v>
      </c>
      <c r="E134" s="8">
        <v>4.99</v>
      </c>
      <c r="F134" s="8">
        <f t="shared" si="10"/>
        <v>3.992</v>
      </c>
      <c r="G134" s="19">
        <v>0.2</v>
      </c>
    </row>
    <row r="135" ht="15.75" customHeight="1">
      <c r="A135" s="11">
        <v>46350.0</v>
      </c>
      <c r="B135" s="12">
        <v>46357.0</v>
      </c>
      <c r="C135" s="1" t="s">
        <v>408</v>
      </c>
      <c r="D135" s="17" t="s">
        <v>65</v>
      </c>
      <c r="E135" s="8">
        <v>9.99</v>
      </c>
      <c r="F135" s="8">
        <f t="shared" si="10"/>
        <v>7.992</v>
      </c>
      <c r="G135" s="19">
        <v>0.2</v>
      </c>
    </row>
    <row r="136" ht="15.75" customHeight="1">
      <c r="A136" s="11">
        <v>46350.0</v>
      </c>
      <c r="B136" s="12">
        <v>46357.0</v>
      </c>
      <c r="C136" s="1" t="s">
        <v>408</v>
      </c>
      <c r="D136" s="17" t="s">
        <v>66</v>
      </c>
      <c r="E136" s="8">
        <v>7.99</v>
      </c>
      <c r="F136" s="8">
        <f t="shared" si="10"/>
        <v>6.392</v>
      </c>
      <c r="G136" s="19">
        <v>0.2</v>
      </c>
    </row>
    <row r="137" ht="15.75" customHeight="1">
      <c r="A137" s="11">
        <v>46350.0</v>
      </c>
      <c r="B137" s="12">
        <v>46357.0</v>
      </c>
      <c r="C137" s="1" t="s">
        <v>408</v>
      </c>
      <c r="D137" s="17" t="s">
        <v>67</v>
      </c>
      <c r="E137" s="8">
        <v>9.99</v>
      </c>
      <c r="F137" s="8">
        <f t="shared" si="10"/>
        <v>7.992</v>
      </c>
      <c r="G137" s="19">
        <v>0.2</v>
      </c>
    </row>
    <row r="138" ht="15.75" customHeight="1">
      <c r="A138" s="11">
        <v>46350.0</v>
      </c>
      <c r="B138" s="12">
        <v>46357.0</v>
      </c>
      <c r="C138" s="1" t="s">
        <v>408</v>
      </c>
      <c r="D138" s="17" t="s">
        <v>69</v>
      </c>
      <c r="E138" s="8">
        <v>4.99</v>
      </c>
      <c r="F138" s="8">
        <f t="shared" si="10"/>
        <v>3.992</v>
      </c>
      <c r="G138" s="19">
        <v>0.2</v>
      </c>
    </row>
    <row r="139" ht="15.75" customHeight="1"/>
    <row r="140" ht="15.75" customHeight="1">
      <c r="A140" s="11">
        <v>46374.0</v>
      </c>
      <c r="B140" s="12">
        <v>46027.0</v>
      </c>
      <c r="C140" s="1" t="s">
        <v>410</v>
      </c>
      <c r="D140" s="17" t="s">
        <v>44</v>
      </c>
      <c r="E140" s="8">
        <v>59.99</v>
      </c>
      <c r="F140" s="8">
        <f t="shared" ref="F140:F156" si="11">E140*(1-G140)</f>
        <v>23.996</v>
      </c>
      <c r="G140" s="19">
        <v>0.6</v>
      </c>
    </row>
    <row r="141" ht="15.75" customHeight="1">
      <c r="A141" s="11">
        <v>46374.0</v>
      </c>
      <c r="B141" s="12">
        <v>46027.0</v>
      </c>
      <c r="C141" s="1" t="s">
        <v>410</v>
      </c>
      <c r="D141" s="17" t="s">
        <v>52</v>
      </c>
      <c r="E141" s="8">
        <v>89.99</v>
      </c>
      <c r="F141" s="8">
        <f t="shared" si="11"/>
        <v>35.996</v>
      </c>
      <c r="G141" s="19">
        <v>0.6</v>
      </c>
    </row>
    <row r="142" ht="15.75" customHeight="1">
      <c r="A142" s="11">
        <v>46374.0</v>
      </c>
      <c r="B142" s="12">
        <v>46027.0</v>
      </c>
      <c r="C142" s="1" t="s">
        <v>410</v>
      </c>
      <c r="D142" s="20" t="s">
        <v>53</v>
      </c>
      <c r="E142" s="21">
        <v>99.99</v>
      </c>
      <c r="F142" s="21">
        <f t="shared" si="11"/>
        <v>49.995</v>
      </c>
      <c r="G142" s="22">
        <v>0.5</v>
      </c>
    </row>
    <row r="143" ht="15.75" customHeight="1">
      <c r="A143" s="11">
        <v>46374.0</v>
      </c>
      <c r="B143" s="12">
        <v>46027.0</v>
      </c>
      <c r="C143" s="1" t="s">
        <v>410</v>
      </c>
      <c r="D143" s="17" t="s">
        <v>55</v>
      </c>
      <c r="E143" s="8">
        <v>119.99</v>
      </c>
      <c r="F143" s="8">
        <f t="shared" si="11"/>
        <v>79.1934</v>
      </c>
      <c r="G143" s="19">
        <v>0.34</v>
      </c>
    </row>
    <row r="144" ht="15.75" customHeight="1">
      <c r="A144" s="11">
        <v>46374.0</v>
      </c>
      <c r="B144" s="12">
        <v>46027.0</v>
      </c>
      <c r="C144" s="1" t="s">
        <v>410</v>
      </c>
      <c r="D144" s="17" t="s">
        <v>43</v>
      </c>
      <c r="E144" s="8">
        <v>39.99</v>
      </c>
      <c r="F144" s="8">
        <f t="shared" si="11"/>
        <v>29.9925</v>
      </c>
      <c r="G144" s="19">
        <v>0.25</v>
      </c>
    </row>
    <row r="145" ht="15.75" customHeight="1">
      <c r="A145" s="11">
        <v>46374.0</v>
      </c>
      <c r="B145" s="12">
        <v>46027.0</v>
      </c>
      <c r="C145" s="1" t="s">
        <v>410</v>
      </c>
      <c r="D145" s="17" t="s">
        <v>57</v>
      </c>
      <c r="E145" s="8">
        <v>4.99</v>
      </c>
      <c r="F145" s="8">
        <f t="shared" si="11"/>
        <v>3.992</v>
      </c>
      <c r="G145" s="19">
        <v>0.2</v>
      </c>
    </row>
    <row r="146" ht="15.75" customHeight="1">
      <c r="A146" s="11">
        <v>46374.0</v>
      </c>
      <c r="B146" s="12">
        <v>46027.0</v>
      </c>
      <c r="C146" s="1" t="s">
        <v>410</v>
      </c>
      <c r="D146" s="17" t="s">
        <v>58</v>
      </c>
      <c r="E146" s="8">
        <v>6.99</v>
      </c>
      <c r="F146" s="8">
        <f t="shared" si="11"/>
        <v>5.592</v>
      </c>
      <c r="G146" s="19">
        <v>0.2</v>
      </c>
    </row>
    <row r="147" ht="15.75" customHeight="1">
      <c r="A147" s="11">
        <v>46374.0</v>
      </c>
      <c r="B147" s="12">
        <v>46027.0</v>
      </c>
      <c r="C147" s="1" t="s">
        <v>410</v>
      </c>
      <c r="D147" s="17" t="s">
        <v>59</v>
      </c>
      <c r="E147" s="8">
        <v>7.99</v>
      </c>
      <c r="F147" s="8">
        <f t="shared" si="11"/>
        <v>6.392</v>
      </c>
      <c r="G147" s="19">
        <v>0.2</v>
      </c>
    </row>
    <row r="148" ht="15.75" customHeight="1">
      <c r="A148" s="11">
        <v>46374.0</v>
      </c>
      <c r="B148" s="12">
        <v>46027.0</v>
      </c>
      <c r="C148" s="1" t="s">
        <v>410</v>
      </c>
      <c r="D148" s="17" t="s">
        <v>60</v>
      </c>
      <c r="E148" s="8">
        <v>9.99</v>
      </c>
      <c r="F148" s="8">
        <f t="shared" si="11"/>
        <v>7.992</v>
      </c>
      <c r="G148" s="19">
        <v>0.2</v>
      </c>
    </row>
    <row r="149" ht="15.75" customHeight="1">
      <c r="A149" s="11">
        <v>46374.0</v>
      </c>
      <c r="B149" s="12">
        <v>46027.0</v>
      </c>
      <c r="C149" s="1" t="s">
        <v>410</v>
      </c>
      <c r="D149" s="17" t="s">
        <v>61</v>
      </c>
      <c r="E149" s="8">
        <v>7.99</v>
      </c>
      <c r="F149" s="8">
        <f t="shared" si="11"/>
        <v>6.392</v>
      </c>
      <c r="G149" s="19">
        <v>0.2</v>
      </c>
    </row>
    <row r="150" ht="15.75" customHeight="1">
      <c r="A150" s="11">
        <v>46374.0</v>
      </c>
      <c r="B150" s="12">
        <v>46027.0</v>
      </c>
      <c r="C150" s="1" t="s">
        <v>410</v>
      </c>
      <c r="D150" s="17" t="s">
        <v>63</v>
      </c>
      <c r="E150" s="8">
        <v>4.99</v>
      </c>
      <c r="F150" s="8">
        <f t="shared" si="11"/>
        <v>3.992</v>
      </c>
      <c r="G150" s="19">
        <v>0.2</v>
      </c>
    </row>
    <row r="151" ht="15.75" customHeight="1">
      <c r="A151" s="11">
        <v>46374.0</v>
      </c>
      <c r="B151" s="12">
        <v>46027.0</v>
      </c>
      <c r="C151" s="1" t="s">
        <v>410</v>
      </c>
      <c r="D151" s="17" t="s">
        <v>65</v>
      </c>
      <c r="E151" s="8">
        <v>9.99</v>
      </c>
      <c r="F151" s="8">
        <f t="shared" si="11"/>
        <v>7.992</v>
      </c>
      <c r="G151" s="19">
        <v>0.2</v>
      </c>
    </row>
    <row r="152" ht="15.75" customHeight="1">
      <c r="A152" s="11">
        <v>46374.0</v>
      </c>
      <c r="B152" s="12">
        <v>46027.0</v>
      </c>
      <c r="C152" s="1" t="s">
        <v>410</v>
      </c>
      <c r="D152" s="17" t="s">
        <v>66</v>
      </c>
      <c r="E152" s="8">
        <v>7.99</v>
      </c>
      <c r="F152" s="8">
        <f t="shared" si="11"/>
        <v>6.392</v>
      </c>
      <c r="G152" s="19">
        <v>0.2</v>
      </c>
    </row>
    <row r="153" ht="15.75" customHeight="1">
      <c r="A153" s="11">
        <v>46374.0</v>
      </c>
      <c r="B153" s="12">
        <v>46027.0</v>
      </c>
      <c r="C153" s="1" t="s">
        <v>410</v>
      </c>
      <c r="D153" s="17" t="s">
        <v>67</v>
      </c>
      <c r="E153" s="8">
        <v>9.99</v>
      </c>
      <c r="F153" s="8">
        <f t="shared" si="11"/>
        <v>7.992</v>
      </c>
      <c r="G153" s="19">
        <v>0.2</v>
      </c>
    </row>
    <row r="154" ht="15.75" customHeight="1">
      <c r="A154" s="11">
        <v>46374.0</v>
      </c>
      <c r="B154" s="12">
        <v>46027.0</v>
      </c>
      <c r="C154" s="1" t="s">
        <v>410</v>
      </c>
      <c r="D154" s="17" t="s">
        <v>69</v>
      </c>
      <c r="E154" s="8">
        <v>4.99</v>
      </c>
      <c r="F154" s="8">
        <f t="shared" si="11"/>
        <v>3.992</v>
      </c>
      <c r="G154" s="19">
        <v>0.2</v>
      </c>
    </row>
    <row r="155" ht="15.75" customHeight="1">
      <c r="A155" s="11">
        <v>46374.0</v>
      </c>
      <c r="B155" s="12">
        <v>46027.0</v>
      </c>
      <c r="C155" s="1" t="s">
        <v>410</v>
      </c>
      <c r="D155" s="17" t="s">
        <v>70</v>
      </c>
      <c r="E155" s="8">
        <v>4.99</v>
      </c>
      <c r="F155" s="8">
        <f t="shared" si="11"/>
        <v>4.99</v>
      </c>
      <c r="G155" s="19">
        <v>0.0</v>
      </c>
    </row>
    <row r="156" ht="15.75" customHeight="1">
      <c r="A156" s="11">
        <v>46374.0</v>
      </c>
      <c r="B156" s="12">
        <v>46027.0</v>
      </c>
      <c r="C156" s="1" t="s">
        <v>410</v>
      </c>
      <c r="D156" s="17" t="s">
        <v>71</v>
      </c>
      <c r="E156" s="8">
        <v>7.99</v>
      </c>
      <c r="F156" s="8">
        <f t="shared" si="11"/>
        <v>7.99</v>
      </c>
      <c r="G156" s="19">
        <v>0.0</v>
      </c>
    </row>
    <row r="157" ht="15.75" customHeight="1"/>
    <row r="158" ht="15.75" customHeight="1"/>
    <row r="159" ht="15.75" customHeight="1"/>
    <row r="160" ht="15.75" customHeight="1"/>
    <row r="161" ht="15.75" customHeight="1">
      <c r="A161" s="39" t="s">
        <v>78</v>
      </c>
    </row>
    <row r="162" ht="15.75" customHeight="1">
      <c r="A162" s="43">
        <v>45660.0</v>
      </c>
      <c r="B162" s="43">
        <v>45670.0</v>
      </c>
      <c r="C162" s="44" t="s">
        <v>450</v>
      </c>
      <c r="D162" s="6" t="s">
        <v>39</v>
      </c>
      <c r="E162" s="8">
        <v>109.99</v>
      </c>
      <c r="F162" s="8" t="s">
        <v>451</v>
      </c>
      <c r="G162" s="46">
        <v>0.25</v>
      </c>
    </row>
    <row r="163" ht="15.75" customHeight="1">
      <c r="A163" s="43">
        <v>45671.0</v>
      </c>
      <c r="B163" s="43">
        <v>45684.0</v>
      </c>
      <c r="C163" s="44" t="s">
        <v>98</v>
      </c>
      <c r="D163" s="6" t="s">
        <v>40</v>
      </c>
      <c r="E163" s="8">
        <v>99.99</v>
      </c>
      <c r="F163" s="8" t="s">
        <v>276</v>
      </c>
      <c r="G163" s="46">
        <v>0.25</v>
      </c>
    </row>
    <row r="164" ht="15.75" customHeight="1">
      <c r="A164" s="43">
        <v>45692.0</v>
      </c>
      <c r="B164" s="43">
        <v>45698.0</v>
      </c>
      <c r="C164" s="44" t="s">
        <v>92</v>
      </c>
      <c r="D164" s="6" t="s">
        <v>38</v>
      </c>
      <c r="E164" s="8">
        <v>69.99</v>
      </c>
      <c r="F164" s="8" t="s">
        <v>264</v>
      </c>
      <c r="G164" s="46">
        <v>0.25</v>
      </c>
    </row>
    <row r="165" ht="15.75" customHeight="1">
      <c r="A165" s="43">
        <v>45706.0</v>
      </c>
      <c r="B165" s="43">
        <v>45712.0</v>
      </c>
      <c r="C165" s="44" t="s">
        <v>92</v>
      </c>
      <c r="D165" s="6" t="s">
        <v>39</v>
      </c>
      <c r="E165" s="8" t="s">
        <v>453</v>
      </c>
      <c r="F165" s="8" t="s">
        <v>451</v>
      </c>
      <c r="G165" s="46">
        <v>0.25</v>
      </c>
    </row>
    <row r="166" ht="15.75" customHeight="1">
      <c r="A166" s="43">
        <v>45713.0</v>
      </c>
      <c r="B166" s="43">
        <v>45719.0</v>
      </c>
      <c r="C166" s="44" t="s">
        <v>454</v>
      </c>
      <c r="D166" s="6" t="s">
        <v>40</v>
      </c>
      <c r="E166" s="8" t="s">
        <v>183</v>
      </c>
      <c r="F166" s="8" t="s">
        <v>179</v>
      </c>
      <c r="G166" s="46">
        <v>0.3</v>
      </c>
    </row>
    <row r="167" ht="15.75" customHeight="1">
      <c r="A167" s="43">
        <v>45727.0</v>
      </c>
      <c r="B167" s="43">
        <v>45733.0</v>
      </c>
      <c r="C167" s="44" t="s">
        <v>92</v>
      </c>
      <c r="D167" s="6" t="s">
        <v>38</v>
      </c>
      <c r="E167" s="8" t="s">
        <v>179</v>
      </c>
      <c r="F167" s="8" t="s">
        <v>456</v>
      </c>
      <c r="G167" s="32">
        <v>0.35</v>
      </c>
    </row>
    <row r="168" ht="15.75" customHeight="1">
      <c r="A168" s="43">
        <v>45741.0</v>
      </c>
      <c r="B168" s="43">
        <v>45747.0</v>
      </c>
      <c r="C168" s="44" t="s">
        <v>92</v>
      </c>
      <c r="D168" s="6" t="s">
        <v>39</v>
      </c>
      <c r="E168" s="8" t="s">
        <v>453</v>
      </c>
      <c r="F168" s="8" t="s">
        <v>451</v>
      </c>
      <c r="G168" s="32">
        <v>0.35</v>
      </c>
    </row>
    <row r="169" ht="15.75" customHeight="1">
      <c r="A169" s="43">
        <v>45755.0</v>
      </c>
      <c r="B169" s="43">
        <v>45763.0</v>
      </c>
      <c r="C169" s="44" t="s">
        <v>457</v>
      </c>
      <c r="D169" s="6" t="s">
        <v>40</v>
      </c>
      <c r="E169" s="8" t="s">
        <v>183</v>
      </c>
      <c r="F169" s="8" t="s">
        <v>458</v>
      </c>
      <c r="G169" s="46">
        <v>0.35</v>
      </c>
    </row>
    <row r="170" ht="15.75" customHeight="1">
      <c r="A170" s="43">
        <v>45764.0</v>
      </c>
      <c r="B170" s="43">
        <v>45777.0</v>
      </c>
      <c r="C170" s="44" t="s">
        <v>122</v>
      </c>
      <c r="D170" s="6" t="s">
        <v>38</v>
      </c>
      <c r="E170" s="8" t="s">
        <v>179</v>
      </c>
      <c r="F170" s="8" t="s">
        <v>459</v>
      </c>
      <c r="G170" s="46">
        <v>0.35</v>
      </c>
    </row>
    <row r="171" ht="15.75" customHeight="1">
      <c r="A171" s="43">
        <v>45764.0</v>
      </c>
      <c r="B171" s="43">
        <v>45777.0</v>
      </c>
      <c r="C171" s="44" t="s">
        <v>122</v>
      </c>
      <c r="D171" s="6" t="s">
        <v>40</v>
      </c>
      <c r="E171" s="8" t="s">
        <v>183</v>
      </c>
      <c r="F171" s="8" t="s">
        <v>458</v>
      </c>
      <c r="G171" s="46">
        <v>0.35</v>
      </c>
    </row>
    <row r="172" ht="15.75" customHeight="1">
      <c r="A172" s="43">
        <v>45776.0</v>
      </c>
      <c r="B172" s="43">
        <v>45782.0</v>
      </c>
      <c r="C172" s="44" t="s">
        <v>92</v>
      </c>
      <c r="D172" s="6" t="s">
        <v>39</v>
      </c>
      <c r="E172" s="8" t="s">
        <v>453</v>
      </c>
      <c r="F172" s="8" t="s">
        <v>451</v>
      </c>
      <c r="G172" s="46">
        <v>0.35</v>
      </c>
    </row>
    <row r="173" ht="15.75" customHeight="1">
      <c r="A173" s="43">
        <v>45778.0</v>
      </c>
      <c r="B173" s="43">
        <v>45789.0</v>
      </c>
      <c r="C173" s="44" t="s">
        <v>213</v>
      </c>
      <c r="D173" s="6" t="s">
        <v>43</v>
      </c>
      <c r="E173" s="8" t="s">
        <v>88</v>
      </c>
      <c r="F173" s="8" t="s">
        <v>165</v>
      </c>
      <c r="G173" s="46">
        <v>0.2</v>
      </c>
    </row>
    <row r="174" ht="15.75" customHeight="1">
      <c r="A174" s="43">
        <v>45778.0</v>
      </c>
      <c r="B174" s="43">
        <v>45789.0</v>
      </c>
      <c r="C174" s="44" t="s">
        <v>213</v>
      </c>
      <c r="D174" s="6" t="s">
        <v>166</v>
      </c>
      <c r="E174" s="8" t="s">
        <v>167</v>
      </c>
      <c r="F174" s="8" t="s">
        <v>128</v>
      </c>
      <c r="G174" s="46">
        <v>0.2</v>
      </c>
    </row>
    <row r="175" ht="15.75" customHeight="1">
      <c r="A175" s="43">
        <v>45778.0</v>
      </c>
      <c r="B175" s="43">
        <v>45789.0</v>
      </c>
      <c r="C175" s="44" t="s">
        <v>213</v>
      </c>
      <c r="D175" s="6" t="s">
        <v>168</v>
      </c>
      <c r="E175" s="8" t="s">
        <v>169</v>
      </c>
      <c r="F175" s="8" t="s">
        <v>170</v>
      </c>
      <c r="G175" s="46">
        <v>0.2</v>
      </c>
    </row>
    <row r="176" ht="15.75" customHeight="1">
      <c r="A176" s="43">
        <v>45799.0</v>
      </c>
      <c r="B176" s="43">
        <v>45806.0</v>
      </c>
      <c r="C176" s="44" t="s">
        <v>462</v>
      </c>
      <c r="D176" s="6" t="s">
        <v>38</v>
      </c>
      <c r="E176" s="8" t="s">
        <v>179</v>
      </c>
      <c r="F176" s="8" t="s">
        <v>459</v>
      </c>
      <c r="G176" s="46">
        <v>0.4</v>
      </c>
    </row>
    <row r="177" ht="15.75" customHeight="1">
      <c r="A177" s="43">
        <v>45811.0</v>
      </c>
      <c r="B177" s="43">
        <v>45817.0</v>
      </c>
      <c r="C177" s="44" t="s">
        <v>463</v>
      </c>
      <c r="D177" s="6" t="s">
        <v>40</v>
      </c>
      <c r="E177" s="8" t="s">
        <v>183</v>
      </c>
      <c r="F177" s="8" t="s">
        <v>458</v>
      </c>
      <c r="G177" s="46">
        <v>0.4</v>
      </c>
    </row>
    <row r="178" ht="15.75" customHeight="1">
      <c r="A178" s="43">
        <v>45818.0</v>
      </c>
      <c r="B178" s="43">
        <v>45831.0</v>
      </c>
      <c r="C178" s="44" t="s">
        <v>125</v>
      </c>
      <c r="D178" s="6" t="s">
        <v>39</v>
      </c>
      <c r="E178" s="8" t="s">
        <v>453</v>
      </c>
      <c r="F178" s="8" t="s">
        <v>451</v>
      </c>
      <c r="G178" s="46">
        <v>0.4</v>
      </c>
    </row>
    <row r="179" ht="15.75" customHeight="1">
      <c r="A179" s="43">
        <v>45832.0</v>
      </c>
      <c r="B179" s="43">
        <v>45838.0</v>
      </c>
      <c r="C179" s="44" t="s">
        <v>126</v>
      </c>
      <c r="D179" s="6" t="s">
        <v>43</v>
      </c>
      <c r="E179" s="8" t="s">
        <v>88</v>
      </c>
      <c r="F179" s="8" t="s">
        <v>165</v>
      </c>
      <c r="G179" s="46">
        <v>0.2</v>
      </c>
    </row>
    <row r="180" ht="15.75" customHeight="1">
      <c r="A180" s="43">
        <v>45832.0</v>
      </c>
      <c r="B180" s="43">
        <v>45838.0</v>
      </c>
      <c r="C180" s="44" t="s">
        <v>126</v>
      </c>
      <c r="D180" s="6" t="s">
        <v>166</v>
      </c>
      <c r="E180" s="8" t="s">
        <v>167</v>
      </c>
      <c r="F180" s="8" t="s">
        <v>128</v>
      </c>
      <c r="G180" s="46">
        <v>0.2</v>
      </c>
    </row>
    <row r="181" ht="15.75" customHeight="1">
      <c r="A181" s="43">
        <v>45832.0</v>
      </c>
      <c r="B181" s="43">
        <v>45838.0</v>
      </c>
      <c r="C181" s="44" t="s">
        <v>126</v>
      </c>
      <c r="D181" s="6" t="s">
        <v>168</v>
      </c>
      <c r="E181" s="8" t="s">
        <v>169</v>
      </c>
      <c r="F181" s="8" t="s">
        <v>170</v>
      </c>
      <c r="G181" s="46">
        <v>0.2</v>
      </c>
    </row>
    <row r="182" ht="15.75" customHeight="1">
      <c r="A182" s="43">
        <v>45839.0</v>
      </c>
      <c r="B182" s="43">
        <v>45845.0</v>
      </c>
      <c r="C182" s="44" t="s">
        <v>92</v>
      </c>
      <c r="D182" s="6" t="s">
        <v>38</v>
      </c>
      <c r="E182" s="8" t="s">
        <v>179</v>
      </c>
      <c r="F182" s="8" t="s">
        <v>464</v>
      </c>
      <c r="G182" s="46">
        <v>0.45</v>
      </c>
    </row>
    <row r="183" ht="15.75" customHeight="1">
      <c r="A183" s="43">
        <v>45846.0</v>
      </c>
      <c r="B183" s="43">
        <v>45854.0</v>
      </c>
      <c r="C183" s="44" t="s">
        <v>86</v>
      </c>
      <c r="D183" s="6" t="s">
        <v>40</v>
      </c>
      <c r="E183" s="8" t="s">
        <v>183</v>
      </c>
      <c r="F183" s="8" t="s">
        <v>132</v>
      </c>
      <c r="G183" s="46">
        <v>0.45</v>
      </c>
    </row>
    <row r="184" ht="15.75" customHeight="1">
      <c r="A184" s="43">
        <v>45854.0</v>
      </c>
      <c r="B184" s="43">
        <v>45869.0</v>
      </c>
      <c r="C184" s="44" t="s">
        <v>465</v>
      </c>
      <c r="D184" s="6" t="s">
        <v>40</v>
      </c>
      <c r="E184" s="8" t="s">
        <v>183</v>
      </c>
      <c r="F184" s="8" t="s">
        <v>132</v>
      </c>
      <c r="G184" s="46">
        <v>0.45</v>
      </c>
    </row>
    <row r="185" ht="15.75" customHeight="1">
      <c r="A185" s="43">
        <v>45867.0</v>
      </c>
      <c r="B185" s="43">
        <v>45873.0</v>
      </c>
      <c r="C185" s="44" t="s">
        <v>92</v>
      </c>
      <c r="D185" s="6" t="s">
        <v>39</v>
      </c>
      <c r="E185" s="8" t="s">
        <v>453</v>
      </c>
      <c r="F185" s="8" t="s">
        <v>466</v>
      </c>
      <c r="G185" s="46">
        <v>0.45</v>
      </c>
    </row>
    <row r="186" ht="15.75" customHeight="1">
      <c r="A186" s="43">
        <v>45870.0</v>
      </c>
      <c r="B186" s="43">
        <v>45880.0</v>
      </c>
      <c r="C186" s="44" t="s">
        <v>135</v>
      </c>
      <c r="D186" s="6" t="s">
        <v>43</v>
      </c>
      <c r="E186" s="8" t="s">
        <v>88</v>
      </c>
      <c r="F186" s="8" t="s">
        <v>165</v>
      </c>
      <c r="G186" s="46">
        <v>0.2</v>
      </c>
    </row>
    <row r="187" ht="15.75" customHeight="1">
      <c r="A187" s="43">
        <v>45870.0</v>
      </c>
      <c r="B187" s="43">
        <v>45880.0</v>
      </c>
      <c r="C187" s="44" t="s">
        <v>135</v>
      </c>
      <c r="D187" s="6" t="s">
        <v>166</v>
      </c>
      <c r="E187" s="8" t="s">
        <v>167</v>
      </c>
      <c r="F187" s="8" t="s">
        <v>128</v>
      </c>
      <c r="G187" s="46">
        <v>0.2</v>
      </c>
    </row>
    <row r="188" ht="15.75" customHeight="1">
      <c r="A188" s="43">
        <v>45870.0</v>
      </c>
      <c r="B188" s="43">
        <v>45880.0</v>
      </c>
      <c r="C188" s="44" t="s">
        <v>135</v>
      </c>
      <c r="D188" s="6" t="s">
        <v>168</v>
      </c>
      <c r="E188" s="8" t="s">
        <v>169</v>
      </c>
      <c r="F188" s="8" t="s">
        <v>170</v>
      </c>
      <c r="G188" s="46">
        <v>0.2</v>
      </c>
    </row>
    <row r="189" ht="15.75" customHeight="1">
      <c r="A189" s="43">
        <v>45888.0</v>
      </c>
      <c r="B189" s="43">
        <v>45902.0</v>
      </c>
      <c r="C189" s="44" t="s">
        <v>412</v>
      </c>
      <c r="D189" s="6" t="s">
        <v>38</v>
      </c>
      <c r="E189" s="8" t="s">
        <v>179</v>
      </c>
      <c r="F189" s="8" t="s">
        <v>464</v>
      </c>
      <c r="G189" s="46">
        <v>0.45</v>
      </c>
    </row>
    <row r="190" ht="15.75" customHeight="1">
      <c r="A190" s="43">
        <v>45902.0</v>
      </c>
      <c r="B190" s="43">
        <v>45908.0</v>
      </c>
      <c r="C190" s="44" t="s">
        <v>92</v>
      </c>
      <c r="D190" s="6" t="s">
        <v>40</v>
      </c>
      <c r="E190" s="8" t="s">
        <v>183</v>
      </c>
      <c r="F190" s="8" t="s">
        <v>132</v>
      </c>
      <c r="G190" s="46">
        <v>0.5</v>
      </c>
    </row>
    <row r="191" ht="15.75" customHeight="1">
      <c r="A191" s="43">
        <v>45909.0</v>
      </c>
      <c r="B191" s="43">
        <v>45915.0</v>
      </c>
      <c r="C191" s="44" t="s">
        <v>92</v>
      </c>
      <c r="D191" s="6" t="s">
        <v>39</v>
      </c>
      <c r="E191" s="8" t="s">
        <v>453</v>
      </c>
      <c r="F191" s="8" t="s">
        <v>466</v>
      </c>
      <c r="G191" s="46">
        <v>0.5</v>
      </c>
    </row>
    <row r="192" ht="15.75" customHeight="1">
      <c r="A192" s="43">
        <v>45916.0</v>
      </c>
      <c r="B192" s="43">
        <v>45922.0</v>
      </c>
      <c r="C192" s="44" t="s">
        <v>191</v>
      </c>
      <c r="D192" s="6" t="s">
        <v>43</v>
      </c>
      <c r="E192" s="8" t="s">
        <v>88</v>
      </c>
      <c r="F192" s="8" t="s">
        <v>165</v>
      </c>
      <c r="G192" s="46">
        <v>0.2</v>
      </c>
    </row>
    <row r="193" ht="15.75" customHeight="1">
      <c r="A193" s="43">
        <v>45916.0</v>
      </c>
      <c r="B193" s="43">
        <v>45922.0</v>
      </c>
      <c r="C193" s="44" t="s">
        <v>191</v>
      </c>
      <c r="D193" s="6" t="s">
        <v>166</v>
      </c>
      <c r="E193" s="8" t="s">
        <v>167</v>
      </c>
      <c r="F193" s="8" t="s">
        <v>128</v>
      </c>
      <c r="G193" s="46">
        <v>0.2</v>
      </c>
    </row>
    <row r="194" ht="15.75" customHeight="1">
      <c r="A194" s="43">
        <v>45916.0</v>
      </c>
      <c r="B194" s="43">
        <v>45922.0</v>
      </c>
      <c r="C194" s="44" t="s">
        <v>191</v>
      </c>
      <c r="D194" s="6" t="s">
        <v>168</v>
      </c>
      <c r="E194" s="8" t="s">
        <v>169</v>
      </c>
      <c r="F194" s="8" t="s">
        <v>170</v>
      </c>
      <c r="G194" s="46">
        <v>0.2</v>
      </c>
    </row>
    <row r="195" ht="15.75" customHeight="1">
      <c r="A195" s="43">
        <v>46302.0</v>
      </c>
      <c r="B195" s="43">
        <v>46315.0</v>
      </c>
      <c r="C195" s="44" t="s">
        <v>413</v>
      </c>
      <c r="D195" s="6" t="s">
        <v>38</v>
      </c>
      <c r="E195" s="8" t="s">
        <v>179</v>
      </c>
      <c r="F195" s="13" t="s">
        <v>237</v>
      </c>
      <c r="G195" s="46">
        <v>0.5</v>
      </c>
    </row>
    <row r="196" ht="15.75" customHeight="1">
      <c r="A196" s="43">
        <v>46302.0</v>
      </c>
      <c r="B196" s="43">
        <v>46315.0</v>
      </c>
      <c r="C196" s="44" t="s">
        <v>413</v>
      </c>
      <c r="D196" s="6" t="s">
        <v>187</v>
      </c>
      <c r="E196" s="8" t="s">
        <v>188</v>
      </c>
      <c r="F196" s="13" t="s">
        <v>283</v>
      </c>
      <c r="G196" s="46">
        <v>0.3</v>
      </c>
    </row>
    <row r="197" ht="15.75" customHeight="1">
      <c r="A197" s="43">
        <v>46309.0</v>
      </c>
      <c r="B197" s="43">
        <v>46315.0</v>
      </c>
      <c r="C197" s="44" t="s">
        <v>191</v>
      </c>
      <c r="D197" s="6" t="s">
        <v>178</v>
      </c>
      <c r="E197" s="8" t="s">
        <v>179</v>
      </c>
      <c r="F197" s="13" t="s">
        <v>467</v>
      </c>
      <c r="G197" s="46">
        <v>0.1</v>
      </c>
    </row>
    <row r="198" ht="15.75" customHeight="1">
      <c r="A198" s="43">
        <v>46316.0</v>
      </c>
      <c r="B198" s="43">
        <v>46322.0</v>
      </c>
      <c r="C198" s="44" t="s">
        <v>92</v>
      </c>
      <c r="D198" s="6" t="s">
        <v>182</v>
      </c>
      <c r="E198" s="8" t="s">
        <v>183</v>
      </c>
      <c r="F198" s="13" t="s">
        <v>468</v>
      </c>
      <c r="G198" s="46">
        <v>0.5</v>
      </c>
    </row>
    <row r="199" ht="15.75" customHeight="1">
      <c r="A199" s="43">
        <v>46346.0</v>
      </c>
      <c r="B199" s="43">
        <v>46359.0</v>
      </c>
      <c r="C199" s="44" t="s">
        <v>103</v>
      </c>
      <c r="D199" s="6" t="s">
        <v>38</v>
      </c>
      <c r="E199" s="8" t="s">
        <v>179</v>
      </c>
      <c r="F199" s="13" t="s">
        <v>237</v>
      </c>
      <c r="G199" s="46">
        <v>0.5</v>
      </c>
    </row>
    <row r="200" ht="15.75" customHeight="1">
      <c r="A200" s="43">
        <v>46346.0</v>
      </c>
      <c r="B200" s="43">
        <v>46359.0</v>
      </c>
      <c r="C200" s="44" t="s">
        <v>103</v>
      </c>
      <c r="D200" s="6" t="s">
        <v>187</v>
      </c>
      <c r="E200" s="8" t="s">
        <v>188</v>
      </c>
      <c r="F200" s="13" t="s">
        <v>283</v>
      </c>
      <c r="G200" s="46">
        <v>0.3</v>
      </c>
    </row>
    <row r="201" ht="15.75" customHeight="1">
      <c r="A201" s="43">
        <v>46358.0</v>
      </c>
      <c r="B201" s="43">
        <v>46364.0</v>
      </c>
      <c r="C201" s="44" t="s">
        <v>92</v>
      </c>
      <c r="D201" s="6" t="s">
        <v>182</v>
      </c>
      <c r="E201" s="8" t="s">
        <v>183</v>
      </c>
      <c r="F201" s="13" t="s">
        <v>468</v>
      </c>
      <c r="G201" s="46">
        <v>0.5</v>
      </c>
    </row>
    <row r="202" ht="15.75" customHeight="1">
      <c r="A202" s="43">
        <v>46360.0</v>
      </c>
      <c r="B202" s="43">
        <v>46373.0</v>
      </c>
      <c r="C202" s="44" t="s">
        <v>138</v>
      </c>
      <c r="D202" s="6" t="s">
        <v>43</v>
      </c>
      <c r="E202" s="8" t="s">
        <v>88</v>
      </c>
      <c r="F202" s="13" t="s">
        <v>165</v>
      </c>
      <c r="G202" s="46">
        <v>0.2</v>
      </c>
    </row>
    <row r="203" ht="15.75" customHeight="1">
      <c r="A203" s="43">
        <v>46360.0</v>
      </c>
      <c r="B203" s="43">
        <v>46373.0</v>
      </c>
      <c r="C203" s="44" t="s">
        <v>138</v>
      </c>
      <c r="D203" s="6" t="s">
        <v>166</v>
      </c>
      <c r="E203" s="8" t="s">
        <v>167</v>
      </c>
      <c r="F203" s="13" t="s">
        <v>128</v>
      </c>
      <c r="G203" s="46">
        <v>0.2</v>
      </c>
    </row>
    <row r="204" ht="15.75" customHeight="1">
      <c r="A204" s="43">
        <v>46360.0</v>
      </c>
      <c r="B204" s="43">
        <v>46373.0</v>
      </c>
      <c r="C204" s="44" t="s">
        <v>138</v>
      </c>
      <c r="D204" s="6" t="s">
        <v>168</v>
      </c>
      <c r="E204" s="8" t="s">
        <v>169</v>
      </c>
      <c r="F204" s="13" t="s">
        <v>170</v>
      </c>
      <c r="G204" s="46">
        <v>0.2</v>
      </c>
    </row>
    <row r="205" ht="15.75" customHeight="1">
      <c r="A205" s="43">
        <v>46360.0</v>
      </c>
      <c r="B205" s="43">
        <v>46373.0</v>
      </c>
      <c r="C205" s="44" t="s">
        <v>138</v>
      </c>
      <c r="D205" s="6" t="s">
        <v>171</v>
      </c>
      <c r="E205" s="8" t="s">
        <v>167</v>
      </c>
      <c r="F205" s="13" t="s">
        <v>128</v>
      </c>
      <c r="G205" s="46">
        <v>0.2</v>
      </c>
    </row>
    <row r="206" ht="15.75" customHeight="1">
      <c r="A206" s="43">
        <v>46360.0</v>
      </c>
      <c r="B206" s="43">
        <v>46373.0</v>
      </c>
      <c r="C206" s="44" t="s">
        <v>138</v>
      </c>
      <c r="D206" s="6" t="s">
        <v>172</v>
      </c>
      <c r="E206" s="8" t="s">
        <v>170</v>
      </c>
      <c r="F206" s="13" t="s">
        <v>173</v>
      </c>
      <c r="G206" s="46">
        <v>0.2</v>
      </c>
    </row>
    <row r="207" ht="15.75" customHeight="1">
      <c r="A207" s="43">
        <v>46360.0</v>
      </c>
      <c r="B207" s="43">
        <v>46373.0</v>
      </c>
      <c r="C207" s="44" t="s">
        <v>138</v>
      </c>
      <c r="D207" s="6" t="s">
        <v>174</v>
      </c>
      <c r="E207" s="8" t="s">
        <v>170</v>
      </c>
      <c r="F207" s="13" t="s">
        <v>173</v>
      </c>
      <c r="G207" s="46">
        <v>0.2</v>
      </c>
    </row>
    <row r="208" ht="15.75" customHeight="1">
      <c r="A208" s="43">
        <v>46360.0</v>
      </c>
      <c r="B208" s="43">
        <v>46373.0</v>
      </c>
      <c r="C208" s="44" t="s">
        <v>138</v>
      </c>
      <c r="D208" s="6" t="s">
        <v>175</v>
      </c>
      <c r="E208" s="8" t="s">
        <v>167</v>
      </c>
      <c r="F208" s="13" t="s">
        <v>128</v>
      </c>
      <c r="G208" s="46">
        <v>0.2</v>
      </c>
    </row>
    <row r="209" ht="15.75" customHeight="1">
      <c r="A209" s="43">
        <v>46360.0</v>
      </c>
      <c r="B209" s="43">
        <v>46373.0</v>
      </c>
      <c r="C209" s="44" t="s">
        <v>138</v>
      </c>
      <c r="D209" s="6" t="s">
        <v>176</v>
      </c>
      <c r="E209" s="8" t="s">
        <v>169</v>
      </c>
      <c r="F209" s="13" t="s">
        <v>170</v>
      </c>
      <c r="G209" s="46">
        <v>0.2</v>
      </c>
    </row>
    <row r="210" ht="15.75" customHeight="1">
      <c r="A210" s="43">
        <v>46360.0</v>
      </c>
      <c r="B210" s="43">
        <v>46373.0</v>
      </c>
      <c r="C210" s="44" t="s">
        <v>138</v>
      </c>
      <c r="D210" s="6" t="s">
        <v>177</v>
      </c>
      <c r="E210" s="8" t="s">
        <v>169</v>
      </c>
      <c r="F210" s="13" t="s">
        <v>170</v>
      </c>
      <c r="G210" s="46">
        <v>0.2</v>
      </c>
    </row>
    <row r="211" ht="15.75" customHeight="1">
      <c r="A211" s="43">
        <v>46360.0</v>
      </c>
      <c r="B211" s="43">
        <v>46373.0</v>
      </c>
      <c r="C211" s="44" t="s">
        <v>138</v>
      </c>
      <c r="D211" s="6" t="s">
        <v>178</v>
      </c>
      <c r="E211" s="8" t="s">
        <v>179</v>
      </c>
      <c r="F211" s="13" t="s">
        <v>180</v>
      </c>
      <c r="G211" s="46">
        <v>0.15</v>
      </c>
    </row>
    <row r="212" ht="15.75" customHeight="1">
      <c r="A212" s="43">
        <v>46367.0</v>
      </c>
      <c r="B212" s="43">
        <v>46373.0</v>
      </c>
      <c r="C212" s="44" t="s">
        <v>310</v>
      </c>
      <c r="D212" s="6" t="s">
        <v>38</v>
      </c>
      <c r="E212" s="8" t="s">
        <v>179</v>
      </c>
      <c r="F212" s="13" t="s">
        <v>185</v>
      </c>
      <c r="G212" s="46">
        <v>0.6</v>
      </c>
    </row>
    <row r="213" ht="15.75" customHeight="1">
      <c r="A213" s="43">
        <v>46374.0</v>
      </c>
      <c r="B213" s="43">
        <v>46029.0</v>
      </c>
      <c r="C213" s="44" t="s">
        <v>106</v>
      </c>
      <c r="D213" s="6" t="s">
        <v>38</v>
      </c>
      <c r="E213" s="8" t="s">
        <v>179</v>
      </c>
      <c r="F213" s="13" t="s">
        <v>185</v>
      </c>
      <c r="G213" s="46">
        <v>0.6</v>
      </c>
    </row>
    <row r="214" ht="15.75" customHeight="1">
      <c r="A214" s="43">
        <v>46374.0</v>
      </c>
      <c r="B214" s="43">
        <v>46029.0</v>
      </c>
      <c r="C214" s="44" t="s">
        <v>106</v>
      </c>
      <c r="D214" s="6" t="s">
        <v>187</v>
      </c>
      <c r="E214" s="8" t="s">
        <v>188</v>
      </c>
      <c r="F214" s="13" t="s">
        <v>283</v>
      </c>
      <c r="G214" s="46">
        <v>0.3</v>
      </c>
    </row>
    <row r="215" ht="15.75" customHeight="1"/>
    <row r="216" ht="15.75" customHeight="1">
      <c r="A216" s="42" t="s">
        <v>107</v>
      </c>
    </row>
    <row r="217" ht="15.75" customHeight="1">
      <c r="A217" s="45">
        <v>45686.0</v>
      </c>
      <c r="B217" s="45">
        <v>45700.0</v>
      </c>
      <c r="C217" s="13" t="s">
        <v>476</v>
      </c>
      <c r="D217" s="13" t="s">
        <v>38</v>
      </c>
      <c r="E217" s="8">
        <v>69.99</v>
      </c>
      <c r="F217" s="8">
        <f t="shared" ref="F217:F226" si="12">E217*(1-G217)</f>
        <v>52.4925</v>
      </c>
      <c r="G217" s="46">
        <v>0.25</v>
      </c>
    </row>
    <row r="218" ht="15.75" customHeight="1">
      <c r="A218" s="45"/>
      <c r="B218" s="45"/>
      <c r="C218" s="13"/>
      <c r="D218" s="13" t="s">
        <v>39</v>
      </c>
      <c r="E218" s="8">
        <v>109.99</v>
      </c>
      <c r="F218" s="8">
        <f t="shared" si="12"/>
        <v>82.4925</v>
      </c>
      <c r="G218" s="46">
        <v>0.25</v>
      </c>
    </row>
    <row r="219" ht="15.75" customHeight="1">
      <c r="A219" s="45">
        <v>45700.0</v>
      </c>
      <c r="B219" s="45">
        <v>45714.0</v>
      </c>
      <c r="C219" s="13" t="s">
        <v>424</v>
      </c>
      <c r="D219" s="13" t="s">
        <v>40</v>
      </c>
      <c r="E219" s="8">
        <v>99.99</v>
      </c>
      <c r="F219" s="8">
        <f t="shared" si="12"/>
        <v>74.9925</v>
      </c>
      <c r="G219" s="46">
        <v>0.25</v>
      </c>
    </row>
    <row r="220" ht="15.75" customHeight="1">
      <c r="A220" s="45">
        <v>45716.0</v>
      </c>
      <c r="B220" s="45">
        <v>45719.0</v>
      </c>
      <c r="C220" s="13" t="s">
        <v>477</v>
      </c>
      <c r="D220" s="13" t="s">
        <v>38</v>
      </c>
      <c r="E220" s="8">
        <v>69.99</v>
      </c>
      <c r="F220" s="8">
        <f t="shared" si="12"/>
        <v>52.4925</v>
      </c>
      <c r="G220" s="46">
        <v>0.25</v>
      </c>
    </row>
    <row r="221" ht="15.75" customHeight="1">
      <c r="A221" s="45"/>
      <c r="B221" s="45"/>
      <c r="C221" s="13"/>
      <c r="D221" s="13" t="s">
        <v>39</v>
      </c>
      <c r="E221" s="8">
        <v>109.99</v>
      </c>
      <c r="F221" s="8">
        <f t="shared" si="12"/>
        <v>82.4925</v>
      </c>
      <c r="G221" s="46">
        <v>0.25</v>
      </c>
    </row>
    <row r="222" ht="15.75" customHeight="1">
      <c r="A222" s="45">
        <v>45730.0</v>
      </c>
      <c r="B222" s="45">
        <v>45733.0</v>
      </c>
      <c r="C222" s="13" t="s">
        <v>477</v>
      </c>
      <c r="D222" s="13" t="s">
        <v>40</v>
      </c>
      <c r="E222" s="8">
        <v>99.99</v>
      </c>
      <c r="F222" s="8">
        <f t="shared" si="12"/>
        <v>64.9935</v>
      </c>
      <c r="G222" s="46">
        <v>0.35</v>
      </c>
    </row>
    <row r="223" ht="15.75" customHeight="1">
      <c r="A223" s="45">
        <v>45742.0</v>
      </c>
      <c r="B223" s="45">
        <v>45756.0</v>
      </c>
      <c r="C223" s="13" t="s">
        <v>146</v>
      </c>
      <c r="D223" s="13" t="s">
        <v>38</v>
      </c>
      <c r="E223" s="8">
        <v>69.99</v>
      </c>
      <c r="F223" s="8">
        <f t="shared" si="12"/>
        <v>45.4935</v>
      </c>
      <c r="G223" s="46">
        <v>0.35</v>
      </c>
    </row>
    <row r="224" ht="15.75" customHeight="1">
      <c r="A224" s="45"/>
      <c r="B224" s="45"/>
      <c r="C224" s="13"/>
      <c r="D224" s="13" t="s">
        <v>39</v>
      </c>
      <c r="E224" s="8">
        <v>109.99</v>
      </c>
      <c r="F224" s="8">
        <f t="shared" si="12"/>
        <v>71.4935</v>
      </c>
      <c r="G224" s="46">
        <v>0.35</v>
      </c>
    </row>
    <row r="225" ht="15.75" customHeight="1">
      <c r="A225" s="45">
        <v>45756.0</v>
      </c>
      <c r="B225" s="45">
        <v>45770.0</v>
      </c>
      <c r="C225" s="13" t="s">
        <v>147</v>
      </c>
      <c r="D225" s="13" t="s">
        <v>40</v>
      </c>
      <c r="E225" s="8">
        <v>99.99</v>
      </c>
      <c r="F225" s="8">
        <f t="shared" si="12"/>
        <v>64.9935</v>
      </c>
      <c r="G225" s="46">
        <v>0.35</v>
      </c>
      <c r="J225" s="53" t="s">
        <v>478</v>
      </c>
    </row>
    <row r="226" ht="15.75" customHeight="1">
      <c r="A226" s="63">
        <v>45786.0</v>
      </c>
      <c r="B226" s="63">
        <v>45913.0</v>
      </c>
      <c r="C226" s="64" t="s">
        <v>480</v>
      </c>
      <c r="D226" s="64" t="s">
        <v>41</v>
      </c>
      <c r="E226" s="65">
        <v>99.99</v>
      </c>
      <c r="F226" s="8">
        <f t="shared" si="12"/>
        <v>64.9935</v>
      </c>
      <c r="G226" s="66">
        <v>0.35</v>
      </c>
      <c r="I226" s="53" t="s">
        <v>481</v>
      </c>
      <c r="J226" s="8">
        <v>69.99</v>
      </c>
      <c r="K226" s="90">
        <f t="shared" ref="K226:K228" si="13">J226*(1-L226)</f>
        <v>48.993</v>
      </c>
      <c r="L226" s="32">
        <v>0.3</v>
      </c>
    </row>
    <row r="227" ht="15.75" customHeight="1">
      <c r="A227" s="63">
        <v>45798.0</v>
      </c>
      <c r="B227" s="63">
        <v>45820.0</v>
      </c>
      <c r="C227" s="64" t="s">
        <v>482</v>
      </c>
      <c r="D227" s="64" t="s">
        <v>42</v>
      </c>
      <c r="E227" s="65" t="s">
        <v>4</v>
      </c>
      <c r="F227" s="8" t="s">
        <v>4</v>
      </c>
      <c r="G227" s="66">
        <v>0.2</v>
      </c>
      <c r="I227" s="53" t="s">
        <v>483</v>
      </c>
      <c r="J227" s="8">
        <v>99.99</v>
      </c>
      <c r="K227" s="90">
        <f t="shared" si="13"/>
        <v>69.993</v>
      </c>
      <c r="L227" s="32">
        <v>0.3</v>
      </c>
    </row>
    <row r="228" ht="15.75" customHeight="1">
      <c r="A228" s="63">
        <v>45798.0</v>
      </c>
      <c r="B228" s="63">
        <v>45820.0</v>
      </c>
      <c r="C228" s="64" t="s">
        <v>482</v>
      </c>
      <c r="D228" s="64" t="s">
        <v>43</v>
      </c>
      <c r="E228" s="65">
        <v>39.99</v>
      </c>
      <c r="F228" s="8">
        <f t="shared" ref="F228:F233" si="14">E228*(1-G228)</f>
        <v>31.992</v>
      </c>
      <c r="G228" s="66">
        <v>0.2</v>
      </c>
      <c r="I228" s="53" t="s">
        <v>484</v>
      </c>
      <c r="J228" s="8">
        <v>109.99</v>
      </c>
      <c r="K228" s="8">
        <f t="shared" si="13"/>
        <v>76.993</v>
      </c>
      <c r="L228" s="32">
        <v>0.3</v>
      </c>
    </row>
    <row r="229" ht="15.75" customHeight="1">
      <c r="A229" s="63">
        <v>45798.0</v>
      </c>
      <c r="B229" s="63">
        <v>45820.0</v>
      </c>
      <c r="C229" s="64" t="s">
        <v>482</v>
      </c>
      <c r="D229" s="64" t="s">
        <v>39</v>
      </c>
      <c r="E229" s="65">
        <v>109.99</v>
      </c>
      <c r="F229" s="8">
        <f t="shared" si="14"/>
        <v>65.994</v>
      </c>
      <c r="G229" s="66">
        <v>0.4</v>
      </c>
    </row>
    <row r="230" ht="15.75" customHeight="1">
      <c r="A230" s="63">
        <v>45798.0</v>
      </c>
      <c r="B230" s="63">
        <v>45820.0</v>
      </c>
      <c r="C230" s="64" t="s">
        <v>482</v>
      </c>
      <c r="D230" s="64" t="s">
        <v>44</v>
      </c>
      <c r="E230" s="65">
        <v>69.99</v>
      </c>
      <c r="F230" s="8">
        <f t="shared" si="14"/>
        <v>41.994</v>
      </c>
      <c r="G230" s="66">
        <v>0.4</v>
      </c>
      <c r="I230" s="53" t="s">
        <v>481</v>
      </c>
      <c r="J230" s="8">
        <v>69.99</v>
      </c>
      <c r="K230" s="8">
        <f t="shared" ref="K230:K235" si="15">J230*(1-L230)</f>
        <v>45.4935</v>
      </c>
      <c r="L230" s="32">
        <v>0.35</v>
      </c>
    </row>
    <row r="231" ht="15.75" customHeight="1">
      <c r="A231" s="63">
        <v>45826.0</v>
      </c>
      <c r="B231" s="63">
        <v>45841.0</v>
      </c>
      <c r="C231" s="64" t="s">
        <v>357</v>
      </c>
      <c r="D231" s="64" t="s">
        <v>41</v>
      </c>
      <c r="E231" s="65">
        <v>99.99</v>
      </c>
      <c r="F231" s="8">
        <f t="shared" si="14"/>
        <v>59.994</v>
      </c>
      <c r="G231" s="66">
        <v>0.4</v>
      </c>
      <c r="I231" s="53" t="s">
        <v>483</v>
      </c>
      <c r="J231" s="8">
        <v>99.99</v>
      </c>
      <c r="K231" s="8">
        <f t="shared" si="15"/>
        <v>64.9935</v>
      </c>
      <c r="L231" s="32">
        <v>0.35</v>
      </c>
    </row>
    <row r="232" ht="15.75" customHeight="1">
      <c r="A232" s="63">
        <v>45849.0</v>
      </c>
      <c r="B232" s="63">
        <v>45868.0</v>
      </c>
      <c r="C232" s="64" t="s">
        <v>485</v>
      </c>
      <c r="D232" s="64" t="s">
        <v>44</v>
      </c>
      <c r="E232" s="65">
        <v>69.99</v>
      </c>
      <c r="F232" s="8">
        <f t="shared" si="14"/>
        <v>38.4945</v>
      </c>
      <c r="G232" s="66">
        <v>0.45</v>
      </c>
      <c r="I232" s="53" t="s">
        <v>484</v>
      </c>
      <c r="J232" s="8">
        <v>109.99</v>
      </c>
      <c r="K232" s="8">
        <f t="shared" si="15"/>
        <v>71.4935</v>
      </c>
      <c r="L232" s="32">
        <v>0.35</v>
      </c>
    </row>
    <row r="233" ht="15.75" customHeight="1">
      <c r="A233" s="63"/>
      <c r="B233" s="63"/>
      <c r="C233" s="64"/>
      <c r="D233" s="64" t="s">
        <v>39</v>
      </c>
      <c r="E233" s="65">
        <v>109.99</v>
      </c>
      <c r="F233" s="8">
        <f t="shared" si="14"/>
        <v>60.4945</v>
      </c>
      <c r="G233" s="66">
        <v>0.45</v>
      </c>
      <c r="I233" s="53" t="s">
        <v>481</v>
      </c>
      <c r="J233" s="8">
        <v>69.99</v>
      </c>
      <c r="K233" s="8">
        <f t="shared" si="15"/>
        <v>41.994</v>
      </c>
      <c r="L233" s="32">
        <v>0.4</v>
      </c>
    </row>
    <row r="234" ht="15.75" customHeight="1">
      <c r="A234" s="63"/>
      <c r="B234" s="63"/>
      <c r="C234" s="64"/>
      <c r="D234" s="64" t="s">
        <v>43</v>
      </c>
      <c r="E234" s="65" t="s">
        <v>4</v>
      </c>
      <c r="F234" s="8" t="s">
        <v>4</v>
      </c>
      <c r="G234" s="66">
        <v>0.2</v>
      </c>
      <c r="I234" s="53" t="s">
        <v>483</v>
      </c>
      <c r="J234" s="8">
        <v>99.99</v>
      </c>
      <c r="K234" s="8">
        <f t="shared" si="15"/>
        <v>59.994</v>
      </c>
      <c r="L234" s="32">
        <v>0.4</v>
      </c>
    </row>
    <row r="235" ht="15.75" customHeight="1">
      <c r="A235" s="63"/>
      <c r="B235" s="63"/>
      <c r="C235" s="64"/>
      <c r="D235" s="64" t="s">
        <v>42</v>
      </c>
      <c r="E235" s="65">
        <v>39.99</v>
      </c>
      <c r="F235" s="8">
        <f t="shared" ref="F235:F237" si="16">E235*(1-G235)</f>
        <v>31.992</v>
      </c>
      <c r="G235" s="66">
        <v>0.2</v>
      </c>
      <c r="I235" s="53" t="s">
        <v>484</v>
      </c>
      <c r="J235" s="8">
        <v>109.99</v>
      </c>
      <c r="K235" s="8">
        <f t="shared" si="15"/>
        <v>65.994</v>
      </c>
      <c r="L235" s="32">
        <v>0.4</v>
      </c>
    </row>
    <row r="236" ht="15.75" customHeight="1">
      <c r="A236" s="63">
        <v>45867.0</v>
      </c>
      <c r="B236" s="63">
        <v>45882.0</v>
      </c>
      <c r="C236" s="64" t="s">
        <v>487</v>
      </c>
      <c r="D236" s="64" t="s">
        <v>41</v>
      </c>
      <c r="E236" s="65">
        <v>99.99</v>
      </c>
      <c r="F236" s="8">
        <f t="shared" si="16"/>
        <v>54.9945</v>
      </c>
      <c r="G236" s="66">
        <v>0.45</v>
      </c>
    </row>
    <row r="237" ht="15.75" customHeight="1">
      <c r="A237" s="63">
        <v>45896.0</v>
      </c>
      <c r="B237" s="63">
        <v>45910.0</v>
      </c>
      <c r="C237" s="64" t="s">
        <v>421</v>
      </c>
      <c r="D237" s="64" t="s">
        <v>44</v>
      </c>
      <c r="E237" s="65">
        <v>69.99</v>
      </c>
      <c r="F237" s="8">
        <f t="shared" si="16"/>
        <v>34.995</v>
      </c>
      <c r="G237" s="68">
        <v>0.5</v>
      </c>
      <c r="J237" s="53" t="s">
        <v>488</v>
      </c>
    </row>
    <row r="238" ht="15.75" customHeight="1">
      <c r="A238" s="63"/>
      <c r="B238" s="63"/>
      <c r="C238" s="64"/>
      <c r="D238" s="64" t="s">
        <v>43</v>
      </c>
      <c r="E238" s="65" t="s">
        <v>4</v>
      </c>
      <c r="F238" s="8" t="s">
        <v>4</v>
      </c>
      <c r="G238" s="66">
        <v>0.25</v>
      </c>
      <c r="I238" s="53" t="s">
        <v>481</v>
      </c>
      <c r="J238" s="8">
        <v>59.99</v>
      </c>
      <c r="K238" s="8">
        <f t="shared" ref="K238:K240" si="17">J238*(1-L238)</f>
        <v>41.993</v>
      </c>
      <c r="L238" s="32">
        <v>0.3</v>
      </c>
    </row>
    <row r="239" ht="15.75" customHeight="1">
      <c r="A239" s="63"/>
      <c r="B239" s="63"/>
      <c r="C239" s="64"/>
      <c r="D239" s="64" t="s">
        <v>42</v>
      </c>
      <c r="E239" s="65">
        <v>39.99</v>
      </c>
      <c r="F239" s="8">
        <f t="shared" ref="F239:F241" si="18">E239*(1-G239)</f>
        <v>31.992</v>
      </c>
      <c r="G239" s="66">
        <v>0.2</v>
      </c>
      <c r="I239" s="53" t="s">
        <v>483</v>
      </c>
      <c r="J239" s="8">
        <v>89.99</v>
      </c>
      <c r="K239" s="8">
        <f t="shared" si="17"/>
        <v>62.993</v>
      </c>
      <c r="L239" s="32">
        <v>0.3</v>
      </c>
    </row>
    <row r="240" ht="15.75" customHeight="1">
      <c r="A240" s="63">
        <v>45910.0</v>
      </c>
      <c r="B240" s="63">
        <v>45924.0</v>
      </c>
      <c r="C240" s="64" t="s">
        <v>422</v>
      </c>
      <c r="D240" s="64" t="s">
        <v>41</v>
      </c>
      <c r="E240" s="65">
        <v>99.99</v>
      </c>
      <c r="F240" s="8">
        <f t="shared" si="18"/>
        <v>49.995</v>
      </c>
      <c r="G240" s="68">
        <v>0.5</v>
      </c>
      <c r="I240" s="53" t="s">
        <v>484</v>
      </c>
      <c r="J240" s="8">
        <v>99.99</v>
      </c>
      <c r="K240" s="8">
        <f t="shared" si="17"/>
        <v>69.993</v>
      </c>
      <c r="L240" s="32">
        <v>0.3</v>
      </c>
    </row>
    <row r="241" ht="15.75" customHeight="1">
      <c r="A241" s="63">
        <v>45938.0</v>
      </c>
      <c r="B241" s="63">
        <v>45952.0</v>
      </c>
      <c r="C241" s="64" t="s">
        <v>423</v>
      </c>
      <c r="D241" s="64" t="s">
        <v>44</v>
      </c>
      <c r="E241" s="65">
        <v>69.99</v>
      </c>
      <c r="F241" s="8">
        <f t="shared" si="18"/>
        <v>34.995</v>
      </c>
      <c r="G241" s="66">
        <v>0.5</v>
      </c>
    </row>
    <row r="242" ht="15.75" customHeight="1">
      <c r="A242" s="63"/>
      <c r="B242" s="63"/>
      <c r="C242" s="64"/>
      <c r="D242" s="64" t="s">
        <v>43</v>
      </c>
      <c r="E242" s="65" t="s">
        <v>4</v>
      </c>
      <c r="F242" s="8" t="s">
        <v>4</v>
      </c>
      <c r="G242" s="66">
        <v>0.25</v>
      </c>
      <c r="I242" s="53" t="s">
        <v>481</v>
      </c>
      <c r="J242" s="8">
        <v>59.99</v>
      </c>
      <c r="K242" s="90">
        <f t="shared" ref="K242:K244" si="19">J242*(1-L242)</f>
        <v>38.9935</v>
      </c>
      <c r="L242" s="32">
        <v>0.35</v>
      </c>
    </row>
    <row r="243" ht="15.75" customHeight="1">
      <c r="A243" s="63"/>
      <c r="B243" s="63"/>
      <c r="C243" s="64"/>
      <c r="D243" s="64" t="s">
        <v>42</v>
      </c>
      <c r="E243" s="65">
        <v>39.99</v>
      </c>
      <c r="F243" s="8">
        <f t="shared" ref="F243:F244" si="20">E243*(1-G243)</f>
        <v>31.992</v>
      </c>
      <c r="G243" s="66">
        <v>0.2</v>
      </c>
      <c r="I243" s="53" t="s">
        <v>483</v>
      </c>
      <c r="J243" s="8">
        <v>89.99</v>
      </c>
      <c r="K243" s="90">
        <f t="shared" si="19"/>
        <v>58.4935</v>
      </c>
      <c r="L243" s="32">
        <v>0.35</v>
      </c>
    </row>
    <row r="244" ht="15.75" customHeight="1">
      <c r="A244" s="63">
        <v>45952.0</v>
      </c>
      <c r="B244" s="63">
        <v>45966.0</v>
      </c>
      <c r="C244" s="64" t="s">
        <v>491</v>
      </c>
      <c r="D244" s="64" t="s">
        <v>208</v>
      </c>
      <c r="E244" s="65">
        <v>99.99</v>
      </c>
      <c r="F244" s="8">
        <f t="shared" si="20"/>
        <v>49.995</v>
      </c>
      <c r="G244" s="66">
        <v>0.5</v>
      </c>
      <c r="I244" s="53" t="s">
        <v>484</v>
      </c>
      <c r="J244" s="8">
        <v>99.99</v>
      </c>
      <c r="K244" s="8">
        <f t="shared" si="19"/>
        <v>64.9935</v>
      </c>
      <c r="L244" s="32">
        <v>0.35</v>
      </c>
    </row>
    <row r="245" ht="15.75" customHeight="1">
      <c r="A245" s="63">
        <v>45952.0</v>
      </c>
      <c r="B245" s="63">
        <v>45966.0</v>
      </c>
      <c r="C245" s="64" t="s">
        <v>491</v>
      </c>
      <c r="D245" s="64" t="s">
        <v>202</v>
      </c>
      <c r="E245" s="65" t="s">
        <v>4</v>
      </c>
      <c r="F245" s="8" t="s">
        <v>4</v>
      </c>
      <c r="G245" s="66">
        <v>0.15</v>
      </c>
    </row>
    <row r="246" ht="15.75" customHeight="1">
      <c r="A246" s="63">
        <v>45982.0</v>
      </c>
      <c r="B246" s="63">
        <v>45992.0</v>
      </c>
      <c r="C246" s="64" t="s">
        <v>425</v>
      </c>
      <c r="D246" s="64" t="s">
        <v>204</v>
      </c>
      <c r="E246" s="65">
        <v>129.99</v>
      </c>
      <c r="F246" s="8">
        <f>E246*(1-G246)</f>
        <v>89.6931</v>
      </c>
      <c r="G246" s="66">
        <v>0.31</v>
      </c>
    </row>
    <row r="247" ht="15.75" customHeight="1">
      <c r="A247" s="63">
        <v>45982.0</v>
      </c>
      <c r="B247" s="63">
        <v>45992.0</v>
      </c>
      <c r="C247" s="64" t="s">
        <v>425</v>
      </c>
      <c r="D247" s="64" t="s">
        <v>42</v>
      </c>
      <c r="E247" s="65" t="s">
        <v>4</v>
      </c>
      <c r="F247" s="8" t="s">
        <v>4</v>
      </c>
      <c r="G247" s="66">
        <v>0.2</v>
      </c>
    </row>
    <row r="248" ht="15.75" customHeight="1">
      <c r="A248" s="63">
        <v>45982.0</v>
      </c>
      <c r="B248" s="63">
        <v>45992.0</v>
      </c>
      <c r="C248" s="64" t="s">
        <v>425</v>
      </c>
      <c r="D248" s="64" t="s">
        <v>43</v>
      </c>
      <c r="E248" s="65" t="s">
        <v>4</v>
      </c>
      <c r="F248" s="8" t="s">
        <v>4</v>
      </c>
      <c r="G248" s="66">
        <v>0.25</v>
      </c>
    </row>
    <row r="249" ht="15.75" customHeight="1">
      <c r="A249" s="63">
        <v>45982.0</v>
      </c>
      <c r="B249" s="63">
        <v>45992.0</v>
      </c>
      <c r="C249" s="64" t="s">
        <v>425</v>
      </c>
      <c r="D249" s="64" t="s">
        <v>44</v>
      </c>
      <c r="E249" s="65">
        <v>69.99</v>
      </c>
      <c r="F249" s="8">
        <f t="shared" ref="F249:F250" si="21">E249*(1-G249)</f>
        <v>34.995</v>
      </c>
      <c r="G249" s="66">
        <v>0.5</v>
      </c>
    </row>
    <row r="250" ht="15.75" customHeight="1">
      <c r="A250" s="63">
        <v>45992.0</v>
      </c>
      <c r="B250" s="63">
        <v>46007.0</v>
      </c>
      <c r="C250" s="64" t="s">
        <v>426</v>
      </c>
      <c r="D250" s="64" t="s">
        <v>208</v>
      </c>
      <c r="E250" s="65">
        <v>99.99</v>
      </c>
      <c r="F250" s="8">
        <f t="shared" si="21"/>
        <v>39.996</v>
      </c>
      <c r="G250" s="66">
        <v>0.6</v>
      </c>
    </row>
    <row r="251" ht="15.75" customHeight="1">
      <c r="A251" s="63">
        <v>45992.0</v>
      </c>
      <c r="B251" s="63">
        <v>46007.0</v>
      </c>
      <c r="C251" s="64" t="s">
        <v>426</v>
      </c>
      <c r="D251" s="64" t="s">
        <v>493</v>
      </c>
      <c r="E251" s="65" t="s">
        <v>4</v>
      </c>
      <c r="F251" s="8" t="s">
        <v>4</v>
      </c>
      <c r="G251" s="66">
        <v>0.15</v>
      </c>
    </row>
    <row r="252" ht="15.75" customHeight="1">
      <c r="A252" s="63">
        <v>46002.0</v>
      </c>
      <c r="B252" s="63">
        <v>46006.0</v>
      </c>
      <c r="C252" s="64" t="s">
        <v>310</v>
      </c>
      <c r="D252" s="64" t="s">
        <v>43</v>
      </c>
      <c r="E252" s="65" t="s">
        <v>4</v>
      </c>
      <c r="F252" s="8" t="s">
        <v>4</v>
      </c>
      <c r="G252" s="66">
        <v>0.25</v>
      </c>
    </row>
    <row r="253" ht="15.75" customHeight="1">
      <c r="A253" s="63">
        <v>46002.0</v>
      </c>
      <c r="B253" s="63">
        <v>46006.0</v>
      </c>
      <c r="C253" s="64" t="s">
        <v>310</v>
      </c>
      <c r="D253" s="64" t="s">
        <v>44</v>
      </c>
      <c r="E253" s="65">
        <v>69.99</v>
      </c>
      <c r="F253" s="8">
        <f t="shared" ref="F253:F255" si="22">E253*(1-G253)</f>
        <v>34.995</v>
      </c>
      <c r="G253" s="66">
        <v>0.5</v>
      </c>
    </row>
    <row r="254" ht="15.75" customHeight="1">
      <c r="A254" s="63">
        <v>46010.0</v>
      </c>
      <c r="B254" s="63">
        <v>46029.0</v>
      </c>
      <c r="C254" s="64" t="s">
        <v>494</v>
      </c>
      <c r="D254" s="64" t="s">
        <v>204</v>
      </c>
      <c r="E254" s="65">
        <v>129.99</v>
      </c>
      <c r="F254" s="8">
        <f t="shared" si="22"/>
        <v>77.994</v>
      </c>
      <c r="G254" s="66">
        <v>0.4</v>
      </c>
    </row>
    <row r="255" ht="15.75" customHeight="1">
      <c r="A255" s="63">
        <v>46013.0</v>
      </c>
      <c r="B255" s="63">
        <v>46029.0</v>
      </c>
      <c r="C255" s="64" t="s">
        <v>316</v>
      </c>
      <c r="D255" s="64" t="s">
        <v>204</v>
      </c>
      <c r="E255" s="65">
        <v>129.99</v>
      </c>
      <c r="F255" s="8">
        <f t="shared" si="22"/>
        <v>77.994</v>
      </c>
      <c r="G255" s="66">
        <v>0.4</v>
      </c>
    </row>
    <row r="256" ht="15.75" customHeight="1">
      <c r="A256" s="63">
        <v>46013.0</v>
      </c>
      <c r="B256" s="63">
        <v>46029.0</v>
      </c>
      <c r="C256" s="64" t="s">
        <v>316</v>
      </c>
      <c r="D256" s="64" t="s">
        <v>42</v>
      </c>
      <c r="E256" s="65" t="s">
        <v>4</v>
      </c>
      <c r="F256" s="8" t="s">
        <v>4</v>
      </c>
      <c r="G256" s="66">
        <v>0.2</v>
      </c>
    </row>
    <row r="257" ht="15.75" customHeight="1">
      <c r="A257" s="63">
        <v>46013.0</v>
      </c>
      <c r="B257" s="63">
        <v>46029.0</v>
      </c>
      <c r="C257" s="64" t="s">
        <v>316</v>
      </c>
      <c r="D257" s="64" t="s">
        <v>43</v>
      </c>
      <c r="E257" s="65" t="s">
        <v>4</v>
      </c>
      <c r="F257" s="8" t="s">
        <v>4</v>
      </c>
      <c r="G257" s="66">
        <v>0.25</v>
      </c>
    </row>
    <row r="258" ht="15.75" customHeight="1">
      <c r="A258" s="63">
        <v>46013.0</v>
      </c>
      <c r="B258" s="63">
        <v>46029.0</v>
      </c>
      <c r="C258" s="64" t="s">
        <v>316</v>
      </c>
      <c r="D258" s="64" t="s">
        <v>44</v>
      </c>
      <c r="E258" s="65">
        <v>69.99</v>
      </c>
      <c r="F258" s="8">
        <f t="shared" ref="F258:F259" si="23">E258*(1-G258)</f>
        <v>27.996</v>
      </c>
      <c r="G258" s="66">
        <v>0.6</v>
      </c>
    </row>
    <row r="259" ht="15.75" customHeight="1">
      <c r="A259" s="63">
        <v>46027.0</v>
      </c>
      <c r="B259" s="63">
        <v>46043.0</v>
      </c>
      <c r="C259" s="64" t="s">
        <v>317</v>
      </c>
      <c r="D259" s="64" t="s">
        <v>208</v>
      </c>
      <c r="E259" s="65">
        <v>99.99</v>
      </c>
      <c r="F259" s="8">
        <f t="shared" si="23"/>
        <v>39.996</v>
      </c>
      <c r="G259" s="66">
        <v>0.6</v>
      </c>
    </row>
    <row r="260" ht="15.75" customHeight="1">
      <c r="A260" s="63">
        <v>46027.0</v>
      </c>
      <c r="B260" s="63">
        <v>46043.0</v>
      </c>
      <c r="C260" s="64" t="s">
        <v>317</v>
      </c>
      <c r="D260" s="64" t="s">
        <v>202</v>
      </c>
      <c r="E260" s="65" t="s">
        <v>4</v>
      </c>
      <c r="F260" s="8" t="s">
        <v>4</v>
      </c>
      <c r="G260" s="66">
        <v>0.15</v>
      </c>
    </row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H77:H86"/>
    <mergeCell ref="H92:H102"/>
    <mergeCell ref="H108:H118"/>
    <mergeCell ref="A161:G161"/>
    <mergeCell ref="A216:G216"/>
    <mergeCell ref="A1:G1"/>
    <mergeCell ref="A3:G3"/>
    <mergeCell ref="H14:H23"/>
    <mergeCell ref="H25:H34"/>
    <mergeCell ref="H36:H45"/>
    <mergeCell ref="H49:H58"/>
    <mergeCell ref="H62:H71"/>
  </mergeCells>
  <drawing r:id="rId1"/>
  <tableParts count="2"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75"/>
    <col customWidth="1" min="2" max="2" width="7.88"/>
    <col customWidth="1" min="3" max="3" width="31.5"/>
    <col customWidth="1" min="4" max="4" width="20.88"/>
    <col customWidth="1" min="5" max="5" width="15.75"/>
    <col customWidth="1" min="6" max="6" width="15.0"/>
    <col customWidth="1" min="7" max="7" width="9.38"/>
  </cols>
  <sheetData>
    <row r="1" ht="15.75" customHeight="1">
      <c r="A1" s="2">
        <v>2025.0</v>
      </c>
    </row>
    <row r="2" ht="15.75" customHeight="1">
      <c r="A2" s="4" t="s">
        <v>2</v>
      </c>
      <c r="B2" s="4" t="s">
        <v>6</v>
      </c>
      <c r="C2" s="4" t="s">
        <v>7</v>
      </c>
      <c r="D2" s="4" t="s">
        <v>8</v>
      </c>
      <c r="E2" s="7" t="s">
        <v>9</v>
      </c>
      <c r="F2" s="7" t="s">
        <v>10</v>
      </c>
      <c r="G2" s="7" t="s">
        <v>11</v>
      </c>
    </row>
    <row r="3" ht="15.75" customHeight="1">
      <c r="A3" s="9" t="s">
        <v>14</v>
      </c>
    </row>
    <row r="4" ht="15.75" customHeight="1">
      <c r="A4" s="11">
        <v>45904.0</v>
      </c>
      <c r="B4" s="12">
        <v>45915.0</v>
      </c>
      <c r="C4" s="1" t="s">
        <v>72</v>
      </c>
      <c r="D4" s="6" t="s">
        <v>31</v>
      </c>
      <c r="E4" s="14">
        <v>39.99</v>
      </c>
      <c r="F4" s="15">
        <f t="shared" ref="F4:F6" si="1">E4*(1-G4)</f>
        <v>31.992</v>
      </c>
      <c r="G4" s="16">
        <v>0.2</v>
      </c>
    </row>
    <row r="5" ht="15.75" customHeight="1">
      <c r="A5" s="11">
        <v>45904.0</v>
      </c>
      <c r="B5" s="12">
        <v>45915.0</v>
      </c>
      <c r="C5" s="1" t="s">
        <v>72</v>
      </c>
      <c r="D5" s="6" t="s">
        <v>46</v>
      </c>
      <c r="E5" s="14">
        <v>49.99</v>
      </c>
      <c r="F5" s="15">
        <f t="shared" si="1"/>
        <v>37.4925</v>
      </c>
      <c r="G5" s="16">
        <v>0.25</v>
      </c>
    </row>
    <row r="6" ht="15.75" customHeight="1">
      <c r="A6" s="11">
        <v>45904.0</v>
      </c>
      <c r="B6" s="12">
        <v>45915.0</v>
      </c>
      <c r="C6" s="1" t="s">
        <v>72</v>
      </c>
      <c r="D6" s="6" t="s">
        <v>48</v>
      </c>
      <c r="E6" s="14">
        <v>14.99</v>
      </c>
      <c r="F6" s="15">
        <f t="shared" si="1"/>
        <v>14.99</v>
      </c>
      <c r="G6" s="16">
        <v>0.0</v>
      </c>
    </row>
    <row r="7" ht="15.75" customHeight="1"/>
    <row r="8" ht="15.75" customHeight="1">
      <c r="A8" s="11">
        <v>45929.0</v>
      </c>
      <c r="B8" s="12">
        <v>45936.0</v>
      </c>
      <c r="C8" s="1" t="s">
        <v>75</v>
      </c>
      <c r="D8" s="6" t="s">
        <v>31</v>
      </c>
      <c r="E8" s="14">
        <v>39.99</v>
      </c>
      <c r="F8" s="15">
        <f t="shared" ref="F8:F10" si="2">E8*(1-G8)</f>
        <v>29.9925</v>
      </c>
      <c r="G8" s="16">
        <v>0.25</v>
      </c>
    </row>
    <row r="9" ht="15.75" customHeight="1">
      <c r="A9" s="11">
        <v>45929.0</v>
      </c>
      <c r="B9" s="12">
        <v>45936.0</v>
      </c>
      <c r="C9" s="1" t="s">
        <v>75</v>
      </c>
      <c r="D9" s="6" t="s">
        <v>46</v>
      </c>
      <c r="E9" s="14">
        <v>49.99</v>
      </c>
      <c r="F9" s="15">
        <f t="shared" si="2"/>
        <v>34.993</v>
      </c>
      <c r="G9" s="16">
        <v>0.3</v>
      </c>
    </row>
    <row r="10" ht="15.75" customHeight="1">
      <c r="A10" s="11">
        <v>45929.0</v>
      </c>
      <c r="B10" s="12">
        <v>45936.0</v>
      </c>
      <c r="C10" s="1" t="s">
        <v>75</v>
      </c>
      <c r="D10" s="6" t="s">
        <v>48</v>
      </c>
      <c r="E10" s="14">
        <v>14.99</v>
      </c>
      <c r="F10" s="15">
        <f t="shared" si="2"/>
        <v>14.99</v>
      </c>
      <c r="G10" s="16">
        <v>0.0</v>
      </c>
    </row>
    <row r="11" ht="15.75" customHeight="1"/>
    <row r="12" ht="15.75" customHeight="1">
      <c r="A12" s="11">
        <v>46350.0</v>
      </c>
      <c r="B12" s="12">
        <v>46357.0</v>
      </c>
      <c r="C12" s="1" t="s">
        <v>408</v>
      </c>
      <c r="D12" s="18" t="s">
        <v>31</v>
      </c>
      <c r="E12" s="14">
        <v>39.99</v>
      </c>
      <c r="F12" s="15">
        <f t="shared" ref="F12:F14" si="3">E12*(1-G12)</f>
        <v>27.993</v>
      </c>
      <c r="G12" s="16">
        <v>0.3</v>
      </c>
    </row>
    <row r="13" ht="15.75" customHeight="1">
      <c r="A13" s="11">
        <v>46350.0</v>
      </c>
      <c r="B13" s="12">
        <v>46357.0</v>
      </c>
      <c r="C13" s="1" t="s">
        <v>408</v>
      </c>
      <c r="D13" s="18" t="s">
        <v>46</v>
      </c>
      <c r="E13" s="14">
        <v>49.99</v>
      </c>
      <c r="F13" s="15">
        <f t="shared" si="3"/>
        <v>32.4935</v>
      </c>
      <c r="G13" s="16">
        <v>0.35</v>
      </c>
    </row>
    <row r="14" ht="15.75" customHeight="1">
      <c r="A14" s="11">
        <v>46350.0</v>
      </c>
      <c r="B14" s="12">
        <v>46357.0</v>
      </c>
      <c r="C14" s="1" t="s">
        <v>408</v>
      </c>
      <c r="D14" s="6" t="s">
        <v>48</v>
      </c>
      <c r="E14" s="14">
        <v>14.99</v>
      </c>
      <c r="F14" s="15">
        <f t="shared" si="3"/>
        <v>14.99</v>
      </c>
      <c r="G14" s="16">
        <v>0.0</v>
      </c>
    </row>
    <row r="15" ht="15.75" customHeight="1"/>
    <row r="16" ht="15.75" customHeight="1">
      <c r="A16" s="11">
        <v>46374.0</v>
      </c>
      <c r="B16" s="12">
        <v>46027.0</v>
      </c>
      <c r="C16" s="1" t="s">
        <v>410</v>
      </c>
      <c r="D16" s="6" t="s">
        <v>31</v>
      </c>
      <c r="E16" s="14">
        <v>39.99</v>
      </c>
      <c r="F16" s="15">
        <f t="shared" ref="F16:F18" si="4">E16*(1-G16)</f>
        <v>27.993</v>
      </c>
      <c r="G16" s="16">
        <v>0.3</v>
      </c>
    </row>
    <row r="17" ht="15.75" customHeight="1">
      <c r="A17" s="11">
        <v>46374.0</v>
      </c>
      <c r="B17" s="12">
        <v>46027.0</v>
      </c>
      <c r="C17" s="1" t="s">
        <v>410</v>
      </c>
      <c r="D17" s="6" t="s">
        <v>46</v>
      </c>
      <c r="E17" s="14">
        <v>49.99</v>
      </c>
      <c r="F17" s="15">
        <f t="shared" si="4"/>
        <v>32.4935</v>
      </c>
      <c r="G17" s="16">
        <v>0.35</v>
      </c>
    </row>
    <row r="18" ht="15.75" customHeight="1">
      <c r="A18" s="11">
        <v>46374.0</v>
      </c>
      <c r="B18" s="12">
        <v>46027.0</v>
      </c>
      <c r="C18" s="1" t="s">
        <v>410</v>
      </c>
      <c r="D18" s="6" t="s">
        <v>48</v>
      </c>
      <c r="E18" s="14">
        <v>14.99</v>
      </c>
      <c r="F18" s="15">
        <f t="shared" si="4"/>
        <v>14.99</v>
      </c>
      <c r="G18" s="16">
        <v>0.0</v>
      </c>
    </row>
    <row r="19" ht="15.75" customHeight="1"/>
    <row r="20" ht="15.75" customHeight="1"/>
    <row r="21" ht="15.75" customHeight="1">
      <c r="A21" s="39" t="s">
        <v>78</v>
      </c>
    </row>
    <row r="22" ht="15.75" customHeight="1">
      <c r="A22" s="43">
        <v>45853.0</v>
      </c>
      <c r="B22" s="43">
        <v>45859.0</v>
      </c>
      <c r="C22" s="44" t="s">
        <v>92</v>
      </c>
      <c r="D22" s="6" t="s">
        <v>31</v>
      </c>
      <c r="E22" s="8" t="s">
        <v>88</v>
      </c>
      <c r="F22" s="8" t="s">
        <v>165</v>
      </c>
      <c r="G22" s="46">
        <v>0.2</v>
      </c>
    </row>
    <row r="23" ht="15.75" customHeight="1">
      <c r="A23" s="43">
        <v>45888.0</v>
      </c>
      <c r="B23" s="43">
        <v>45902.0</v>
      </c>
      <c r="C23" s="44" t="s">
        <v>412</v>
      </c>
      <c r="D23" s="6" t="s">
        <v>31</v>
      </c>
      <c r="E23" s="8" t="s">
        <v>88</v>
      </c>
      <c r="F23" s="8" t="s">
        <v>165</v>
      </c>
      <c r="G23" s="46">
        <v>0.2</v>
      </c>
    </row>
    <row r="24" ht="15.75" customHeight="1">
      <c r="A24" s="43">
        <v>46302.0</v>
      </c>
      <c r="B24" s="43">
        <v>46315.0</v>
      </c>
      <c r="C24" s="44" t="s">
        <v>413</v>
      </c>
      <c r="D24" s="6" t="s">
        <v>31</v>
      </c>
      <c r="E24" s="8" t="s">
        <v>88</v>
      </c>
      <c r="F24" s="8" t="s">
        <v>165</v>
      </c>
      <c r="G24" s="46">
        <v>0.2</v>
      </c>
    </row>
    <row r="25" ht="15.75" customHeight="1">
      <c r="A25" s="43">
        <v>46323.0</v>
      </c>
      <c r="B25" s="43">
        <v>46329.0</v>
      </c>
      <c r="C25" s="44" t="s">
        <v>92</v>
      </c>
      <c r="D25" s="6" t="s">
        <v>46</v>
      </c>
      <c r="E25" s="8" t="s">
        <v>95</v>
      </c>
      <c r="F25" s="8" t="s">
        <v>415</v>
      </c>
      <c r="G25" s="46">
        <v>0.25</v>
      </c>
    </row>
    <row r="26" ht="15.75" customHeight="1">
      <c r="A26" s="43">
        <v>46346.0</v>
      </c>
      <c r="B26" s="43">
        <v>46359.0</v>
      </c>
      <c r="C26" s="44" t="s">
        <v>103</v>
      </c>
      <c r="D26" s="6" t="s">
        <v>31</v>
      </c>
      <c r="E26" s="8" t="s">
        <v>88</v>
      </c>
      <c r="F26" s="8" t="s">
        <v>89</v>
      </c>
      <c r="G26" s="46">
        <v>0.25</v>
      </c>
    </row>
    <row r="27" ht="15.75" customHeight="1">
      <c r="A27" s="43">
        <v>46360.0</v>
      </c>
      <c r="B27" s="43">
        <v>46373.0</v>
      </c>
      <c r="C27" s="44" t="s">
        <v>417</v>
      </c>
      <c r="D27" s="6" t="s">
        <v>46</v>
      </c>
      <c r="E27" s="8" t="s">
        <v>95</v>
      </c>
      <c r="F27" s="8" t="s">
        <v>96</v>
      </c>
      <c r="G27" s="46">
        <v>0.3</v>
      </c>
    </row>
    <row r="28" ht="15.75" customHeight="1">
      <c r="A28" s="43">
        <v>46374.0</v>
      </c>
      <c r="B28" s="43">
        <v>46029.0</v>
      </c>
      <c r="C28" s="44" t="s">
        <v>106</v>
      </c>
      <c r="D28" s="6" t="s">
        <v>31</v>
      </c>
      <c r="E28" s="8" t="s">
        <v>88</v>
      </c>
      <c r="F28" s="8" t="s">
        <v>115</v>
      </c>
      <c r="G28" s="46">
        <v>0.3</v>
      </c>
    </row>
    <row r="29" ht="15.75" customHeight="1"/>
    <row r="30" ht="15.75" customHeight="1">
      <c r="A30" s="42" t="s">
        <v>107</v>
      </c>
    </row>
    <row r="31" ht="15.75" customHeight="1">
      <c r="A31" s="43">
        <v>45854.0</v>
      </c>
      <c r="B31" s="43">
        <v>45868.0</v>
      </c>
      <c r="C31" s="44" t="s">
        <v>419</v>
      </c>
      <c r="D31" s="6" t="s">
        <v>140</v>
      </c>
      <c r="E31" s="8">
        <v>39.99</v>
      </c>
      <c r="F31" s="8">
        <f t="shared" ref="F31:F46" si="5">E31*(1-G31)</f>
        <v>31.992</v>
      </c>
      <c r="G31" s="46">
        <v>0.2</v>
      </c>
    </row>
    <row r="32" ht="15.75" customHeight="1">
      <c r="A32" s="43">
        <v>45896.0</v>
      </c>
      <c r="B32" s="43">
        <v>45910.0</v>
      </c>
      <c r="C32" s="44" t="s">
        <v>421</v>
      </c>
      <c r="D32" s="6" t="s">
        <v>140</v>
      </c>
      <c r="E32" s="8">
        <v>39.99</v>
      </c>
      <c r="F32" s="8">
        <f t="shared" si="5"/>
        <v>31.992</v>
      </c>
      <c r="G32" s="46">
        <v>0.2</v>
      </c>
    </row>
    <row r="33" ht="15.75" customHeight="1">
      <c r="A33" s="43">
        <v>45910.0</v>
      </c>
      <c r="B33" s="43">
        <v>45924.0</v>
      </c>
      <c r="C33" s="44" t="s">
        <v>422</v>
      </c>
      <c r="D33" s="6" t="s">
        <v>117</v>
      </c>
      <c r="E33" s="8">
        <v>49.99</v>
      </c>
      <c r="F33" s="8">
        <f t="shared" si="5"/>
        <v>39.992</v>
      </c>
      <c r="G33" s="46">
        <v>0.2</v>
      </c>
    </row>
    <row r="34" ht="15.75" customHeight="1">
      <c r="A34" s="43">
        <v>45938.0</v>
      </c>
      <c r="B34" s="43">
        <v>45952.0</v>
      </c>
      <c r="C34" s="44" t="s">
        <v>423</v>
      </c>
      <c r="D34" s="6" t="s">
        <v>140</v>
      </c>
      <c r="E34" s="8">
        <v>39.99</v>
      </c>
      <c r="F34" s="8">
        <f t="shared" si="5"/>
        <v>31.992</v>
      </c>
      <c r="G34" s="46">
        <v>0.2</v>
      </c>
    </row>
    <row r="35" ht="15.75" customHeight="1">
      <c r="A35" s="43">
        <v>45952.0</v>
      </c>
      <c r="B35" s="43">
        <v>45967.0</v>
      </c>
      <c r="C35" s="44" t="s">
        <v>424</v>
      </c>
      <c r="D35" s="6" t="s">
        <v>117</v>
      </c>
      <c r="E35" s="8">
        <v>49.99</v>
      </c>
      <c r="F35" s="8">
        <f t="shared" si="5"/>
        <v>37.4925</v>
      </c>
      <c r="G35" s="46">
        <v>0.25</v>
      </c>
    </row>
    <row r="36" ht="15.75" customHeight="1">
      <c r="A36" s="43">
        <v>45982.0</v>
      </c>
      <c r="B36" s="43">
        <v>45992.0</v>
      </c>
      <c r="C36" s="44" t="s">
        <v>425</v>
      </c>
      <c r="D36" s="6" t="s">
        <v>140</v>
      </c>
      <c r="E36" s="8">
        <v>39.99</v>
      </c>
      <c r="F36" s="8">
        <f t="shared" si="5"/>
        <v>29.9925</v>
      </c>
      <c r="G36" s="46">
        <v>0.25</v>
      </c>
    </row>
    <row r="37" ht="15.75" customHeight="1">
      <c r="A37" s="43">
        <v>45992.0</v>
      </c>
      <c r="B37" s="43">
        <v>46007.0</v>
      </c>
      <c r="C37" s="44" t="s">
        <v>426</v>
      </c>
      <c r="D37" s="6" t="s">
        <v>117</v>
      </c>
      <c r="E37" s="8">
        <v>49.99</v>
      </c>
      <c r="F37" s="8">
        <f t="shared" si="5"/>
        <v>32.4935</v>
      </c>
      <c r="G37" s="46">
        <v>0.35</v>
      </c>
    </row>
    <row r="38" ht="15.75" customHeight="1">
      <c r="A38" s="43">
        <v>46010.0</v>
      </c>
      <c r="B38" s="43">
        <v>46012.0</v>
      </c>
      <c r="C38" s="44" t="s">
        <v>427</v>
      </c>
      <c r="D38" s="6" t="s">
        <v>140</v>
      </c>
      <c r="E38" s="8">
        <v>39.99</v>
      </c>
      <c r="F38" s="8">
        <f t="shared" si="5"/>
        <v>27.993</v>
      </c>
      <c r="G38" s="46">
        <v>0.3</v>
      </c>
    </row>
    <row r="39" ht="15.75" customHeight="1">
      <c r="A39" s="43">
        <v>46013.0</v>
      </c>
      <c r="B39" s="43">
        <v>46029.0</v>
      </c>
      <c r="C39" s="44" t="s">
        <v>139</v>
      </c>
      <c r="D39" s="6" t="s">
        <v>140</v>
      </c>
      <c r="E39" s="8">
        <v>39.99</v>
      </c>
      <c r="F39" s="8">
        <f t="shared" si="5"/>
        <v>27.993</v>
      </c>
      <c r="G39" s="46">
        <v>0.3</v>
      </c>
    </row>
    <row r="40" ht="15.75" customHeight="1">
      <c r="A40" s="43">
        <v>46027.0</v>
      </c>
      <c r="B40" s="43">
        <v>46043.0</v>
      </c>
      <c r="C40" s="44" t="s">
        <v>142</v>
      </c>
      <c r="D40" s="6" t="s">
        <v>117</v>
      </c>
      <c r="E40" s="8">
        <v>49.99</v>
      </c>
      <c r="F40" s="8">
        <f t="shared" si="5"/>
        <v>32.4935</v>
      </c>
      <c r="G40" s="46">
        <v>0.35</v>
      </c>
    </row>
    <row r="41" ht="15.75" customHeight="1">
      <c r="A41" s="43">
        <v>46057.0</v>
      </c>
      <c r="B41" s="43">
        <v>46078.0</v>
      </c>
      <c r="C41" s="44" t="s">
        <v>143</v>
      </c>
      <c r="D41" s="6" t="s">
        <v>140</v>
      </c>
      <c r="E41" s="8">
        <v>39.99</v>
      </c>
      <c r="F41" s="8">
        <f t="shared" si="5"/>
        <v>27.993</v>
      </c>
      <c r="G41" s="46">
        <v>0.3</v>
      </c>
    </row>
    <row r="42" ht="15.75" customHeight="1">
      <c r="A42" s="43">
        <v>46078.0</v>
      </c>
      <c r="B42" s="43">
        <v>46092.0</v>
      </c>
      <c r="C42" s="44" t="s">
        <v>144</v>
      </c>
      <c r="D42" s="6" t="s">
        <v>117</v>
      </c>
      <c r="E42" s="8">
        <v>49.99</v>
      </c>
      <c r="F42" s="8">
        <f t="shared" si="5"/>
        <v>32.4935</v>
      </c>
      <c r="G42" s="46">
        <v>0.35</v>
      </c>
    </row>
    <row r="43" ht="15.75" customHeight="1">
      <c r="A43" s="43">
        <v>46101.0</v>
      </c>
      <c r="B43" s="43">
        <v>46105.0</v>
      </c>
      <c r="C43" s="44" t="s">
        <v>145</v>
      </c>
      <c r="D43" s="6" t="s">
        <v>140</v>
      </c>
      <c r="E43" s="8">
        <v>39.99</v>
      </c>
      <c r="F43" s="8">
        <f t="shared" si="5"/>
        <v>27.993</v>
      </c>
      <c r="G43" s="46">
        <v>0.3</v>
      </c>
    </row>
    <row r="44" ht="15.75" customHeight="1">
      <c r="A44" s="43">
        <v>46106.0</v>
      </c>
      <c r="B44" s="43">
        <v>46120.0</v>
      </c>
      <c r="C44" s="44" t="s">
        <v>146</v>
      </c>
      <c r="D44" s="6" t="s">
        <v>140</v>
      </c>
      <c r="E44" s="8">
        <v>39.99</v>
      </c>
      <c r="F44" s="8">
        <f t="shared" si="5"/>
        <v>27.993</v>
      </c>
      <c r="G44" s="46">
        <v>0.3</v>
      </c>
    </row>
    <row r="45" ht="15.75" customHeight="1">
      <c r="A45" s="43">
        <v>46120.0</v>
      </c>
      <c r="B45" s="43">
        <v>46134.0</v>
      </c>
      <c r="C45" s="44" t="s">
        <v>147</v>
      </c>
      <c r="D45" s="6" t="s">
        <v>117</v>
      </c>
      <c r="E45" s="8">
        <v>49.99</v>
      </c>
      <c r="F45" s="8">
        <f t="shared" si="5"/>
        <v>32.4935</v>
      </c>
      <c r="G45" s="46">
        <v>0.35</v>
      </c>
    </row>
    <row r="46" ht="15.75" customHeight="1">
      <c r="A46" s="43">
        <v>46148.0</v>
      </c>
      <c r="B46" s="43">
        <v>46163.0</v>
      </c>
      <c r="C46" s="44" t="s">
        <v>108</v>
      </c>
      <c r="D46" s="6" t="s">
        <v>140</v>
      </c>
      <c r="E46" s="8">
        <v>39.99</v>
      </c>
      <c r="F46" s="8">
        <f t="shared" si="5"/>
        <v>27.993</v>
      </c>
      <c r="G46" s="46">
        <v>0.3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G1"/>
    <mergeCell ref="A3:G3"/>
    <mergeCell ref="A21:G21"/>
    <mergeCell ref="A30:G30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7.88"/>
    <col customWidth="1" min="3" max="3" width="31.5"/>
    <col customWidth="1" min="4" max="4" width="37.75"/>
    <col customWidth="1" min="5" max="5" width="15.75"/>
    <col customWidth="1" min="6" max="6" width="15.0"/>
    <col customWidth="1" min="7" max="7" width="9.38"/>
  </cols>
  <sheetData>
    <row r="1" ht="15.75" customHeight="1">
      <c r="A1" s="2">
        <v>2025.0</v>
      </c>
    </row>
    <row r="2" ht="15.75" customHeight="1">
      <c r="A2" s="4" t="s">
        <v>2</v>
      </c>
      <c r="B2" s="4" t="s">
        <v>6</v>
      </c>
      <c r="C2" s="4" t="s">
        <v>7</v>
      </c>
      <c r="D2" s="4" t="s">
        <v>8</v>
      </c>
      <c r="E2" s="7" t="s">
        <v>9</v>
      </c>
      <c r="F2" s="7" t="s">
        <v>10</v>
      </c>
      <c r="G2" s="7" t="s">
        <v>11</v>
      </c>
      <c r="H2" s="5" t="s">
        <v>73</v>
      </c>
    </row>
    <row r="3" ht="15.75" customHeight="1">
      <c r="A3" s="9" t="s">
        <v>14</v>
      </c>
    </row>
    <row r="4" ht="15.75" customHeight="1">
      <c r="A4" s="11">
        <v>45670.0</v>
      </c>
      <c r="B4" s="12">
        <v>45684.0</v>
      </c>
      <c r="C4" s="1" t="s">
        <v>433</v>
      </c>
      <c r="D4" s="33" t="s">
        <v>24</v>
      </c>
      <c r="E4" s="14">
        <v>29.99</v>
      </c>
      <c r="F4" s="15">
        <f t="shared" ref="F4:F17" si="1">E4*(1-G4)</f>
        <v>14.995</v>
      </c>
      <c r="G4" s="16">
        <v>0.5</v>
      </c>
    </row>
    <row r="5" ht="15.75" customHeight="1">
      <c r="A5" s="11">
        <v>45670.0</v>
      </c>
      <c r="B5" s="12">
        <v>45684.0</v>
      </c>
      <c r="C5" s="1" t="s">
        <v>433</v>
      </c>
      <c r="D5" s="33" t="s">
        <v>76</v>
      </c>
      <c r="E5" s="14">
        <v>39.99</v>
      </c>
      <c r="F5" s="15">
        <f t="shared" si="1"/>
        <v>19.995</v>
      </c>
      <c r="G5" s="16">
        <v>0.5</v>
      </c>
    </row>
    <row r="6" ht="15.75" customHeight="1">
      <c r="A6" s="11">
        <v>45670.0</v>
      </c>
      <c r="B6" s="12">
        <v>45684.0</v>
      </c>
      <c r="C6" s="1" t="s">
        <v>433</v>
      </c>
      <c r="D6" s="33" t="s">
        <v>77</v>
      </c>
      <c r="E6" s="14">
        <v>64.77</v>
      </c>
      <c r="F6" s="15">
        <f t="shared" si="1"/>
        <v>34.9758</v>
      </c>
      <c r="G6" s="16">
        <v>0.46</v>
      </c>
    </row>
    <row r="7" ht="15.75" customHeight="1">
      <c r="A7" s="11">
        <v>45670.0</v>
      </c>
      <c r="B7" s="12">
        <v>45684.0</v>
      </c>
      <c r="C7" s="1" t="s">
        <v>433</v>
      </c>
      <c r="D7" s="33" t="s">
        <v>79</v>
      </c>
      <c r="E7" s="14">
        <v>84.99</v>
      </c>
      <c r="F7" s="15">
        <f t="shared" si="1"/>
        <v>50.994</v>
      </c>
      <c r="G7" s="16">
        <v>0.4</v>
      </c>
    </row>
    <row r="8" ht="15.75" customHeight="1">
      <c r="A8" s="11">
        <v>45670.0</v>
      </c>
      <c r="B8" s="12">
        <v>45684.0</v>
      </c>
      <c r="C8" s="1" t="s">
        <v>433</v>
      </c>
      <c r="D8" s="41" t="s">
        <v>80</v>
      </c>
      <c r="E8" s="14">
        <v>104.99</v>
      </c>
      <c r="F8" s="15">
        <f t="shared" si="1"/>
        <v>75.5928</v>
      </c>
      <c r="G8" s="16">
        <v>0.28</v>
      </c>
    </row>
    <row r="9" ht="15.75" customHeight="1">
      <c r="A9" s="11">
        <v>45670.0</v>
      </c>
      <c r="B9" s="12">
        <v>45684.0</v>
      </c>
      <c r="C9" s="1" t="s">
        <v>433</v>
      </c>
      <c r="D9" s="33" t="s">
        <v>82</v>
      </c>
      <c r="E9" s="14">
        <v>6.99</v>
      </c>
      <c r="F9" s="15">
        <f t="shared" si="1"/>
        <v>4.5435</v>
      </c>
      <c r="G9" s="16">
        <v>0.35</v>
      </c>
    </row>
    <row r="10" ht="15.75" customHeight="1">
      <c r="A10" s="11">
        <v>45670.0</v>
      </c>
      <c r="B10" s="12">
        <v>45684.0</v>
      </c>
      <c r="C10" s="1" t="s">
        <v>433</v>
      </c>
      <c r="D10" s="41" t="s">
        <v>83</v>
      </c>
      <c r="E10" s="14">
        <v>11.99</v>
      </c>
      <c r="F10" s="15">
        <f t="shared" si="1"/>
        <v>7.7935</v>
      </c>
      <c r="G10" s="23">
        <v>0.35</v>
      </c>
      <c r="H10" s="5" t="s">
        <v>434</v>
      </c>
    </row>
    <row r="11" ht="15.75" customHeight="1">
      <c r="A11" s="11">
        <v>45670.0</v>
      </c>
      <c r="B11" s="12">
        <v>45684.0</v>
      </c>
      <c r="C11" s="1" t="s">
        <v>433</v>
      </c>
      <c r="D11" s="41" t="s">
        <v>84</v>
      </c>
      <c r="E11" s="14">
        <v>6.99</v>
      </c>
      <c r="F11" s="15">
        <f t="shared" si="1"/>
        <v>4.893</v>
      </c>
      <c r="G11" s="23">
        <v>0.3</v>
      </c>
      <c r="H11" s="80">
        <v>45444.0</v>
      </c>
    </row>
    <row r="12" ht="15.75" customHeight="1">
      <c r="A12" s="11">
        <v>45670.0</v>
      </c>
      <c r="B12" s="12">
        <v>45684.0</v>
      </c>
      <c r="C12" s="1" t="s">
        <v>433</v>
      </c>
      <c r="D12" s="41" t="s">
        <v>85</v>
      </c>
      <c r="E12" s="14">
        <v>6.99</v>
      </c>
      <c r="F12" s="15">
        <f t="shared" si="1"/>
        <v>5.2425</v>
      </c>
      <c r="G12" s="23">
        <v>0.25</v>
      </c>
      <c r="H12" s="75">
        <v>45536.0</v>
      </c>
    </row>
    <row r="13" ht="15.75" customHeight="1">
      <c r="A13" s="11">
        <v>45670.0</v>
      </c>
      <c r="B13" s="12">
        <v>45684.0</v>
      </c>
      <c r="C13" s="1" t="s">
        <v>433</v>
      </c>
      <c r="D13" s="41" t="s">
        <v>97</v>
      </c>
      <c r="E13" s="14">
        <v>3.99</v>
      </c>
      <c r="F13" s="15">
        <f t="shared" si="1"/>
        <v>3.192</v>
      </c>
      <c r="G13" s="16">
        <v>0.2</v>
      </c>
    </row>
    <row r="14" ht="15.75" customHeight="1">
      <c r="A14" s="11">
        <v>45670.0</v>
      </c>
      <c r="B14" s="12">
        <v>45684.0</v>
      </c>
      <c r="C14" s="1" t="s">
        <v>433</v>
      </c>
      <c r="D14" s="41" t="s">
        <v>99</v>
      </c>
      <c r="E14" s="15">
        <v>24.99</v>
      </c>
      <c r="F14" s="15">
        <f t="shared" si="1"/>
        <v>17.493</v>
      </c>
      <c r="G14" s="16">
        <v>0.3</v>
      </c>
    </row>
    <row r="15" ht="15.75" customHeight="1">
      <c r="A15" s="11">
        <v>45670.0</v>
      </c>
      <c r="B15" s="12">
        <v>45684.0</v>
      </c>
      <c r="C15" s="1" t="s">
        <v>433</v>
      </c>
      <c r="D15" s="41" t="s">
        <v>100</v>
      </c>
      <c r="E15" s="15">
        <v>24.99</v>
      </c>
      <c r="F15" s="15">
        <f t="shared" si="1"/>
        <v>17.493</v>
      </c>
      <c r="G15" s="16">
        <v>0.3</v>
      </c>
    </row>
    <row r="16" ht="15.75" customHeight="1">
      <c r="A16" s="11">
        <v>45670.0</v>
      </c>
      <c r="B16" s="12">
        <v>45684.0</v>
      </c>
      <c r="C16" s="1" t="s">
        <v>433</v>
      </c>
      <c r="D16" s="41" t="s">
        <v>102</v>
      </c>
      <c r="E16" s="15">
        <v>24.99</v>
      </c>
      <c r="F16" s="15">
        <f t="shared" si="1"/>
        <v>18.7425</v>
      </c>
      <c r="G16" s="16">
        <v>0.25</v>
      </c>
    </row>
    <row r="17" ht="15.75" customHeight="1">
      <c r="A17" s="11">
        <v>45670.0</v>
      </c>
      <c r="B17" s="12">
        <v>45684.0</v>
      </c>
      <c r="C17" s="1" t="s">
        <v>433</v>
      </c>
      <c r="D17" s="41" t="s">
        <v>104</v>
      </c>
      <c r="E17" s="15">
        <v>24.99</v>
      </c>
      <c r="F17" s="15">
        <f t="shared" si="1"/>
        <v>24.99</v>
      </c>
      <c r="G17" s="16">
        <v>0.0</v>
      </c>
    </row>
    <row r="18" ht="15.75" customHeight="1"/>
    <row r="19" ht="15.75" customHeight="1">
      <c r="A19" s="11">
        <v>45715.0</v>
      </c>
      <c r="B19" s="12">
        <v>45727.0</v>
      </c>
      <c r="C19" s="1" t="s">
        <v>435</v>
      </c>
      <c r="D19" s="33" t="s">
        <v>24</v>
      </c>
      <c r="E19" s="14">
        <v>29.99</v>
      </c>
      <c r="F19" s="15">
        <f t="shared" ref="F19:F32" si="2">E19*(1-G19)</f>
        <v>14.995</v>
      </c>
      <c r="G19" s="16">
        <v>0.5</v>
      </c>
    </row>
    <row r="20" ht="15.75" customHeight="1">
      <c r="A20" s="11">
        <v>45715.0</v>
      </c>
      <c r="B20" s="12">
        <v>45727.0</v>
      </c>
      <c r="C20" s="1" t="s">
        <v>435</v>
      </c>
      <c r="D20" s="33" t="s">
        <v>76</v>
      </c>
      <c r="E20" s="14">
        <v>39.99</v>
      </c>
      <c r="F20" s="15">
        <f t="shared" si="2"/>
        <v>19.995</v>
      </c>
      <c r="G20" s="16">
        <v>0.5</v>
      </c>
    </row>
    <row r="21" ht="15.75" customHeight="1">
      <c r="A21" s="11">
        <v>45715.0</v>
      </c>
      <c r="B21" s="12">
        <v>45727.0</v>
      </c>
      <c r="C21" s="1" t="s">
        <v>435</v>
      </c>
      <c r="D21" s="33" t="s">
        <v>77</v>
      </c>
      <c r="E21" s="14">
        <v>64.77</v>
      </c>
      <c r="F21" s="15">
        <f t="shared" si="2"/>
        <v>34.9758</v>
      </c>
      <c r="G21" s="16">
        <v>0.46</v>
      </c>
    </row>
    <row r="22" ht="15.75" customHeight="1">
      <c r="A22" s="11">
        <v>45715.0</v>
      </c>
      <c r="B22" s="12">
        <v>45727.0</v>
      </c>
      <c r="C22" s="1" t="s">
        <v>435</v>
      </c>
      <c r="D22" s="33" t="s">
        <v>79</v>
      </c>
      <c r="E22" s="14">
        <v>84.99</v>
      </c>
      <c r="F22" s="15">
        <f t="shared" si="2"/>
        <v>50.994</v>
      </c>
      <c r="G22" s="16">
        <v>0.4</v>
      </c>
    </row>
    <row r="23" ht="15.75" customHeight="1">
      <c r="A23" s="11">
        <v>45715.0</v>
      </c>
      <c r="B23" s="12">
        <v>45727.0</v>
      </c>
      <c r="C23" s="1" t="s">
        <v>435</v>
      </c>
      <c r="D23" s="41" t="s">
        <v>80</v>
      </c>
      <c r="E23" s="14">
        <v>104.99</v>
      </c>
      <c r="F23" s="15">
        <f t="shared" si="2"/>
        <v>75.5928</v>
      </c>
      <c r="G23" s="16">
        <v>0.28</v>
      </c>
    </row>
    <row r="24" ht="15.75" customHeight="1">
      <c r="A24" s="11">
        <v>45715.0</v>
      </c>
      <c r="B24" s="12">
        <v>45727.0</v>
      </c>
      <c r="C24" s="1" t="s">
        <v>435</v>
      </c>
      <c r="D24" s="33" t="s">
        <v>82</v>
      </c>
      <c r="E24" s="14">
        <v>6.99</v>
      </c>
      <c r="F24" s="15">
        <f t="shared" si="2"/>
        <v>4.5435</v>
      </c>
      <c r="G24" s="16">
        <v>0.35</v>
      </c>
    </row>
    <row r="25" ht="15.75" customHeight="1">
      <c r="A25" s="11">
        <v>45715.0</v>
      </c>
      <c r="B25" s="12">
        <v>45727.0</v>
      </c>
      <c r="C25" s="1" t="s">
        <v>435</v>
      </c>
      <c r="D25" s="41" t="s">
        <v>83</v>
      </c>
      <c r="E25" s="14">
        <v>11.99</v>
      </c>
      <c r="F25" s="15">
        <f t="shared" si="2"/>
        <v>7.7935</v>
      </c>
      <c r="G25" s="16">
        <v>0.35</v>
      </c>
      <c r="H25" s="5" t="s">
        <v>434</v>
      </c>
    </row>
    <row r="26" ht="15.75" customHeight="1">
      <c r="A26" s="11">
        <v>45715.0</v>
      </c>
      <c r="B26" s="12">
        <v>45727.0</v>
      </c>
      <c r="C26" s="1" t="s">
        <v>435</v>
      </c>
      <c r="D26" s="41" t="s">
        <v>84</v>
      </c>
      <c r="E26" s="14">
        <v>6.99</v>
      </c>
      <c r="F26" s="15">
        <f t="shared" si="2"/>
        <v>4.893</v>
      </c>
      <c r="G26" s="16">
        <v>0.3</v>
      </c>
      <c r="H26" s="80">
        <v>45444.0</v>
      </c>
    </row>
    <row r="27" ht="15.75" customHeight="1">
      <c r="A27" s="11">
        <v>45715.0</v>
      </c>
      <c r="B27" s="12">
        <v>45727.0</v>
      </c>
      <c r="C27" s="1" t="s">
        <v>435</v>
      </c>
      <c r="D27" s="41" t="s">
        <v>85</v>
      </c>
      <c r="E27" s="14">
        <v>6.99</v>
      </c>
      <c r="F27" s="15">
        <f t="shared" si="2"/>
        <v>5.2425</v>
      </c>
      <c r="G27" s="16">
        <v>0.25</v>
      </c>
      <c r="H27" s="75">
        <v>45536.0</v>
      </c>
    </row>
    <row r="28" ht="15.75" customHeight="1">
      <c r="A28" s="11">
        <v>45715.0</v>
      </c>
      <c r="B28" s="12">
        <v>45727.0</v>
      </c>
      <c r="C28" s="1" t="s">
        <v>435</v>
      </c>
      <c r="D28" s="41" t="s">
        <v>97</v>
      </c>
      <c r="E28" s="14">
        <v>3.99</v>
      </c>
      <c r="F28" s="15">
        <f t="shared" si="2"/>
        <v>3.192</v>
      </c>
      <c r="G28" s="16">
        <v>0.2</v>
      </c>
    </row>
    <row r="29" ht="15.75" customHeight="1">
      <c r="A29" s="11">
        <v>45715.0</v>
      </c>
      <c r="B29" s="12">
        <v>45727.0</v>
      </c>
      <c r="C29" s="1" t="s">
        <v>435</v>
      </c>
      <c r="D29" s="41" t="s">
        <v>99</v>
      </c>
      <c r="E29" s="15">
        <v>24.99</v>
      </c>
      <c r="F29" s="15">
        <f t="shared" si="2"/>
        <v>17.493</v>
      </c>
      <c r="G29" s="16">
        <v>0.3</v>
      </c>
    </row>
    <row r="30" ht="15.75" customHeight="1">
      <c r="A30" s="11">
        <v>45715.0</v>
      </c>
      <c r="B30" s="12">
        <v>45727.0</v>
      </c>
      <c r="C30" s="1" t="s">
        <v>435</v>
      </c>
      <c r="D30" s="41" t="s">
        <v>100</v>
      </c>
      <c r="E30" s="15">
        <v>24.99</v>
      </c>
      <c r="F30" s="15">
        <f t="shared" si="2"/>
        <v>17.493</v>
      </c>
      <c r="G30" s="16">
        <v>0.3</v>
      </c>
    </row>
    <row r="31" ht="15.75" customHeight="1">
      <c r="A31" s="11">
        <v>45715.0</v>
      </c>
      <c r="B31" s="12">
        <v>45727.0</v>
      </c>
      <c r="C31" s="1" t="s">
        <v>435</v>
      </c>
      <c r="D31" s="41" t="s">
        <v>102</v>
      </c>
      <c r="E31" s="15">
        <v>24.99</v>
      </c>
      <c r="F31" s="15">
        <f t="shared" si="2"/>
        <v>18.7425</v>
      </c>
      <c r="G31" s="16">
        <v>0.25</v>
      </c>
    </row>
    <row r="32" ht="15.75" customHeight="1">
      <c r="A32" s="11">
        <v>45715.0</v>
      </c>
      <c r="B32" s="12">
        <v>45727.0</v>
      </c>
      <c r="C32" s="1" t="s">
        <v>435</v>
      </c>
      <c r="D32" s="41" t="s">
        <v>104</v>
      </c>
      <c r="E32" s="15">
        <v>24.99</v>
      </c>
      <c r="F32" s="15">
        <f t="shared" si="2"/>
        <v>24.99</v>
      </c>
      <c r="G32" s="16">
        <v>0.0</v>
      </c>
    </row>
    <row r="33" ht="15.75" customHeight="1"/>
    <row r="34" ht="15.75" customHeight="1">
      <c r="A34" s="11">
        <v>45729.0</v>
      </c>
      <c r="B34" s="12">
        <v>45734.0</v>
      </c>
      <c r="C34" s="1" t="s">
        <v>54</v>
      </c>
      <c r="D34" s="33" t="s">
        <v>24</v>
      </c>
      <c r="E34" s="14">
        <v>29.99</v>
      </c>
      <c r="F34" s="15">
        <f t="shared" ref="F34:F47" si="3">E34*(1-G34)</f>
        <v>14.995</v>
      </c>
      <c r="G34" s="16">
        <v>0.5</v>
      </c>
    </row>
    <row r="35" ht="15.75" customHeight="1">
      <c r="A35" s="11">
        <v>45729.0</v>
      </c>
      <c r="B35" s="12">
        <v>45734.0</v>
      </c>
      <c r="C35" s="1" t="s">
        <v>54</v>
      </c>
      <c r="D35" s="33" t="s">
        <v>76</v>
      </c>
      <c r="E35" s="14">
        <v>39.99</v>
      </c>
      <c r="F35" s="15">
        <f t="shared" si="3"/>
        <v>19.995</v>
      </c>
      <c r="G35" s="16">
        <v>0.5</v>
      </c>
    </row>
    <row r="36" ht="15.75" customHeight="1">
      <c r="A36" s="11">
        <v>45729.0</v>
      </c>
      <c r="B36" s="12">
        <v>45734.0</v>
      </c>
      <c r="C36" s="1" t="s">
        <v>54</v>
      </c>
      <c r="D36" s="33" t="s">
        <v>77</v>
      </c>
      <c r="E36" s="14">
        <v>64.77</v>
      </c>
      <c r="F36" s="15">
        <f t="shared" si="3"/>
        <v>34.9758</v>
      </c>
      <c r="G36" s="16">
        <v>0.46</v>
      </c>
    </row>
    <row r="37" ht="15.75" customHeight="1">
      <c r="A37" s="11">
        <v>45729.0</v>
      </c>
      <c r="B37" s="12">
        <v>45734.0</v>
      </c>
      <c r="C37" s="1" t="s">
        <v>54</v>
      </c>
      <c r="D37" s="33" t="s">
        <v>79</v>
      </c>
      <c r="E37" s="14">
        <v>84.99</v>
      </c>
      <c r="F37" s="15">
        <f t="shared" si="3"/>
        <v>50.994</v>
      </c>
      <c r="G37" s="16">
        <v>0.4</v>
      </c>
    </row>
    <row r="38" ht="15.75" customHeight="1">
      <c r="A38" s="11">
        <v>45729.0</v>
      </c>
      <c r="B38" s="12">
        <v>45734.0</v>
      </c>
      <c r="C38" s="1" t="s">
        <v>54</v>
      </c>
      <c r="D38" s="41" t="s">
        <v>80</v>
      </c>
      <c r="E38" s="14">
        <v>104.99</v>
      </c>
      <c r="F38" s="15">
        <f t="shared" si="3"/>
        <v>75.5928</v>
      </c>
      <c r="G38" s="16">
        <v>0.28</v>
      </c>
    </row>
    <row r="39" ht="15.75" customHeight="1">
      <c r="A39" s="11">
        <v>45729.0</v>
      </c>
      <c r="B39" s="12">
        <v>45734.0</v>
      </c>
      <c r="C39" s="1" t="s">
        <v>54</v>
      </c>
      <c r="D39" s="33" t="s">
        <v>82</v>
      </c>
      <c r="E39" s="14">
        <v>6.99</v>
      </c>
      <c r="F39" s="15">
        <f t="shared" si="3"/>
        <v>4.5435</v>
      </c>
      <c r="G39" s="16">
        <v>0.35</v>
      </c>
    </row>
    <row r="40" ht="15.75" customHeight="1">
      <c r="A40" s="11">
        <v>45729.0</v>
      </c>
      <c r="B40" s="12">
        <v>45734.0</v>
      </c>
      <c r="C40" s="1" t="s">
        <v>54</v>
      </c>
      <c r="D40" s="41" t="s">
        <v>83</v>
      </c>
      <c r="E40" s="14">
        <v>11.99</v>
      </c>
      <c r="F40" s="15">
        <f t="shared" si="3"/>
        <v>7.7935</v>
      </c>
      <c r="G40" s="16">
        <v>0.35</v>
      </c>
      <c r="H40" s="5" t="s">
        <v>434</v>
      </c>
    </row>
    <row r="41" ht="15.75" customHeight="1">
      <c r="A41" s="11">
        <v>45729.0</v>
      </c>
      <c r="B41" s="12">
        <v>45734.0</v>
      </c>
      <c r="C41" s="1" t="s">
        <v>54</v>
      </c>
      <c r="D41" s="41" t="s">
        <v>84</v>
      </c>
      <c r="E41" s="14">
        <v>6.99</v>
      </c>
      <c r="F41" s="15">
        <f t="shared" si="3"/>
        <v>4.893</v>
      </c>
      <c r="G41" s="16">
        <v>0.3</v>
      </c>
      <c r="H41" s="80">
        <v>45444.0</v>
      </c>
    </row>
    <row r="42" ht="15.75" customHeight="1">
      <c r="A42" s="11">
        <v>45729.0</v>
      </c>
      <c r="B42" s="12">
        <v>45734.0</v>
      </c>
      <c r="C42" s="1" t="s">
        <v>54</v>
      </c>
      <c r="D42" s="41" t="s">
        <v>85</v>
      </c>
      <c r="E42" s="14">
        <v>6.99</v>
      </c>
      <c r="F42" s="15">
        <f t="shared" si="3"/>
        <v>5.2425</v>
      </c>
      <c r="G42" s="16">
        <v>0.25</v>
      </c>
      <c r="H42" s="75">
        <v>45536.0</v>
      </c>
    </row>
    <row r="43" ht="15.75" customHeight="1">
      <c r="A43" s="11">
        <v>45729.0</v>
      </c>
      <c r="B43" s="12">
        <v>45734.0</v>
      </c>
      <c r="C43" s="1" t="s">
        <v>54</v>
      </c>
      <c r="D43" s="41" t="s">
        <v>97</v>
      </c>
      <c r="E43" s="14">
        <v>3.99</v>
      </c>
      <c r="F43" s="15">
        <f t="shared" si="3"/>
        <v>3.192</v>
      </c>
      <c r="G43" s="16">
        <v>0.2</v>
      </c>
    </row>
    <row r="44" ht="15.75" customHeight="1">
      <c r="A44" s="11">
        <v>45729.0</v>
      </c>
      <c r="B44" s="12">
        <v>45734.0</v>
      </c>
      <c r="C44" s="1" t="s">
        <v>54</v>
      </c>
      <c r="D44" s="41" t="s">
        <v>99</v>
      </c>
      <c r="E44" s="15">
        <v>24.99</v>
      </c>
      <c r="F44" s="15">
        <f t="shared" si="3"/>
        <v>17.493</v>
      </c>
      <c r="G44" s="16">
        <v>0.3</v>
      </c>
    </row>
    <row r="45" ht="15.75" customHeight="1">
      <c r="A45" s="11">
        <v>45729.0</v>
      </c>
      <c r="B45" s="12">
        <v>45734.0</v>
      </c>
      <c r="C45" s="1" t="s">
        <v>54</v>
      </c>
      <c r="D45" s="41" t="s">
        <v>100</v>
      </c>
      <c r="E45" s="15">
        <v>24.99</v>
      </c>
      <c r="F45" s="15">
        <f t="shared" si="3"/>
        <v>17.493</v>
      </c>
      <c r="G45" s="16">
        <v>0.3</v>
      </c>
    </row>
    <row r="46" ht="15.75" customHeight="1">
      <c r="A46" s="11">
        <v>45729.0</v>
      </c>
      <c r="B46" s="12">
        <v>45734.0</v>
      </c>
      <c r="C46" s="1" t="s">
        <v>54</v>
      </c>
      <c r="D46" s="41" t="s">
        <v>102</v>
      </c>
      <c r="E46" s="15">
        <v>24.99</v>
      </c>
      <c r="F46" s="15">
        <f t="shared" si="3"/>
        <v>18.7425</v>
      </c>
      <c r="G46" s="16">
        <v>0.25</v>
      </c>
    </row>
    <row r="47" ht="15.75" customHeight="1">
      <c r="A47" s="11">
        <v>45729.0</v>
      </c>
      <c r="B47" s="12">
        <v>45734.0</v>
      </c>
      <c r="C47" s="1" t="s">
        <v>54</v>
      </c>
      <c r="D47" s="41" t="s">
        <v>104</v>
      </c>
      <c r="E47" s="15">
        <v>24.99</v>
      </c>
      <c r="F47" s="15">
        <f t="shared" si="3"/>
        <v>24.99</v>
      </c>
      <c r="G47" s="16">
        <v>0.0</v>
      </c>
    </row>
    <row r="48" ht="15.75" customHeight="1"/>
    <row r="49" ht="15.75" customHeight="1">
      <c r="A49" s="11">
        <v>45757.0</v>
      </c>
      <c r="B49" s="12">
        <v>45771.0</v>
      </c>
      <c r="C49" s="1" t="s">
        <v>390</v>
      </c>
      <c r="D49" s="33" t="s">
        <v>24</v>
      </c>
      <c r="E49" s="14">
        <v>29.99</v>
      </c>
      <c r="F49" s="15">
        <f t="shared" ref="F49:F63" si="4">E49*(1-G49)</f>
        <v>14.995</v>
      </c>
      <c r="G49" s="16">
        <v>0.5</v>
      </c>
    </row>
    <row r="50" ht="15.75" customHeight="1">
      <c r="A50" s="11">
        <v>45757.0</v>
      </c>
      <c r="B50" s="12">
        <v>45771.0</v>
      </c>
      <c r="C50" s="1" t="s">
        <v>390</v>
      </c>
      <c r="D50" s="33" t="s">
        <v>76</v>
      </c>
      <c r="E50" s="14">
        <v>39.99</v>
      </c>
      <c r="F50" s="15">
        <f t="shared" si="4"/>
        <v>19.995</v>
      </c>
      <c r="G50" s="16">
        <v>0.5</v>
      </c>
      <c r="H50" s="82">
        <f t="shared" ref="H50:H53" si="5">F50-F49</f>
        <v>5</v>
      </c>
    </row>
    <row r="51" ht="15.75" customHeight="1">
      <c r="A51" s="11">
        <v>45757.0</v>
      </c>
      <c r="B51" s="12">
        <v>45771.0</v>
      </c>
      <c r="C51" s="1" t="s">
        <v>390</v>
      </c>
      <c r="D51" s="33" t="s">
        <v>77</v>
      </c>
      <c r="E51" s="14">
        <v>64.77</v>
      </c>
      <c r="F51" s="15">
        <f t="shared" si="4"/>
        <v>34.9758</v>
      </c>
      <c r="G51" s="16">
        <v>0.46</v>
      </c>
      <c r="H51" s="82">
        <f t="shared" si="5"/>
        <v>14.9808</v>
      </c>
    </row>
    <row r="52" ht="15.75" customHeight="1">
      <c r="A52" s="11">
        <v>45757.0</v>
      </c>
      <c r="B52" s="12">
        <v>45771.0</v>
      </c>
      <c r="C52" s="1" t="s">
        <v>390</v>
      </c>
      <c r="D52" s="33" t="s">
        <v>79</v>
      </c>
      <c r="E52" s="14">
        <v>84.99</v>
      </c>
      <c r="F52" s="15">
        <f t="shared" si="4"/>
        <v>50.994</v>
      </c>
      <c r="G52" s="16">
        <v>0.4</v>
      </c>
      <c r="H52" s="82">
        <f t="shared" si="5"/>
        <v>16.0182</v>
      </c>
    </row>
    <row r="53" ht="15.75" customHeight="1">
      <c r="A53" s="11">
        <v>45757.0</v>
      </c>
      <c r="B53" s="12">
        <v>45771.0</v>
      </c>
      <c r="C53" s="1" t="s">
        <v>390</v>
      </c>
      <c r="D53" s="41" t="s">
        <v>80</v>
      </c>
      <c r="E53" s="14">
        <v>104.99</v>
      </c>
      <c r="F53" s="15">
        <f t="shared" si="4"/>
        <v>75.5928</v>
      </c>
      <c r="G53" s="16">
        <v>0.28</v>
      </c>
      <c r="H53" s="82">
        <f t="shared" si="5"/>
        <v>24.5988</v>
      </c>
    </row>
    <row r="54" ht="15.75" customHeight="1">
      <c r="A54" s="11">
        <v>45757.0</v>
      </c>
      <c r="B54" s="12">
        <v>45771.0</v>
      </c>
      <c r="C54" s="1" t="s">
        <v>390</v>
      </c>
      <c r="D54" s="33" t="s">
        <v>82</v>
      </c>
      <c r="E54" s="14">
        <v>6.99</v>
      </c>
      <c r="F54" s="15">
        <f t="shared" si="4"/>
        <v>4.5435</v>
      </c>
      <c r="G54" s="16">
        <v>0.35</v>
      </c>
    </row>
    <row r="55" ht="15.75" customHeight="1">
      <c r="A55" s="11">
        <v>45757.0</v>
      </c>
      <c r="B55" s="12">
        <v>45771.0</v>
      </c>
      <c r="C55" s="1" t="s">
        <v>390</v>
      </c>
      <c r="D55" s="41" t="s">
        <v>83</v>
      </c>
      <c r="E55" s="14">
        <v>11.99</v>
      </c>
      <c r="F55" s="15">
        <f t="shared" si="4"/>
        <v>7.7935</v>
      </c>
      <c r="G55" s="16">
        <v>0.35</v>
      </c>
      <c r="H55" s="5" t="s">
        <v>434</v>
      </c>
    </row>
    <row r="56" ht="15.75" customHeight="1">
      <c r="A56" s="11">
        <v>45757.0</v>
      </c>
      <c r="B56" s="12">
        <v>45771.0</v>
      </c>
      <c r="C56" s="1" t="s">
        <v>390</v>
      </c>
      <c r="D56" s="41" t="s">
        <v>84</v>
      </c>
      <c r="E56" s="14">
        <v>6.99</v>
      </c>
      <c r="F56" s="15">
        <f t="shared" si="4"/>
        <v>4.893</v>
      </c>
      <c r="G56" s="16">
        <v>0.3</v>
      </c>
      <c r="H56" s="80">
        <v>45444.0</v>
      </c>
    </row>
    <row r="57" ht="15.75" customHeight="1">
      <c r="A57" s="11">
        <v>45757.0</v>
      </c>
      <c r="B57" s="12">
        <v>45771.0</v>
      </c>
      <c r="C57" s="1" t="s">
        <v>390</v>
      </c>
      <c r="D57" s="41" t="s">
        <v>85</v>
      </c>
      <c r="E57" s="14">
        <v>6.99</v>
      </c>
      <c r="F57" s="15">
        <f t="shared" si="4"/>
        <v>5.2425</v>
      </c>
      <c r="G57" s="16">
        <v>0.25</v>
      </c>
      <c r="H57" s="75">
        <v>45536.0</v>
      </c>
    </row>
    <row r="58" ht="15.75" customHeight="1">
      <c r="A58" s="11">
        <v>45757.0</v>
      </c>
      <c r="B58" s="12">
        <v>45771.0</v>
      </c>
      <c r="C58" s="1" t="s">
        <v>390</v>
      </c>
      <c r="D58" s="41" t="s">
        <v>91</v>
      </c>
      <c r="E58" s="14">
        <v>6.99</v>
      </c>
      <c r="F58" s="15">
        <f t="shared" si="4"/>
        <v>6.99</v>
      </c>
      <c r="G58" s="16">
        <v>0.0</v>
      </c>
      <c r="H58" s="80">
        <v>45717.0</v>
      </c>
    </row>
    <row r="59" ht="15.75" customHeight="1">
      <c r="A59" s="11">
        <v>45757.0</v>
      </c>
      <c r="B59" s="12">
        <v>45771.0</v>
      </c>
      <c r="C59" s="1" t="s">
        <v>390</v>
      </c>
      <c r="D59" s="41" t="s">
        <v>97</v>
      </c>
      <c r="E59" s="14">
        <v>3.99</v>
      </c>
      <c r="F59" s="15">
        <f t="shared" si="4"/>
        <v>3.192</v>
      </c>
      <c r="G59" s="16">
        <v>0.2</v>
      </c>
    </row>
    <row r="60" ht="15.75" customHeight="1">
      <c r="A60" s="11">
        <v>45757.0</v>
      </c>
      <c r="B60" s="12">
        <v>45771.0</v>
      </c>
      <c r="C60" s="1" t="s">
        <v>390</v>
      </c>
      <c r="D60" s="41" t="s">
        <v>99</v>
      </c>
      <c r="E60" s="15">
        <v>24.99</v>
      </c>
      <c r="F60" s="15">
        <f t="shared" si="4"/>
        <v>17.493</v>
      </c>
      <c r="G60" s="16">
        <v>0.3</v>
      </c>
    </row>
    <row r="61" ht="15.75" customHeight="1">
      <c r="A61" s="11">
        <v>45757.0</v>
      </c>
      <c r="B61" s="12">
        <v>45771.0</v>
      </c>
      <c r="C61" s="1" t="s">
        <v>390</v>
      </c>
      <c r="D61" s="41" t="s">
        <v>100</v>
      </c>
      <c r="E61" s="15">
        <v>24.99</v>
      </c>
      <c r="F61" s="15">
        <f t="shared" si="4"/>
        <v>17.493</v>
      </c>
      <c r="G61" s="16">
        <v>0.3</v>
      </c>
    </row>
    <row r="62" ht="15.75" customHeight="1">
      <c r="A62" s="11">
        <v>45757.0</v>
      </c>
      <c r="B62" s="12">
        <v>45771.0</v>
      </c>
      <c r="C62" s="1" t="s">
        <v>390</v>
      </c>
      <c r="D62" s="41" t="s">
        <v>102</v>
      </c>
      <c r="E62" s="15">
        <v>24.99</v>
      </c>
      <c r="F62" s="15">
        <f t="shared" si="4"/>
        <v>18.7425</v>
      </c>
      <c r="G62" s="16">
        <v>0.25</v>
      </c>
    </row>
    <row r="63" ht="15.75" customHeight="1">
      <c r="A63" s="11">
        <v>45757.0</v>
      </c>
      <c r="B63" s="12">
        <v>45771.0</v>
      </c>
      <c r="C63" s="1" t="s">
        <v>390</v>
      </c>
      <c r="D63" s="41" t="s">
        <v>104</v>
      </c>
      <c r="E63" s="15">
        <v>24.99</v>
      </c>
      <c r="F63" s="15">
        <f t="shared" si="4"/>
        <v>24.99</v>
      </c>
      <c r="G63" s="16">
        <v>0.0</v>
      </c>
    </row>
    <row r="64" ht="15.75" customHeight="1"/>
    <row r="65" ht="15.75" customHeight="1">
      <c r="A65" s="11">
        <v>45801.0</v>
      </c>
      <c r="B65" s="12">
        <v>45815.0</v>
      </c>
      <c r="C65" s="1" t="s">
        <v>27</v>
      </c>
      <c r="D65" s="33" t="s">
        <v>24</v>
      </c>
      <c r="E65" s="14">
        <v>29.99</v>
      </c>
      <c r="F65" s="15">
        <f t="shared" ref="F65:F79" si="6">E65*(1-G65)</f>
        <v>14.995</v>
      </c>
      <c r="G65" s="16">
        <v>0.5</v>
      </c>
    </row>
    <row r="66" ht="15.75" customHeight="1">
      <c r="A66" s="11">
        <v>45801.0</v>
      </c>
      <c r="B66" s="12">
        <v>45815.0</v>
      </c>
      <c r="C66" s="1" t="s">
        <v>27</v>
      </c>
      <c r="D66" s="33" t="s">
        <v>76</v>
      </c>
      <c r="E66" s="14">
        <v>39.99</v>
      </c>
      <c r="F66" s="15">
        <f t="shared" si="6"/>
        <v>19.995</v>
      </c>
      <c r="G66" s="16">
        <v>0.5</v>
      </c>
    </row>
    <row r="67" ht="15.75" customHeight="1">
      <c r="A67" s="11">
        <v>45801.0</v>
      </c>
      <c r="B67" s="12">
        <v>45815.0</v>
      </c>
      <c r="C67" s="1" t="s">
        <v>27</v>
      </c>
      <c r="D67" s="33" t="s">
        <v>77</v>
      </c>
      <c r="E67" s="14">
        <v>64.77</v>
      </c>
      <c r="F67" s="15">
        <f t="shared" si="6"/>
        <v>34.9758</v>
      </c>
      <c r="G67" s="16">
        <v>0.46</v>
      </c>
    </row>
    <row r="68" ht="15.75" customHeight="1">
      <c r="A68" s="11">
        <v>45801.0</v>
      </c>
      <c r="B68" s="12">
        <v>45815.0</v>
      </c>
      <c r="C68" s="1" t="s">
        <v>27</v>
      </c>
      <c r="D68" s="33" t="s">
        <v>79</v>
      </c>
      <c r="E68" s="14">
        <v>84.99</v>
      </c>
      <c r="F68" s="15">
        <f t="shared" si="6"/>
        <v>50.994</v>
      </c>
      <c r="G68" s="16">
        <v>0.4</v>
      </c>
    </row>
    <row r="69" ht="15.75" customHeight="1">
      <c r="A69" s="11">
        <v>45801.0</v>
      </c>
      <c r="B69" s="12">
        <v>45815.0</v>
      </c>
      <c r="C69" s="1" t="s">
        <v>27</v>
      </c>
      <c r="D69" s="41" t="s">
        <v>80</v>
      </c>
      <c r="E69" s="14">
        <v>104.99</v>
      </c>
      <c r="F69" s="15">
        <f t="shared" si="6"/>
        <v>75.5928</v>
      </c>
      <c r="G69" s="16">
        <v>0.28</v>
      </c>
    </row>
    <row r="70" ht="15.75" customHeight="1">
      <c r="A70" s="11">
        <v>45801.0</v>
      </c>
      <c r="B70" s="12">
        <v>45815.0</v>
      </c>
      <c r="C70" s="1" t="s">
        <v>27</v>
      </c>
      <c r="D70" s="33" t="s">
        <v>82</v>
      </c>
      <c r="E70" s="14">
        <v>6.99</v>
      </c>
      <c r="F70" s="15">
        <f t="shared" si="6"/>
        <v>4.5435</v>
      </c>
      <c r="G70" s="16">
        <v>0.35</v>
      </c>
    </row>
    <row r="71" ht="15.75" customHeight="1">
      <c r="A71" s="11">
        <v>45801.0</v>
      </c>
      <c r="B71" s="12">
        <v>45815.0</v>
      </c>
      <c r="C71" s="1" t="s">
        <v>27</v>
      </c>
      <c r="D71" s="41" t="s">
        <v>83</v>
      </c>
      <c r="E71" s="14">
        <v>11.99</v>
      </c>
      <c r="F71" s="15">
        <f t="shared" si="6"/>
        <v>7.7935</v>
      </c>
      <c r="G71" s="16">
        <v>0.35</v>
      </c>
    </row>
    <row r="72" ht="15.75" customHeight="1">
      <c r="A72" s="11">
        <v>45801.0</v>
      </c>
      <c r="B72" s="12">
        <v>45815.0</v>
      </c>
      <c r="C72" s="1" t="s">
        <v>27</v>
      </c>
      <c r="D72" s="41" t="s">
        <v>84</v>
      </c>
      <c r="E72" s="14">
        <v>6.99</v>
      </c>
      <c r="F72" s="15">
        <f t="shared" si="6"/>
        <v>4.893</v>
      </c>
      <c r="G72" s="16">
        <v>0.3</v>
      </c>
    </row>
    <row r="73" ht="15.75" customHeight="1">
      <c r="A73" s="11">
        <v>45801.0</v>
      </c>
      <c r="B73" s="12">
        <v>45815.0</v>
      </c>
      <c r="C73" s="1" t="s">
        <v>27</v>
      </c>
      <c r="D73" s="41" t="s">
        <v>85</v>
      </c>
      <c r="E73" s="14">
        <v>6.99</v>
      </c>
      <c r="F73" s="15">
        <f t="shared" si="6"/>
        <v>5.2425</v>
      </c>
      <c r="G73" s="16">
        <v>0.25</v>
      </c>
    </row>
    <row r="74" ht="15.75" customHeight="1">
      <c r="A74" s="11">
        <v>45801.0</v>
      </c>
      <c r="B74" s="12">
        <v>45815.0</v>
      </c>
      <c r="C74" s="1" t="s">
        <v>27</v>
      </c>
      <c r="D74" s="41" t="s">
        <v>91</v>
      </c>
      <c r="E74" s="14">
        <v>6.99</v>
      </c>
      <c r="F74" s="15">
        <f t="shared" si="6"/>
        <v>6.99</v>
      </c>
      <c r="G74" s="16">
        <v>0.0</v>
      </c>
    </row>
    <row r="75" ht="15.75" customHeight="1">
      <c r="A75" s="11">
        <v>45801.0</v>
      </c>
      <c r="B75" s="12">
        <v>45815.0</v>
      </c>
      <c r="C75" s="1" t="s">
        <v>27</v>
      </c>
      <c r="D75" s="41" t="s">
        <v>97</v>
      </c>
      <c r="E75" s="14">
        <v>3.99</v>
      </c>
      <c r="F75" s="15">
        <f t="shared" si="6"/>
        <v>3.192</v>
      </c>
      <c r="G75" s="16">
        <v>0.2</v>
      </c>
    </row>
    <row r="76" ht="15.75" customHeight="1">
      <c r="A76" s="11">
        <v>45801.0</v>
      </c>
      <c r="B76" s="12">
        <v>45815.0</v>
      </c>
      <c r="C76" s="1" t="s">
        <v>27</v>
      </c>
      <c r="D76" s="41" t="s">
        <v>99</v>
      </c>
      <c r="E76" s="15">
        <v>24.99</v>
      </c>
      <c r="F76" s="15">
        <f t="shared" si="6"/>
        <v>17.493</v>
      </c>
      <c r="G76" s="16">
        <v>0.3</v>
      </c>
    </row>
    <row r="77" ht="15.75" customHeight="1">
      <c r="A77" s="11">
        <v>45801.0</v>
      </c>
      <c r="B77" s="12">
        <v>45815.0</v>
      </c>
      <c r="C77" s="1" t="s">
        <v>27</v>
      </c>
      <c r="D77" s="41" t="s">
        <v>100</v>
      </c>
      <c r="E77" s="15">
        <v>24.99</v>
      </c>
      <c r="F77" s="15">
        <f t="shared" si="6"/>
        <v>17.493</v>
      </c>
      <c r="G77" s="16">
        <v>0.3</v>
      </c>
    </row>
    <row r="78" ht="15.75" customHeight="1">
      <c r="A78" s="11">
        <v>45801.0</v>
      </c>
      <c r="B78" s="12">
        <v>45815.0</v>
      </c>
      <c r="C78" s="1" t="s">
        <v>27</v>
      </c>
      <c r="D78" s="41" t="s">
        <v>102</v>
      </c>
      <c r="E78" s="15">
        <v>24.99</v>
      </c>
      <c r="F78" s="15">
        <f t="shared" si="6"/>
        <v>18.7425</v>
      </c>
      <c r="G78" s="16">
        <v>0.25</v>
      </c>
    </row>
    <row r="79" ht="15.75" customHeight="1">
      <c r="A79" s="11">
        <v>45801.0</v>
      </c>
      <c r="B79" s="12">
        <v>45815.0</v>
      </c>
      <c r="C79" s="1" t="s">
        <v>27</v>
      </c>
      <c r="D79" s="41" t="s">
        <v>104</v>
      </c>
      <c r="E79" s="15">
        <v>24.99</v>
      </c>
      <c r="F79" s="15">
        <f t="shared" si="6"/>
        <v>24.99</v>
      </c>
      <c r="G79" s="16">
        <v>0.0</v>
      </c>
    </row>
    <row r="80" ht="15.75" customHeight="1">
      <c r="G80" s="52"/>
    </row>
    <row r="81" ht="15.75" customHeight="1">
      <c r="A81" s="11">
        <v>45834.0</v>
      </c>
      <c r="B81" s="12">
        <v>45848.0</v>
      </c>
      <c r="C81" s="1" t="s">
        <v>443</v>
      </c>
      <c r="D81" s="33" t="s">
        <v>24</v>
      </c>
      <c r="E81" s="14">
        <v>29.99</v>
      </c>
      <c r="F81" s="15">
        <f t="shared" ref="F81:F95" si="7">E81*(1-G81)</f>
        <v>14.995</v>
      </c>
      <c r="G81" s="16">
        <v>0.5</v>
      </c>
    </row>
    <row r="82" ht="15.75" customHeight="1">
      <c r="A82" s="11">
        <v>45834.0</v>
      </c>
      <c r="B82" s="12">
        <v>45848.0</v>
      </c>
      <c r="C82" s="1" t="s">
        <v>443</v>
      </c>
      <c r="D82" s="33" t="s">
        <v>76</v>
      </c>
      <c r="E82" s="14">
        <v>39.99</v>
      </c>
      <c r="F82" s="15">
        <f t="shared" si="7"/>
        <v>19.995</v>
      </c>
      <c r="G82" s="16">
        <v>0.5</v>
      </c>
    </row>
    <row r="83" ht="15.75" customHeight="1">
      <c r="A83" s="11">
        <v>45834.0</v>
      </c>
      <c r="B83" s="12">
        <v>45848.0</v>
      </c>
      <c r="C83" s="1" t="s">
        <v>443</v>
      </c>
      <c r="D83" s="33" t="s">
        <v>77</v>
      </c>
      <c r="E83" s="14">
        <v>64.77</v>
      </c>
      <c r="F83" s="15">
        <f t="shared" si="7"/>
        <v>34.9758</v>
      </c>
      <c r="G83" s="16">
        <v>0.46</v>
      </c>
    </row>
    <row r="84" ht="15.75" customHeight="1">
      <c r="A84" s="11">
        <v>45834.0</v>
      </c>
      <c r="B84" s="12">
        <v>45848.0</v>
      </c>
      <c r="C84" s="1" t="s">
        <v>443</v>
      </c>
      <c r="D84" s="33" t="s">
        <v>79</v>
      </c>
      <c r="E84" s="14">
        <v>84.99</v>
      </c>
      <c r="F84" s="15">
        <f t="shared" si="7"/>
        <v>50.994</v>
      </c>
      <c r="G84" s="16">
        <v>0.4</v>
      </c>
    </row>
    <row r="85" ht="15.75" customHeight="1">
      <c r="A85" s="11">
        <v>45834.0</v>
      </c>
      <c r="B85" s="12">
        <v>45848.0</v>
      </c>
      <c r="C85" s="1" t="s">
        <v>443</v>
      </c>
      <c r="D85" s="41" t="s">
        <v>80</v>
      </c>
      <c r="E85" s="14">
        <v>104.99</v>
      </c>
      <c r="F85" s="15">
        <f t="shared" si="7"/>
        <v>75.5928</v>
      </c>
      <c r="G85" s="16">
        <v>0.28</v>
      </c>
    </row>
    <row r="86" ht="15.75" customHeight="1">
      <c r="A86" s="11">
        <v>45834.0</v>
      </c>
      <c r="B86" s="12">
        <v>45848.0</v>
      </c>
      <c r="C86" s="1" t="s">
        <v>443</v>
      </c>
      <c r="D86" s="33" t="s">
        <v>82</v>
      </c>
      <c r="E86" s="14">
        <v>6.99</v>
      </c>
      <c r="F86" s="15">
        <f t="shared" si="7"/>
        <v>4.5435</v>
      </c>
      <c r="G86" s="16">
        <v>0.35</v>
      </c>
    </row>
    <row r="87" ht="15.75" customHeight="1">
      <c r="A87" s="11">
        <v>45834.0</v>
      </c>
      <c r="B87" s="12">
        <v>45848.0</v>
      </c>
      <c r="C87" s="1" t="s">
        <v>443</v>
      </c>
      <c r="D87" s="41" t="s">
        <v>83</v>
      </c>
      <c r="E87" s="14">
        <v>11.99</v>
      </c>
      <c r="F87" s="15">
        <f t="shared" si="7"/>
        <v>7.7935</v>
      </c>
      <c r="G87" s="16">
        <v>0.35</v>
      </c>
    </row>
    <row r="88" ht="15.75" customHeight="1">
      <c r="A88" s="11">
        <v>45834.0</v>
      </c>
      <c r="B88" s="12">
        <v>45848.0</v>
      </c>
      <c r="C88" s="1" t="s">
        <v>443</v>
      </c>
      <c r="D88" s="41" t="s">
        <v>84</v>
      </c>
      <c r="E88" s="14">
        <v>6.99</v>
      </c>
      <c r="F88" s="15">
        <f t="shared" si="7"/>
        <v>4.893</v>
      </c>
      <c r="G88" s="16">
        <v>0.3</v>
      </c>
      <c r="H88" s="84">
        <v>45444.0</v>
      </c>
    </row>
    <row r="89" ht="15.75" customHeight="1">
      <c r="A89" s="11">
        <v>45834.0</v>
      </c>
      <c r="B89" s="12">
        <v>45848.0</v>
      </c>
      <c r="C89" s="1" t="s">
        <v>443</v>
      </c>
      <c r="D89" s="41" t="s">
        <v>85</v>
      </c>
      <c r="E89" s="14">
        <v>6.99</v>
      </c>
      <c r="F89" s="15">
        <f t="shared" si="7"/>
        <v>5.2425</v>
      </c>
      <c r="G89" s="16">
        <v>0.25</v>
      </c>
      <c r="H89" s="85">
        <v>45536.0</v>
      </c>
    </row>
    <row r="90" ht="15.75" customHeight="1">
      <c r="A90" s="11">
        <v>45834.0</v>
      </c>
      <c r="B90" s="12">
        <v>45848.0</v>
      </c>
      <c r="C90" s="1" t="s">
        <v>443</v>
      </c>
      <c r="D90" s="41" t="s">
        <v>91</v>
      </c>
      <c r="E90" s="14">
        <v>6.99</v>
      </c>
      <c r="F90" s="15">
        <f t="shared" si="7"/>
        <v>6.99</v>
      </c>
      <c r="G90" s="16">
        <v>0.0</v>
      </c>
      <c r="H90" s="84">
        <v>45748.0</v>
      </c>
    </row>
    <row r="91" ht="15.75" customHeight="1">
      <c r="A91" s="11">
        <v>45834.0</v>
      </c>
      <c r="B91" s="12">
        <v>45848.0</v>
      </c>
      <c r="C91" s="1" t="s">
        <v>443</v>
      </c>
      <c r="D91" s="41" t="s">
        <v>97</v>
      </c>
      <c r="E91" s="14">
        <v>3.99</v>
      </c>
      <c r="F91" s="15">
        <f t="shared" si="7"/>
        <v>3.192</v>
      </c>
      <c r="G91" s="16">
        <v>0.2</v>
      </c>
    </row>
    <row r="92" ht="15.75" customHeight="1">
      <c r="A92" s="11">
        <v>45834.0</v>
      </c>
      <c r="B92" s="12">
        <v>45848.0</v>
      </c>
      <c r="C92" s="1" t="s">
        <v>443</v>
      </c>
      <c r="D92" s="41" t="s">
        <v>99</v>
      </c>
      <c r="E92" s="15">
        <v>24.99</v>
      </c>
      <c r="F92" s="15">
        <f t="shared" si="7"/>
        <v>17.493</v>
      </c>
      <c r="G92" s="16">
        <v>0.3</v>
      </c>
    </row>
    <row r="93" ht="15.75" customHeight="1">
      <c r="A93" s="11">
        <v>45834.0</v>
      </c>
      <c r="B93" s="12">
        <v>45848.0</v>
      </c>
      <c r="C93" s="1" t="s">
        <v>443</v>
      </c>
      <c r="D93" s="41" t="s">
        <v>100</v>
      </c>
      <c r="E93" s="15">
        <v>24.99</v>
      </c>
      <c r="F93" s="15">
        <f t="shared" si="7"/>
        <v>17.493</v>
      </c>
      <c r="G93" s="16">
        <v>0.3</v>
      </c>
    </row>
    <row r="94" ht="15.75" customHeight="1">
      <c r="A94" s="11">
        <v>45834.0</v>
      </c>
      <c r="B94" s="12">
        <v>45848.0</v>
      </c>
      <c r="C94" s="1" t="s">
        <v>443</v>
      </c>
      <c r="D94" s="41" t="s">
        <v>102</v>
      </c>
      <c r="E94" s="15">
        <v>24.99</v>
      </c>
      <c r="F94" s="15">
        <f t="shared" si="7"/>
        <v>18.7425</v>
      </c>
      <c r="G94" s="16">
        <v>0.25</v>
      </c>
    </row>
    <row r="95" ht="15.75" customHeight="1">
      <c r="A95" s="11">
        <v>45834.0</v>
      </c>
      <c r="B95" s="12">
        <v>45848.0</v>
      </c>
      <c r="C95" s="1" t="s">
        <v>443</v>
      </c>
      <c r="D95" s="41" t="s">
        <v>104</v>
      </c>
      <c r="E95" s="15">
        <v>24.99</v>
      </c>
      <c r="F95" s="15">
        <f t="shared" si="7"/>
        <v>24.99</v>
      </c>
      <c r="G95" s="16">
        <v>0.0</v>
      </c>
    </row>
    <row r="96" ht="15.75" customHeight="1"/>
    <row r="97" ht="15.75" customHeight="1">
      <c r="A97" s="11">
        <v>45855.0</v>
      </c>
      <c r="B97" s="12">
        <v>45869.0</v>
      </c>
      <c r="C97" s="1" t="s">
        <v>445</v>
      </c>
      <c r="D97" s="33" t="s">
        <v>24</v>
      </c>
      <c r="E97" s="14">
        <v>29.99</v>
      </c>
      <c r="F97" s="15">
        <f t="shared" ref="F97:F111" si="8">E97*(1-G97)</f>
        <v>14.995</v>
      </c>
      <c r="G97" s="16">
        <v>0.5</v>
      </c>
    </row>
    <row r="98" ht="15.75" customHeight="1">
      <c r="A98" s="11">
        <v>45855.0</v>
      </c>
      <c r="B98" s="12">
        <v>45869.0</v>
      </c>
      <c r="C98" s="1" t="s">
        <v>445</v>
      </c>
      <c r="D98" s="33" t="s">
        <v>76</v>
      </c>
      <c r="E98" s="14">
        <v>39.99</v>
      </c>
      <c r="F98" s="15">
        <f t="shared" si="8"/>
        <v>19.995</v>
      </c>
      <c r="G98" s="16">
        <v>0.5</v>
      </c>
    </row>
    <row r="99" ht="15.75" customHeight="1">
      <c r="A99" s="11">
        <v>45855.0</v>
      </c>
      <c r="B99" s="12">
        <v>45869.0</v>
      </c>
      <c r="C99" s="1" t="s">
        <v>445</v>
      </c>
      <c r="D99" s="33" t="s">
        <v>77</v>
      </c>
      <c r="E99" s="14">
        <v>64.77</v>
      </c>
      <c r="F99" s="15">
        <f t="shared" si="8"/>
        <v>34.9758</v>
      </c>
      <c r="G99" s="16">
        <v>0.46</v>
      </c>
    </row>
    <row r="100" ht="15.75" customHeight="1">
      <c r="A100" s="11">
        <v>45855.0</v>
      </c>
      <c r="B100" s="12">
        <v>45869.0</v>
      </c>
      <c r="C100" s="1" t="s">
        <v>445</v>
      </c>
      <c r="D100" s="33" t="s">
        <v>79</v>
      </c>
      <c r="E100" s="14">
        <v>84.99</v>
      </c>
      <c r="F100" s="15">
        <f t="shared" si="8"/>
        <v>50.994</v>
      </c>
      <c r="G100" s="16">
        <v>0.4</v>
      </c>
    </row>
    <row r="101" ht="15.75" customHeight="1">
      <c r="A101" s="11">
        <v>45855.0</v>
      </c>
      <c r="B101" s="12">
        <v>45869.0</v>
      </c>
      <c r="C101" s="1" t="s">
        <v>445</v>
      </c>
      <c r="D101" s="41" t="s">
        <v>80</v>
      </c>
      <c r="E101" s="14">
        <v>104.99</v>
      </c>
      <c r="F101" s="15">
        <f t="shared" si="8"/>
        <v>75.5928</v>
      </c>
      <c r="G101" s="16">
        <v>0.28</v>
      </c>
    </row>
    <row r="102" ht="15.75" customHeight="1">
      <c r="A102" s="11">
        <v>45855.0</v>
      </c>
      <c r="B102" s="12">
        <v>45869.0</v>
      </c>
      <c r="C102" s="1" t="s">
        <v>445</v>
      </c>
      <c r="D102" s="33" t="s">
        <v>82</v>
      </c>
      <c r="E102" s="14">
        <v>6.99</v>
      </c>
      <c r="F102" s="15">
        <f t="shared" si="8"/>
        <v>4.5435</v>
      </c>
      <c r="G102" s="16">
        <v>0.35</v>
      </c>
    </row>
    <row r="103" ht="15.75" customHeight="1">
      <c r="A103" s="11">
        <v>45855.0</v>
      </c>
      <c r="B103" s="12">
        <v>45869.0</v>
      </c>
      <c r="C103" s="1" t="s">
        <v>445</v>
      </c>
      <c r="D103" s="41" t="s">
        <v>83</v>
      </c>
      <c r="E103" s="14">
        <v>11.99</v>
      </c>
      <c r="F103" s="15">
        <f t="shared" si="8"/>
        <v>7.7935</v>
      </c>
      <c r="G103" s="16">
        <v>0.35</v>
      </c>
    </row>
    <row r="104" ht="15.75" customHeight="1">
      <c r="A104" s="11">
        <v>45855.0</v>
      </c>
      <c r="B104" s="12">
        <v>45869.0</v>
      </c>
      <c r="C104" s="1" t="s">
        <v>445</v>
      </c>
      <c r="D104" s="41" t="s">
        <v>84</v>
      </c>
      <c r="E104" s="14">
        <v>6.99</v>
      </c>
      <c r="F104" s="15">
        <f t="shared" si="8"/>
        <v>4.893</v>
      </c>
      <c r="G104" s="16">
        <v>0.3</v>
      </c>
      <c r="H104" s="84">
        <v>45444.0</v>
      </c>
    </row>
    <row r="105" ht="15.75" customHeight="1">
      <c r="A105" s="11">
        <v>45855.0</v>
      </c>
      <c r="B105" s="12">
        <v>45869.0</v>
      </c>
      <c r="C105" s="1" t="s">
        <v>445</v>
      </c>
      <c r="D105" s="41" t="s">
        <v>85</v>
      </c>
      <c r="E105" s="14">
        <v>6.99</v>
      </c>
      <c r="F105" s="15">
        <f t="shared" si="8"/>
        <v>5.2425</v>
      </c>
      <c r="G105" s="16">
        <v>0.25</v>
      </c>
      <c r="H105" s="85">
        <v>45536.0</v>
      </c>
    </row>
    <row r="106" ht="15.75" customHeight="1">
      <c r="A106" s="11">
        <v>45855.0</v>
      </c>
      <c r="B106" s="12">
        <v>45869.0</v>
      </c>
      <c r="C106" s="1" t="s">
        <v>445</v>
      </c>
      <c r="D106" s="41" t="s">
        <v>91</v>
      </c>
      <c r="E106" s="14">
        <v>6.99</v>
      </c>
      <c r="F106" s="15">
        <f t="shared" si="8"/>
        <v>5.592</v>
      </c>
      <c r="G106" s="23">
        <v>0.2</v>
      </c>
      <c r="H106" s="84">
        <v>45748.0</v>
      </c>
    </row>
    <row r="107" ht="15.75" customHeight="1">
      <c r="A107" s="11">
        <v>45855.0</v>
      </c>
      <c r="B107" s="12">
        <v>45869.0</v>
      </c>
      <c r="C107" s="1" t="s">
        <v>445</v>
      </c>
      <c r="D107" s="41" t="s">
        <v>97</v>
      </c>
      <c r="E107" s="14">
        <v>3.99</v>
      </c>
      <c r="F107" s="15">
        <f t="shared" si="8"/>
        <v>3.192</v>
      </c>
      <c r="G107" s="16">
        <v>0.2</v>
      </c>
    </row>
    <row r="108" ht="15.75" customHeight="1">
      <c r="A108" s="11">
        <v>45855.0</v>
      </c>
      <c r="B108" s="12">
        <v>45869.0</v>
      </c>
      <c r="C108" s="1" t="s">
        <v>445</v>
      </c>
      <c r="D108" s="41" t="s">
        <v>99</v>
      </c>
      <c r="E108" s="15">
        <v>24.99</v>
      </c>
      <c r="F108" s="15">
        <f t="shared" si="8"/>
        <v>17.493</v>
      </c>
      <c r="G108" s="16">
        <v>0.3</v>
      </c>
    </row>
    <row r="109" ht="15.75" customHeight="1">
      <c r="A109" s="11">
        <v>45855.0</v>
      </c>
      <c r="B109" s="12">
        <v>45869.0</v>
      </c>
      <c r="C109" s="1" t="s">
        <v>445</v>
      </c>
      <c r="D109" s="41" t="s">
        <v>100</v>
      </c>
      <c r="E109" s="15">
        <v>24.99</v>
      </c>
      <c r="F109" s="15">
        <f t="shared" si="8"/>
        <v>17.493</v>
      </c>
      <c r="G109" s="16">
        <v>0.3</v>
      </c>
    </row>
    <row r="110" ht="15.75" customHeight="1">
      <c r="A110" s="11">
        <v>45855.0</v>
      </c>
      <c r="B110" s="12">
        <v>45869.0</v>
      </c>
      <c r="C110" s="1" t="s">
        <v>445</v>
      </c>
      <c r="D110" s="41" t="s">
        <v>102</v>
      </c>
      <c r="E110" s="15">
        <v>24.99</v>
      </c>
      <c r="F110" s="15">
        <f t="shared" si="8"/>
        <v>18.7425</v>
      </c>
      <c r="G110" s="16">
        <v>0.25</v>
      </c>
    </row>
    <row r="111" ht="15.75" customHeight="1">
      <c r="A111" s="11">
        <v>45855.0</v>
      </c>
      <c r="B111" s="12">
        <v>45869.0</v>
      </c>
      <c r="C111" s="1" t="s">
        <v>445</v>
      </c>
      <c r="D111" s="41" t="s">
        <v>104</v>
      </c>
      <c r="E111" s="15">
        <v>24.99</v>
      </c>
      <c r="F111" s="15">
        <f t="shared" si="8"/>
        <v>24.99</v>
      </c>
      <c r="G111" s="16">
        <v>0.0</v>
      </c>
    </row>
    <row r="112" ht="15.75" customHeight="1"/>
    <row r="113" ht="15.75" customHeight="1">
      <c r="A113" s="11">
        <v>45904.0</v>
      </c>
      <c r="B113" s="12">
        <v>45915.0</v>
      </c>
      <c r="C113" s="1" t="s">
        <v>72</v>
      </c>
      <c r="D113" s="33" t="s">
        <v>24</v>
      </c>
      <c r="E113" s="14">
        <v>29.99</v>
      </c>
      <c r="F113" s="15">
        <f t="shared" ref="F113:F129" si="9">E113*(1-G113)</f>
        <v>14.995</v>
      </c>
      <c r="G113" s="16">
        <v>0.5</v>
      </c>
    </row>
    <row r="114" ht="15.75" customHeight="1">
      <c r="A114" s="11">
        <v>45904.0</v>
      </c>
      <c r="B114" s="12">
        <v>45915.0</v>
      </c>
      <c r="C114" s="1" t="s">
        <v>72</v>
      </c>
      <c r="D114" s="33" t="s">
        <v>76</v>
      </c>
      <c r="E114" s="14">
        <v>39.99</v>
      </c>
      <c r="F114" s="15">
        <f t="shared" si="9"/>
        <v>19.995</v>
      </c>
      <c r="G114" s="16">
        <v>0.5</v>
      </c>
    </row>
    <row r="115" ht="15.75" customHeight="1">
      <c r="A115" s="77">
        <v>45904.0</v>
      </c>
      <c r="B115" s="78">
        <v>45915.0</v>
      </c>
      <c r="C115" s="79" t="s">
        <v>72</v>
      </c>
      <c r="D115" s="35" t="s">
        <v>77</v>
      </c>
      <c r="E115" s="36">
        <v>64.77</v>
      </c>
      <c r="F115" s="37">
        <f t="shared" si="9"/>
        <v>34.9758</v>
      </c>
      <c r="G115" s="38">
        <v>0.46</v>
      </c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</row>
    <row r="116" ht="15.75" customHeight="1">
      <c r="A116" s="77">
        <v>45904.0</v>
      </c>
      <c r="B116" s="78">
        <v>45915.0</v>
      </c>
      <c r="C116" s="79" t="s">
        <v>72</v>
      </c>
      <c r="D116" s="35" t="s">
        <v>79</v>
      </c>
      <c r="E116" s="36">
        <v>84.99</v>
      </c>
      <c r="F116" s="37">
        <f t="shared" si="9"/>
        <v>50.994</v>
      </c>
      <c r="G116" s="38">
        <v>0.4</v>
      </c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</row>
    <row r="117" ht="15.75" customHeight="1">
      <c r="A117" s="77">
        <v>45904.0</v>
      </c>
      <c r="B117" s="78">
        <v>45915.0</v>
      </c>
      <c r="C117" s="79" t="s">
        <v>72</v>
      </c>
      <c r="D117" s="40" t="s">
        <v>80</v>
      </c>
      <c r="E117" s="36">
        <v>104.99</v>
      </c>
      <c r="F117" s="37">
        <f t="shared" si="9"/>
        <v>75.5928</v>
      </c>
      <c r="G117" s="38">
        <v>0.28</v>
      </c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</row>
    <row r="118" ht="15.75" customHeight="1">
      <c r="A118" s="11">
        <v>45904.0</v>
      </c>
      <c r="B118" s="12">
        <v>45915.0</v>
      </c>
      <c r="C118" s="1" t="s">
        <v>72</v>
      </c>
      <c r="D118" s="49" t="s">
        <v>81</v>
      </c>
      <c r="E118" s="14">
        <v>123.95</v>
      </c>
      <c r="F118" s="15">
        <f t="shared" si="9"/>
        <v>123.95</v>
      </c>
      <c r="G118" s="16">
        <v>0.0</v>
      </c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</row>
    <row r="119" ht="15.75" customHeight="1">
      <c r="A119" s="11">
        <v>45904.0</v>
      </c>
      <c r="B119" s="12">
        <v>45915.0</v>
      </c>
      <c r="C119" s="1" t="s">
        <v>72</v>
      </c>
      <c r="D119" s="33" t="s">
        <v>82</v>
      </c>
      <c r="E119" s="14">
        <v>6.99</v>
      </c>
      <c r="F119" s="15">
        <f t="shared" si="9"/>
        <v>4.5435</v>
      </c>
      <c r="G119" s="16">
        <v>0.35</v>
      </c>
    </row>
    <row r="120" ht="15.75" customHeight="1">
      <c r="A120" s="11">
        <v>45904.0</v>
      </c>
      <c r="B120" s="12">
        <v>45915.0</v>
      </c>
      <c r="C120" s="1" t="s">
        <v>72</v>
      </c>
      <c r="D120" s="41" t="s">
        <v>83</v>
      </c>
      <c r="E120" s="14">
        <v>11.99</v>
      </c>
      <c r="F120" s="15">
        <f t="shared" si="9"/>
        <v>7.7935</v>
      </c>
      <c r="G120" s="16">
        <v>0.35</v>
      </c>
    </row>
    <row r="121" ht="15.75" customHeight="1">
      <c r="A121" s="11">
        <v>45904.0</v>
      </c>
      <c r="B121" s="12">
        <v>45915.0</v>
      </c>
      <c r="C121" s="1" t="s">
        <v>72</v>
      </c>
      <c r="D121" s="41" t="s">
        <v>84</v>
      </c>
      <c r="E121" s="14">
        <v>6.99</v>
      </c>
      <c r="F121" s="15">
        <f t="shared" si="9"/>
        <v>4.893</v>
      </c>
      <c r="G121" s="16">
        <v>0.3</v>
      </c>
      <c r="H121" s="84">
        <v>45444.0</v>
      </c>
    </row>
    <row r="122" ht="15.75" customHeight="1">
      <c r="A122" s="11">
        <v>45904.0</v>
      </c>
      <c r="B122" s="12">
        <v>45915.0</v>
      </c>
      <c r="C122" s="1" t="s">
        <v>72</v>
      </c>
      <c r="D122" s="41" t="s">
        <v>85</v>
      </c>
      <c r="E122" s="14">
        <v>6.99</v>
      </c>
      <c r="F122" s="15">
        <f t="shared" si="9"/>
        <v>5.2425</v>
      </c>
      <c r="G122" s="16">
        <v>0.25</v>
      </c>
      <c r="H122" s="85">
        <v>45536.0</v>
      </c>
    </row>
    <row r="123" ht="15.75" customHeight="1">
      <c r="A123" s="11">
        <v>45904.0</v>
      </c>
      <c r="B123" s="12">
        <v>45915.0</v>
      </c>
      <c r="C123" s="1" t="s">
        <v>72</v>
      </c>
      <c r="D123" s="41" t="s">
        <v>91</v>
      </c>
      <c r="E123" s="14">
        <v>6.99</v>
      </c>
      <c r="F123" s="15">
        <f t="shared" si="9"/>
        <v>6.99</v>
      </c>
      <c r="G123" s="16">
        <v>0.0</v>
      </c>
      <c r="H123" s="84">
        <v>45748.0</v>
      </c>
    </row>
    <row r="124" ht="15.75" customHeight="1">
      <c r="A124" s="11">
        <v>45904.0</v>
      </c>
      <c r="B124" s="12">
        <v>45915.0</v>
      </c>
      <c r="C124" s="1" t="s">
        <v>72</v>
      </c>
      <c r="D124" s="41" t="s">
        <v>97</v>
      </c>
      <c r="E124" s="14">
        <v>3.99</v>
      </c>
      <c r="F124" s="15">
        <f t="shared" si="9"/>
        <v>3.192</v>
      </c>
      <c r="G124" s="16">
        <v>0.2</v>
      </c>
    </row>
    <row r="125" ht="15.75" customHeight="1">
      <c r="A125" s="11">
        <v>45904.0</v>
      </c>
      <c r="B125" s="12">
        <v>45915.0</v>
      </c>
      <c r="C125" s="1" t="s">
        <v>72</v>
      </c>
      <c r="D125" s="41" t="s">
        <v>99</v>
      </c>
      <c r="E125" s="15">
        <v>24.99</v>
      </c>
      <c r="F125" s="15">
        <f t="shared" si="9"/>
        <v>17.493</v>
      </c>
      <c r="G125" s="16">
        <v>0.3</v>
      </c>
    </row>
    <row r="126" ht="15.75" customHeight="1">
      <c r="A126" s="11">
        <v>45904.0</v>
      </c>
      <c r="B126" s="12">
        <v>45915.0</v>
      </c>
      <c r="C126" s="1" t="s">
        <v>72</v>
      </c>
      <c r="D126" s="41" t="s">
        <v>100</v>
      </c>
      <c r="E126" s="15">
        <v>24.99</v>
      </c>
      <c r="F126" s="15">
        <f t="shared" si="9"/>
        <v>17.493</v>
      </c>
      <c r="G126" s="16">
        <v>0.3</v>
      </c>
    </row>
    <row r="127" ht="15.75" customHeight="1">
      <c r="A127" s="11">
        <v>45904.0</v>
      </c>
      <c r="B127" s="12">
        <v>45915.0</v>
      </c>
      <c r="C127" s="1" t="s">
        <v>72</v>
      </c>
      <c r="D127" s="41" t="s">
        <v>102</v>
      </c>
      <c r="E127" s="15">
        <v>24.99</v>
      </c>
      <c r="F127" s="15">
        <f t="shared" si="9"/>
        <v>18.7425</v>
      </c>
      <c r="G127" s="16">
        <v>0.25</v>
      </c>
    </row>
    <row r="128" ht="15.75" customHeight="1">
      <c r="A128" s="11">
        <v>45904.0</v>
      </c>
      <c r="B128" s="12">
        <v>45915.0</v>
      </c>
      <c r="C128" s="1" t="s">
        <v>72</v>
      </c>
      <c r="D128" s="41" t="s">
        <v>104</v>
      </c>
      <c r="E128" s="15">
        <v>24.99</v>
      </c>
      <c r="F128" s="15">
        <f t="shared" si="9"/>
        <v>24.99</v>
      </c>
      <c r="G128" s="16">
        <v>0.0</v>
      </c>
    </row>
    <row r="129" ht="15.75" customHeight="1">
      <c r="A129" s="11">
        <v>45904.0</v>
      </c>
      <c r="B129" s="12">
        <v>45915.0</v>
      </c>
      <c r="C129" s="1" t="s">
        <v>72</v>
      </c>
      <c r="D129" s="49" t="s">
        <v>105</v>
      </c>
      <c r="E129" s="15">
        <v>24.99</v>
      </c>
      <c r="F129" s="15">
        <f t="shared" si="9"/>
        <v>24.99</v>
      </c>
      <c r="G129" s="16">
        <v>0.0</v>
      </c>
    </row>
    <row r="130" ht="15.75" customHeight="1"/>
    <row r="131" ht="15.75" customHeight="1">
      <c r="A131" s="11">
        <v>45929.0</v>
      </c>
      <c r="B131" s="12">
        <v>45936.0</v>
      </c>
      <c r="C131" s="1" t="s">
        <v>75</v>
      </c>
      <c r="D131" s="49" t="s">
        <v>24</v>
      </c>
      <c r="E131" s="14">
        <v>29.99</v>
      </c>
      <c r="F131" s="15">
        <f t="shared" ref="F131:F148" si="10">E131*(1-G131)</f>
        <v>11.996</v>
      </c>
      <c r="G131" s="16">
        <v>0.6</v>
      </c>
    </row>
    <row r="132" ht="15.75" customHeight="1">
      <c r="A132" s="11">
        <v>45929.0</v>
      </c>
      <c r="B132" s="12">
        <v>45936.0</v>
      </c>
      <c r="C132" s="1" t="s">
        <v>75</v>
      </c>
      <c r="D132" s="49" t="s">
        <v>76</v>
      </c>
      <c r="E132" s="14">
        <v>39.99</v>
      </c>
      <c r="F132" s="15">
        <f t="shared" si="10"/>
        <v>15.996</v>
      </c>
      <c r="G132" s="16">
        <v>0.6</v>
      </c>
    </row>
    <row r="133" ht="15.75" customHeight="1">
      <c r="A133" s="11">
        <v>45929.0</v>
      </c>
      <c r="B133" s="12">
        <v>45936.0</v>
      </c>
      <c r="C133" s="1" t="s">
        <v>75</v>
      </c>
      <c r="D133" s="35" t="s">
        <v>77</v>
      </c>
      <c r="E133" s="36">
        <v>64.77</v>
      </c>
      <c r="F133" s="37">
        <f t="shared" si="10"/>
        <v>34.9758</v>
      </c>
      <c r="G133" s="38">
        <v>0.46</v>
      </c>
      <c r="H133" s="83"/>
    </row>
    <row r="134" ht="15.75" customHeight="1">
      <c r="A134" s="11">
        <v>45929.0</v>
      </c>
      <c r="B134" s="12">
        <v>45936.0</v>
      </c>
      <c r="C134" s="1" t="s">
        <v>75</v>
      </c>
      <c r="D134" s="35" t="s">
        <v>79</v>
      </c>
      <c r="E134" s="36">
        <v>84.99</v>
      </c>
      <c r="F134" s="37">
        <f t="shared" si="10"/>
        <v>50.994</v>
      </c>
      <c r="G134" s="38">
        <v>0.4</v>
      </c>
      <c r="H134" s="83"/>
    </row>
    <row r="135" ht="15.75" customHeight="1">
      <c r="A135" s="11">
        <v>45929.0</v>
      </c>
      <c r="B135" s="12">
        <v>45936.0</v>
      </c>
      <c r="C135" s="1" t="s">
        <v>75</v>
      </c>
      <c r="D135" s="40" t="s">
        <v>80</v>
      </c>
      <c r="E135" s="36">
        <v>104.99</v>
      </c>
      <c r="F135" s="37">
        <f t="shared" si="10"/>
        <v>75.5928</v>
      </c>
      <c r="G135" s="38">
        <v>0.28</v>
      </c>
      <c r="H135" s="83"/>
    </row>
    <row r="136" ht="15.75" customHeight="1">
      <c r="A136" s="11">
        <v>45929.0</v>
      </c>
      <c r="B136" s="12">
        <v>45936.0</v>
      </c>
      <c r="C136" s="1" t="s">
        <v>75</v>
      </c>
      <c r="D136" s="41" t="s">
        <v>81</v>
      </c>
      <c r="E136" s="14">
        <v>123.95</v>
      </c>
      <c r="F136" s="15">
        <f t="shared" si="10"/>
        <v>123.95</v>
      </c>
      <c r="G136" s="16">
        <v>0.0</v>
      </c>
      <c r="H136" s="83"/>
    </row>
    <row r="137" ht="15.75" customHeight="1">
      <c r="A137" s="11">
        <v>45929.0</v>
      </c>
      <c r="B137" s="12">
        <v>45936.0</v>
      </c>
      <c r="C137" s="1" t="s">
        <v>75</v>
      </c>
      <c r="D137" s="33" t="s">
        <v>82</v>
      </c>
      <c r="E137" s="14">
        <v>6.99</v>
      </c>
      <c r="F137" s="15">
        <f t="shared" si="10"/>
        <v>4.5435</v>
      </c>
      <c r="G137" s="16">
        <v>0.35</v>
      </c>
    </row>
    <row r="138" ht="15.75" customHeight="1">
      <c r="A138" s="11">
        <v>45929.0</v>
      </c>
      <c r="B138" s="12">
        <v>45936.0</v>
      </c>
      <c r="C138" s="1" t="s">
        <v>75</v>
      </c>
      <c r="D138" s="41" t="s">
        <v>83</v>
      </c>
      <c r="E138" s="14">
        <v>11.99</v>
      </c>
      <c r="F138" s="15">
        <f t="shared" si="10"/>
        <v>7.7935</v>
      </c>
      <c r="G138" s="16">
        <v>0.35</v>
      </c>
    </row>
    <row r="139" ht="15.75" customHeight="1">
      <c r="A139" s="11">
        <v>45929.0</v>
      </c>
      <c r="B139" s="12">
        <v>45936.0</v>
      </c>
      <c r="C139" s="1" t="s">
        <v>75</v>
      </c>
      <c r="D139" s="41" t="s">
        <v>84</v>
      </c>
      <c r="E139" s="14">
        <v>6.99</v>
      </c>
      <c r="F139" s="15">
        <f t="shared" si="10"/>
        <v>4.893</v>
      </c>
      <c r="G139" s="16">
        <v>0.3</v>
      </c>
      <c r="H139" s="84">
        <v>45444.0</v>
      </c>
    </row>
    <row r="140" ht="15.75" customHeight="1">
      <c r="A140" s="11">
        <v>45929.0</v>
      </c>
      <c r="B140" s="12">
        <v>45936.0</v>
      </c>
      <c r="C140" s="1" t="s">
        <v>75</v>
      </c>
      <c r="D140" s="41" t="s">
        <v>85</v>
      </c>
      <c r="E140" s="14">
        <v>6.99</v>
      </c>
      <c r="F140" s="15">
        <f t="shared" si="10"/>
        <v>5.2425</v>
      </c>
      <c r="G140" s="16">
        <v>0.25</v>
      </c>
      <c r="H140" s="85">
        <v>45536.0</v>
      </c>
    </row>
    <row r="141" ht="15.75" customHeight="1">
      <c r="A141" s="11">
        <v>45929.0</v>
      </c>
      <c r="B141" s="12">
        <v>45936.0</v>
      </c>
      <c r="C141" s="1" t="s">
        <v>75</v>
      </c>
      <c r="D141" s="49" t="s">
        <v>91</v>
      </c>
      <c r="E141" s="14">
        <v>6.99</v>
      </c>
      <c r="F141" s="15">
        <f t="shared" si="10"/>
        <v>5.592</v>
      </c>
      <c r="G141" s="16">
        <v>0.2</v>
      </c>
      <c r="H141" s="84">
        <v>45748.0</v>
      </c>
    </row>
    <row r="142" ht="15.75" customHeight="1">
      <c r="A142" s="11">
        <v>45929.0</v>
      </c>
      <c r="B142" s="12">
        <v>45936.0</v>
      </c>
      <c r="C142" s="1" t="s">
        <v>75</v>
      </c>
      <c r="D142" s="41" t="s">
        <v>93</v>
      </c>
      <c r="E142" s="14">
        <v>6.99</v>
      </c>
      <c r="F142" s="15">
        <f t="shared" si="10"/>
        <v>6.99</v>
      </c>
      <c r="G142" s="16">
        <v>0.0</v>
      </c>
    </row>
    <row r="143" ht="15.75" customHeight="1">
      <c r="A143" s="11">
        <v>45929.0</v>
      </c>
      <c r="B143" s="12">
        <v>45936.0</v>
      </c>
      <c r="C143" s="1" t="s">
        <v>75</v>
      </c>
      <c r="D143" s="41" t="s">
        <v>97</v>
      </c>
      <c r="E143" s="14">
        <v>3.99</v>
      </c>
      <c r="F143" s="15">
        <f t="shared" si="10"/>
        <v>3.192</v>
      </c>
      <c r="G143" s="16">
        <v>0.2</v>
      </c>
    </row>
    <row r="144" ht="15.75" customHeight="1">
      <c r="A144" s="11">
        <v>45929.0</v>
      </c>
      <c r="B144" s="12">
        <v>45936.0</v>
      </c>
      <c r="C144" s="1" t="s">
        <v>75</v>
      </c>
      <c r="D144" s="41" t="s">
        <v>99</v>
      </c>
      <c r="E144" s="15">
        <v>24.99</v>
      </c>
      <c r="F144" s="15">
        <f t="shared" si="10"/>
        <v>17.493</v>
      </c>
      <c r="G144" s="16">
        <v>0.3</v>
      </c>
    </row>
    <row r="145" ht="15.75" customHeight="1">
      <c r="A145" s="11">
        <v>45929.0</v>
      </c>
      <c r="B145" s="12">
        <v>45936.0</v>
      </c>
      <c r="C145" s="1" t="s">
        <v>75</v>
      </c>
      <c r="D145" s="41" t="s">
        <v>100</v>
      </c>
      <c r="E145" s="15">
        <v>24.99</v>
      </c>
      <c r="F145" s="15">
        <f t="shared" si="10"/>
        <v>17.493</v>
      </c>
      <c r="G145" s="16">
        <v>0.3</v>
      </c>
    </row>
    <row r="146" ht="15.75" customHeight="1">
      <c r="A146" s="11">
        <v>45929.0</v>
      </c>
      <c r="B146" s="12">
        <v>45936.0</v>
      </c>
      <c r="C146" s="1" t="s">
        <v>75</v>
      </c>
      <c r="D146" s="41" t="s">
        <v>102</v>
      </c>
      <c r="E146" s="15">
        <v>24.99</v>
      </c>
      <c r="F146" s="15">
        <f t="shared" si="10"/>
        <v>18.7425</v>
      </c>
      <c r="G146" s="16">
        <v>0.25</v>
      </c>
    </row>
    <row r="147" ht="15.75" customHeight="1">
      <c r="A147" s="11">
        <v>45929.0</v>
      </c>
      <c r="B147" s="12">
        <v>45936.0</v>
      </c>
      <c r="C147" s="1" t="s">
        <v>75</v>
      </c>
      <c r="D147" s="41" t="s">
        <v>104</v>
      </c>
      <c r="E147" s="15">
        <v>24.99</v>
      </c>
      <c r="F147" s="15">
        <f t="shared" si="10"/>
        <v>24.99</v>
      </c>
      <c r="G147" s="16">
        <v>0.0</v>
      </c>
    </row>
    <row r="148" ht="15.75" customHeight="1">
      <c r="A148" s="11">
        <v>45929.0</v>
      </c>
      <c r="B148" s="12">
        <v>45936.0</v>
      </c>
      <c r="C148" s="1" t="s">
        <v>75</v>
      </c>
      <c r="D148" s="41" t="s">
        <v>105</v>
      </c>
      <c r="E148" s="15">
        <v>24.99</v>
      </c>
      <c r="F148" s="15">
        <f t="shared" si="10"/>
        <v>24.99</v>
      </c>
      <c r="G148" s="16">
        <v>0.0</v>
      </c>
    </row>
    <row r="149" ht="15.75" customHeight="1"/>
    <row r="150" ht="15.75" customHeight="1">
      <c r="A150" s="11">
        <v>46350.0</v>
      </c>
      <c r="B150" s="12">
        <v>46357.0</v>
      </c>
      <c r="C150" s="1" t="s">
        <v>408</v>
      </c>
      <c r="D150" s="33" t="s">
        <v>24</v>
      </c>
      <c r="E150" s="14">
        <v>29.99</v>
      </c>
      <c r="F150" s="15">
        <f t="shared" ref="F150:F167" si="11">E150*(1-G150)</f>
        <v>11.996</v>
      </c>
      <c r="G150" s="16">
        <v>0.6</v>
      </c>
    </row>
    <row r="151" ht="15.75" customHeight="1">
      <c r="A151" s="11">
        <v>46350.0</v>
      </c>
      <c r="B151" s="12">
        <v>46357.0</v>
      </c>
      <c r="C151" s="1" t="s">
        <v>408</v>
      </c>
      <c r="D151" s="33" t="s">
        <v>76</v>
      </c>
      <c r="E151" s="14">
        <v>39.99</v>
      </c>
      <c r="F151" s="15">
        <f t="shared" si="11"/>
        <v>15.996</v>
      </c>
      <c r="G151" s="16">
        <v>0.6</v>
      </c>
    </row>
    <row r="152" ht="15.75" customHeight="1">
      <c r="A152" s="11">
        <v>46350.0</v>
      </c>
      <c r="B152" s="12">
        <v>46357.0</v>
      </c>
      <c r="C152" s="1" t="s">
        <v>408</v>
      </c>
      <c r="D152" s="35" t="s">
        <v>77</v>
      </c>
      <c r="E152" s="36">
        <v>64.77</v>
      </c>
      <c r="F152" s="37">
        <f t="shared" si="11"/>
        <v>34.9758</v>
      </c>
      <c r="G152" s="38">
        <v>0.46</v>
      </c>
    </row>
    <row r="153" ht="15.75" customHeight="1">
      <c r="A153" s="11">
        <v>46350.0</v>
      </c>
      <c r="B153" s="12">
        <v>46357.0</v>
      </c>
      <c r="C153" s="1" t="s">
        <v>408</v>
      </c>
      <c r="D153" s="35" t="s">
        <v>79</v>
      </c>
      <c r="E153" s="36">
        <v>84.99</v>
      </c>
      <c r="F153" s="37">
        <f t="shared" si="11"/>
        <v>50.994</v>
      </c>
      <c r="G153" s="38">
        <v>0.4</v>
      </c>
    </row>
    <row r="154" ht="15.75" customHeight="1">
      <c r="A154" s="11">
        <v>46350.0</v>
      </c>
      <c r="B154" s="12">
        <v>46357.0</v>
      </c>
      <c r="C154" s="1" t="s">
        <v>408</v>
      </c>
      <c r="D154" s="40" t="s">
        <v>80</v>
      </c>
      <c r="E154" s="36">
        <v>104.99</v>
      </c>
      <c r="F154" s="37">
        <f t="shared" si="11"/>
        <v>75.5928</v>
      </c>
      <c r="G154" s="38">
        <v>0.28</v>
      </c>
    </row>
    <row r="155" ht="15.75" customHeight="1">
      <c r="A155" s="11">
        <v>46350.0</v>
      </c>
      <c r="B155" s="12">
        <v>46357.0</v>
      </c>
      <c r="C155" s="1" t="s">
        <v>408</v>
      </c>
      <c r="D155" s="49" t="s">
        <v>81</v>
      </c>
      <c r="E155" s="14">
        <v>123.95</v>
      </c>
      <c r="F155" s="15">
        <f t="shared" si="11"/>
        <v>99.16</v>
      </c>
      <c r="G155" s="16">
        <v>0.2</v>
      </c>
    </row>
    <row r="156" ht="15.75" customHeight="1">
      <c r="A156" s="11">
        <v>46350.0</v>
      </c>
      <c r="B156" s="12">
        <v>46357.0</v>
      </c>
      <c r="C156" s="1" t="s">
        <v>408</v>
      </c>
      <c r="D156" s="33" t="s">
        <v>82</v>
      </c>
      <c r="E156" s="14">
        <v>6.99</v>
      </c>
      <c r="F156" s="15">
        <f t="shared" si="11"/>
        <v>4.5435</v>
      </c>
      <c r="G156" s="16">
        <v>0.35</v>
      </c>
    </row>
    <row r="157" ht="15.75" customHeight="1">
      <c r="A157" s="11">
        <v>46350.0</v>
      </c>
      <c r="B157" s="12">
        <v>46357.0</v>
      </c>
      <c r="C157" s="1" t="s">
        <v>408</v>
      </c>
      <c r="D157" s="41" t="s">
        <v>83</v>
      </c>
      <c r="E157" s="14">
        <v>11.99</v>
      </c>
      <c r="F157" s="15">
        <f t="shared" si="11"/>
        <v>7.7935</v>
      </c>
      <c r="G157" s="16">
        <v>0.35</v>
      </c>
    </row>
    <row r="158" ht="15.75" customHeight="1">
      <c r="A158" s="11">
        <v>46350.0</v>
      </c>
      <c r="B158" s="12">
        <v>46357.0</v>
      </c>
      <c r="C158" s="1" t="s">
        <v>408</v>
      </c>
      <c r="D158" s="41" t="s">
        <v>84</v>
      </c>
      <c r="E158" s="14">
        <v>6.99</v>
      </c>
      <c r="F158" s="15">
        <f t="shared" si="11"/>
        <v>4.893</v>
      </c>
      <c r="G158" s="16">
        <v>0.3</v>
      </c>
    </row>
    <row r="159" ht="15.75" customHeight="1">
      <c r="A159" s="11">
        <v>46350.0</v>
      </c>
      <c r="B159" s="12">
        <v>46357.0</v>
      </c>
      <c r="C159" s="1" t="s">
        <v>408</v>
      </c>
      <c r="D159" s="41" t="s">
        <v>85</v>
      </c>
      <c r="E159" s="14">
        <v>6.99</v>
      </c>
      <c r="F159" s="15">
        <f t="shared" si="11"/>
        <v>5.2425</v>
      </c>
      <c r="G159" s="16">
        <v>0.25</v>
      </c>
    </row>
    <row r="160" ht="15.75" customHeight="1">
      <c r="A160" s="11">
        <v>46350.0</v>
      </c>
      <c r="B160" s="12">
        <v>46357.0</v>
      </c>
      <c r="C160" s="1" t="s">
        <v>408</v>
      </c>
      <c r="D160" s="41" t="s">
        <v>91</v>
      </c>
      <c r="E160" s="14">
        <v>6.99</v>
      </c>
      <c r="F160" s="15">
        <f t="shared" si="11"/>
        <v>5.592</v>
      </c>
      <c r="G160" s="16">
        <v>0.2</v>
      </c>
    </row>
    <row r="161" ht="15.75" customHeight="1">
      <c r="A161" s="11">
        <v>46350.0</v>
      </c>
      <c r="B161" s="12">
        <v>46357.0</v>
      </c>
      <c r="C161" s="1" t="s">
        <v>408</v>
      </c>
      <c r="D161" s="49" t="s">
        <v>93</v>
      </c>
      <c r="E161" s="14">
        <v>6.99</v>
      </c>
      <c r="F161" s="15">
        <f t="shared" si="11"/>
        <v>5.592</v>
      </c>
      <c r="G161" s="16">
        <v>0.2</v>
      </c>
    </row>
    <row r="162" ht="15.75" customHeight="1">
      <c r="A162" s="11">
        <v>46350.0</v>
      </c>
      <c r="B162" s="12">
        <v>46357.0</v>
      </c>
      <c r="C162" s="1" t="s">
        <v>408</v>
      </c>
      <c r="D162" s="41" t="s">
        <v>97</v>
      </c>
      <c r="E162" s="14">
        <v>3.99</v>
      </c>
      <c r="F162" s="15">
        <f t="shared" si="11"/>
        <v>3.192</v>
      </c>
      <c r="G162" s="16">
        <v>0.2</v>
      </c>
    </row>
    <row r="163" ht="15.75" customHeight="1">
      <c r="A163" s="11">
        <v>46350.0</v>
      </c>
      <c r="B163" s="12">
        <v>46357.0</v>
      </c>
      <c r="C163" s="1" t="s">
        <v>408</v>
      </c>
      <c r="D163" s="41" t="s">
        <v>99</v>
      </c>
      <c r="E163" s="15">
        <v>24.99</v>
      </c>
      <c r="F163" s="15">
        <f t="shared" si="11"/>
        <v>17.493</v>
      </c>
      <c r="G163" s="16">
        <v>0.3</v>
      </c>
    </row>
    <row r="164" ht="15.75" customHeight="1">
      <c r="A164" s="11">
        <v>46350.0</v>
      </c>
      <c r="B164" s="12">
        <v>46357.0</v>
      </c>
      <c r="C164" s="1" t="s">
        <v>408</v>
      </c>
      <c r="D164" s="41" t="s">
        <v>100</v>
      </c>
      <c r="E164" s="15">
        <v>24.99</v>
      </c>
      <c r="F164" s="15">
        <f t="shared" si="11"/>
        <v>17.493</v>
      </c>
      <c r="G164" s="16">
        <v>0.3</v>
      </c>
    </row>
    <row r="165" ht="15.75" customHeight="1">
      <c r="A165" s="11">
        <v>46350.0</v>
      </c>
      <c r="B165" s="12">
        <v>46357.0</v>
      </c>
      <c r="C165" s="1" t="s">
        <v>408</v>
      </c>
      <c r="D165" s="41" t="s">
        <v>102</v>
      </c>
      <c r="E165" s="15">
        <v>24.99</v>
      </c>
      <c r="F165" s="15">
        <f t="shared" si="11"/>
        <v>18.7425</v>
      </c>
      <c r="G165" s="16">
        <v>0.25</v>
      </c>
    </row>
    <row r="166" ht="15.75" customHeight="1">
      <c r="A166" s="11">
        <v>46350.0</v>
      </c>
      <c r="B166" s="12">
        <v>46357.0</v>
      </c>
      <c r="C166" s="1" t="s">
        <v>408</v>
      </c>
      <c r="D166" s="41" t="s">
        <v>104</v>
      </c>
      <c r="E166" s="15">
        <v>24.99</v>
      </c>
      <c r="F166" s="15">
        <f t="shared" si="11"/>
        <v>19.992</v>
      </c>
      <c r="G166" s="16">
        <v>0.2</v>
      </c>
    </row>
    <row r="167" ht="15.75" customHeight="1">
      <c r="A167" s="11">
        <v>46350.0</v>
      </c>
      <c r="B167" s="12">
        <v>46357.0</v>
      </c>
      <c r="C167" s="1" t="s">
        <v>408</v>
      </c>
      <c r="D167" s="41" t="s">
        <v>105</v>
      </c>
      <c r="E167" s="15">
        <v>24.99</v>
      </c>
      <c r="F167" s="15">
        <f t="shared" si="11"/>
        <v>24.99</v>
      </c>
      <c r="G167" s="16">
        <v>0.0</v>
      </c>
    </row>
    <row r="168" ht="15.75" customHeight="1"/>
    <row r="169" ht="15.75" customHeight="1">
      <c r="A169" s="11">
        <v>46374.0</v>
      </c>
      <c r="B169" s="12">
        <v>46027.0</v>
      </c>
      <c r="C169" s="1" t="s">
        <v>410</v>
      </c>
      <c r="D169" s="33" t="s">
        <v>24</v>
      </c>
      <c r="E169" s="14">
        <v>29.99</v>
      </c>
      <c r="F169" s="15">
        <f t="shared" ref="F169:F186" si="12">E169*(1-G169)</f>
        <v>11.996</v>
      </c>
      <c r="G169" s="16">
        <v>0.6</v>
      </c>
    </row>
    <row r="170" ht="15.75" customHeight="1">
      <c r="A170" s="11">
        <v>46374.0</v>
      </c>
      <c r="B170" s="12">
        <v>46027.0</v>
      </c>
      <c r="C170" s="1" t="s">
        <v>410</v>
      </c>
      <c r="D170" s="33" t="s">
        <v>76</v>
      </c>
      <c r="E170" s="14">
        <v>39.99</v>
      </c>
      <c r="F170" s="15">
        <f t="shared" si="12"/>
        <v>15.996</v>
      </c>
      <c r="G170" s="16">
        <v>0.6</v>
      </c>
    </row>
    <row r="171" ht="15.75" customHeight="1">
      <c r="A171" s="11">
        <v>46374.0</v>
      </c>
      <c r="B171" s="12">
        <v>46027.0</v>
      </c>
      <c r="C171" s="1" t="s">
        <v>410</v>
      </c>
      <c r="D171" s="35" t="s">
        <v>77</v>
      </c>
      <c r="E171" s="36">
        <v>64.77</v>
      </c>
      <c r="F171" s="37">
        <f t="shared" si="12"/>
        <v>34.9758</v>
      </c>
      <c r="G171" s="38">
        <v>0.46</v>
      </c>
    </row>
    <row r="172" ht="15.75" customHeight="1">
      <c r="A172" s="11">
        <v>46374.0</v>
      </c>
      <c r="B172" s="12">
        <v>46027.0</v>
      </c>
      <c r="C172" s="1" t="s">
        <v>410</v>
      </c>
      <c r="D172" s="35" t="s">
        <v>79</v>
      </c>
      <c r="E172" s="36">
        <v>84.99</v>
      </c>
      <c r="F172" s="37">
        <f t="shared" si="12"/>
        <v>50.994</v>
      </c>
      <c r="G172" s="38">
        <v>0.4</v>
      </c>
    </row>
    <row r="173" ht="15.75" customHeight="1">
      <c r="A173" s="11">
        <v>46374.0</v>
      </c>
      <c r="B173" s="12">
        <v>46027.0</v>
      </c>
      <c r="C173" s="1" t="s">
        <v>410</v>
      </c>
      <c r="D173" s="40" t="s">
        <v>80</v>
      </c>
      <c r="E173" s="36">
        <v>104.99</v>
      </c>
      <c r="F173" s="37">
        <f t="shared" si="12"/>
        <v>75.5928</v>
      </c>
      <c r="G173" s="38">
        <v>0.28</v>
      </c>
    </row>
    <row r="174" ht="15.75" customHeight="1">
      <c r="A174" s="11">
        <v>46374.0</v>
      </c>
      <c r="B174" s="12">
        <v>46027.0</v>
      </c>
      <c r="C174" s="1" t="s">
        <v>410</v>
      </c>
      <c r="D174" s="41" t="s">
        <v>81</v>
      </c>
      <c r="E174" s="14">
        <v>123.95</v>
      </c>
      <c r="F174" s="15">
        <f t="shared" si="12"/>
        <v>99.16</v>
      </c>
      <c r="G174" s="16">
        <v>0.2</v>
      </c>
    </row>
    <row r="175" ht="15.75" customHeight="1">
      <c r="A175" s="11">
        <v>46374.0</v>
      </c>
      <c r="B175" s="12">
        <v>46027.0</v>
      </c>
      <c r="C175" s="1" t="s">
        <v>410</v>
      </c>
      <c r="D175" s="33" t="s">
        <v>82</v>
      </c>
      <c r="E175" s="14">
        <v>6.99</v>
      </c>
      <c r="F175" s="15">
        <f t="shared" si="12"/>
        <v>4.5435</v>
      </c>
      <c r="G175" s="16">
        <v>0.35</v>
      </c>
    </row>
    <row r="176" ht="15.75" customHeight="1">
      <c r="A176" s="11">
        <v>46374.0</v>
      </c>
      <c r="B176" s="12">
        <v>46027.0</v>
      </c>
      <c r="C176" s="1" t="s">
        <v>410</v>
      </c>
      <c r="D176" s="41" t="s">
        <v>83</v>
      </c>
      <c r="E176" s="14">
        <v>11.99</v>
      </c>
      <c r="F176" s="15">
        <f t="shared" si="12"/>
        <v>7.7935</v>
      </c>
      <c r="G176" s="16">
        <v>0.35</v>
      </c>
    </row>
    <row r="177" ht="15.75" customHeight="1">
      <c r="A177" s="11">
        <v>46374.0</v>
      </c>
      <c r="B177" s="12">
        <v>46027.0</v>
      </c>
      <c r="C177" s="1" t="s">
        <v>410</v>
      </c>
      <c r="D177" s="41" t="s">
        <v>84</v>
      </c>
      <c r="E177" s="14">
        <v>6.99</v>
      </c>
      <c r="F177" s="15">
        <f t="shared" si="12"/>
        <v>4.5435</v>
      </c>
      <c r="G177" s="16">
        <v>0.35</v>
      </c>
    </row>
    <row r="178" ht="15.75" customHeight="1">
      <c r="A178" s="11">
        <v>46374.0</v>
      </c>
      <c r="B178" s="12">
        <v>46027.0</v>
      </c>
      <c r="C178" s="1" t="s">
        <v>410</v>
      </c>
      <c r="D178" s="41" t="s">
        <v>85</v>
      </c>
      <c r="E178" s="14">
        <v>6.99</v>
      </c>
      <c r="F178" s="15">
        <f t="shared" si="12"/>
        <v>4.893</v>
      </c>
      <c r="G178" s="16">
        <v>0.3</v>
      </c>
    </row>
    <row r="179" ht="15.75" customHeight="1">
      <c r="A179" s="11">
        <v>46374.0</v>
      </c>
      <c r="B179" s="12">
        <v>46027.0</v>
      </c>
      <c r="C179" s="1" t="s">
        <v>410</v>
      </c>
      <c r="D179" s="41" t="s">
        <v>91</v>
      </c>
      <c r="E179" s="14">
        <v>6.99</v>
      </c>
      <c r="F179" s="15">
        <f t="shared" si="12"/>
        <v>5.2425</v>
      </c>
      <c r="G179" s="16">
        <v>0.25</v>
      </c>
    </row>
    <row r="180" ht="15.75" customHeight="1">
      <c r="A180" s="11">
        <v>46374.0</v>
      </c>
      <c r="B180" s="12">
        <v>46027.0</v>
      </c>
      <c r="C180" s="1" t="s">
        <v>410</v>
      </c>
      <c r="D180" s="41" t="s">
        <v>93</v>
      </c>
      <c r="E180" s="14">
        <v>6.99</v>
      </c>
      <c r="F180" s="15">
        <f t="shared" si="12"/>
        <v>5.592</v>
      </c>
      <c r="G180" s="16">
        <v>0.2</v>
      </c>
    </row>
    <row r="181" ht="15.75" customHeight="1">
      <c r="A181" s="11">
        <v>46374.0</v>
      </c>
      <c r="B181" s="12">
        <v>46027.0</v>
      </c>
      <c r="C181" s="1" t="s">
        <v>410</v>
      </c>
      <c r="D181" s="41" t="s">
        <v>97</v>
      </c>
      <c r="E181" s="14">
        <v>3.99</v>
      </c>
      <c r="F181" s="15">
        <f t="shared" si="12"/>
        <v>3.192</v>
      </c>
      <c r="G181" s="16">
        <v>0.2</v>
      </c>
    </row>
    <row r="182" ht="15.75" customHeight="1">
      <c r="A182" s="11">
        <v>46374.0</v>
      </c>
      <c r="B182" s="12">
        <v>46027.0</v>
      </c>
      <c r="C182" s="1" t="s">
        <v>410</v>
      </c>
      <c r="D182" s="41" t="s">
        <v>99</v>
      </c>
      <c r="E182" s="15">
        <v>24.99</v>
      </c>
      <c r="F182" s="15">
        <f t="shared" si="12"/>
        <v>17.493</v>
      </c>
      <c r="G182" s="16">
        <v>0.3</v>
      </c>
    </row>
    <row r="183" ht="15.75" customHeight="1">
      <c r="A183" s="11">
        <v>46374.0</v>
      </c>
      <c r="B183" s="12">
        <v>46027.0</v>
      </c>
      <c r="C183" s="1" t="s">
        <v>410</v>
      </c>
      <c r="D183" s="41" t="s">
        <v>100</v>
      </c>
      <c r="E183" s="15">
        <v>24.99</v>
      </c>
      <c r="F183" s="15">
        <f t="shared" si="12"/>
        <v>17.493</v>
      </c>
      <c r="G183" s="16">
        <v>0.3</v>
      </c>
    </row>
    <row r="184" ht="15.75" customHeight="1">
      <c r="A184" s="11">
        <v>46374.0</v>
      </c>
      <c r="B184" s="12">
        <v>46027.0</v>
      </c>
      <c r="C184" s="1" t="s">
        <v>410</v>
      </c>
      <c r="D184" s="41" t="s">
        <v>102</v>
      </c>
      <c r="E184" s="15">
        <v>24.99</v>
      </c>
      <c r="F184" s="15">
        <f t="shared" si="12"/>
        <v>18.7425</v>
      </c>
      <c r="G184" s="16">
        <v>0.25</v>
      </c>
    </row>
    <row r="185" ht="15.75" customHeight="1">
      <c r="A185" s="11">
        <v>46374.0</v>
      </c>
      <c r="B185" s="12">
        <v>46027.0</v>
      </c>
      <c r="C185" s="1" t="s">
        <v>410</v>
      </c>
      <c r="D185" s="41" t="s">
        <v>104</v>
      </c>
      <c r="E185" s="15">
        <v>24.99</v>
      </c>
      <c r="F185" s="15">
        <f t="shared" si="12"/>
        <v>19.992</v>
      </c>
      <c r="G185" s="16">
        <v>0.2</v>
      </c>
    </row>
    <row r="186" ht="15.75" customHeight="1">
      <c r="A186" s="11">
        <v>46374.0</v>
      </c>
      <c r="B186" s="12">
        <v>46027.0</v>
      </c>
      <c r="C186" s="1" t="s">
        <v>410</v>
      </c>
      <c r="D186" s="41" t="s">
        <v>105</v>
      </c>
      <c r="E186" s="15">
        <v>24.99</v>
      </c>
      <c r="F186" s="15">
        <f t="shared" si="12"/>
        <v>24.99</v>
      </c>
      <c r="G186" s="16">
        <v>0.0</v>
      </c>
    </row>
    <row r="187" ht="15.75" customHeight="1"/>
    <row r="188" ht="15.75" customHeight="1"/>
    <row r="189" ht="15.75" customHeight="1"/>
    <row r="190" ht="15.75" customHeight="1"/>
    <row r="191" ht="15.75" customHeight="1">
      <c r="A191" s="39" t="s">
        <v>78</v>
      </c>
    </row>
    <row r="192" ht="15.75" customHeight="1">
      <c r="A192" s="43">
        <v>45660.0</v>
      </c>
      <c r="B192" s="43">
        <v>45670.0</v>
      </c>
      <c r="C192" s="44" t="s">
        <v>450</v>
      </c>
      <c r="D192" s="6" t="s">
        <v>24</v>
      </c>
      <c r="E192" s="8" t="s">
        <v>88</v>
      </c>
      <c r="F192" s="8" t="s">
        <v>280</v>
      </c>
      <c r="G192" s="46">
        <v>0.6</v>
      </c>
    </row>
    <row r="193" ht="15.75" customHeight="1">
      <c r="A193" s="43">
        <v>45660.0</v>
      </c>
      <c r="B193" s="43">
        <v>45670.0</v>
      </c>
      <c r="C193" s="44" t="s">
        <v>450</v>
      </c>
      <c r="D193" s="6" t="s">
        <v>24</v>
      </c>
      <c r="E193" s="8" t="s">
        <v>89</v>
      </c>
      <c r="F193" s="8" t="s">
        <v>281</v>
      </c>
      <c r="G193" s="46">
        <v>0.5</v>
      </c>
    </row>
    <row r="194" ht="15.75" customHeight="1">
      <c r="A194" s="43">
        <v>45660.0</v>
      </c>
      <c r="B194" s="43">
        <v>45670.0</v>
      </c>
      <c r="C194" s="44" t="s">
        <v>450</v>
      </c>
      <c r="D194" s="6" t="s">
        <v>20</v>
      </c>
      <c r="E194" s="8" t="s">
        <v>453</v>
      </c>
      <c r="F194" s="8" t="s">
        <v>469</v>
      </c>
      <c r="G194" s="46">
        <v>0.3</v>
      </c>
    </row>
    <row r="195" ht="15.75" customHeight="1">
      <c r="A195" s="43">
        <v>45660.0</v>
      </c>
      <c r="B195" s="43">
        <v>45670.0</v>
      </c>
      <c r="C195" s="44" t="s">
        <v>450</v>
      </c>
      <c r="D195" s="6" t="s">
        <v>20</v>
      </c>
      <c r="E195" s="8" t="s">
        <v>470</v>
      </c>
      <c r="F195" s="8" t="s">
        <v>471</v>
      </c>
      <c r="G195" s="46">
        <v>0.25</v>
      </c>
    </row>
    <row r="196" ht="15.75" customHeight="1">
      <c r="A196" s="43">
        <v>45660.0</v>
      </c>
      <c r="B196" s="43">
        <v>45670.0</v>
      </c>
      <c r="C196" s="44" t="s">
        <v>164</v>
      </c>
      <c r="D196" s="6" t="s">
        <v>99</v>
      </c>
      <c r="E196" s="8" t="s">
        <v>244</v>
      </c>
      <c r="F196" s="8" t="s">
        <v>245</v>
      </c>
      <c r="G196" s="46">
        <v>0.35</v>
      </c>
    </row>
    <row r="197" ht="15.75" customHeight="1">
      <c r="A197" s="43">
        <v>45660.0</v>
      </c>
      <c r="B197" s="43">
        <v>45670.0</v>
      </c>
      <c r="C197" s="44" t="s">
        <v>164</v>
      </c>
      <c r="D197" s="6" t="s">
        <v>100</v>
      </c>
      <c r="E197" s="8" t="s">
        <v>244</v>
      </c>
      <c r="F197" s="8" t="s">
        <v>245</v>
      </c>
      <c r="G197" s="46">
        <v>0.35</v>
      </c>
    </row>
    <row r="198" ht="15.75" customHeight="1">
      <c r="A198" s="43">
        <v>45660.0</v>
      </c>
      <c r="B198" s="43">
        <v>45670.0</v>
      </c>
      <c r="C198" s="44" t="s">
        <v>164</v>
      </c>
      <c r="D198" s="6" t="s">
        <v>102</v>
      </c>
      <c r="E198" s="8" t="s">
        <v>244</v>
      </c>
      <c r="F198" s="8" t="s">
        <v>472</v>
      </c>
      <c r="G198" s="46">
        <v>0.25</v>
      </c>
    </row>
    <row r="199" ht="15.75" customHeight="1">
      <c r="A199" s="43">
        <v>45660.0</v>
      </c>
      <c r="B199" s="43">
        <v>45670.0</v>
      </c>
      <c r="C199" s="44" t="s">
        <v>164</v>
      </c>
      <c r="D199" s="6" t="s">
        <v>99</v>
      </c>
      <c r="E199" s="8" t="s">
        <v>244</v>
      </c>
      <c r="F199" s="8" t="s">
        <v>254</v>
      </c>
      <c r="G199" s="46">
        <v>0.3</v>
      </c>
    </row>
    <row r="200" ht="15.75" customHeight="1">
      <c r="A200" s="43">
        <v>45660.0</v>
      </c>
      <c r="B200" s="43">
        <v>45670.0</v>
      </c>
      <c r="C200" s="44" t="s">
        <v>164</v>
      </c>
      <c r="D200" s="6" t="s">
        <v>100</v>
      </c>
      <c r="E200" s="8" t="s">
        <v>244</v>
      </c>
      <c r="F200" s="8" t="s">
        <v>254</v>
      </c>
      <c r="G200" s="46">
        <v>0.3</v>
      </c>
    </row>
    <row r="201" ht="15.75" customHeight="1">
      <c r="A201" s="43">
        <v>45660.0</v>
      </c>
      <c r="B201" s="43">
        <v>45670.0</v>
      </c>
      <c r="C201" s="44" t="s">
        <v>164</v>
      </c>
      <c r="D201" s="6" t="s">
        <v>102</v>
      </c>
      <c r="E201" s="8" t="s">
        <v>244</v>
      </c>
      <c r="F201" s="8" t="s">
        <v>472</v>
      </c>
      <c r="G201" s="46">
        <v>0.25</v>
      </c>
    </row>
    <row r="202" ht="15.75" customHeight="1">
      <c r="A202" s="43">
        <v>45671.0</v>
      </c>
      <c r="B202" s="43">
        <v>45684.0</v>
      </c>
      <c r="C202" s="44" t="s">
        <v>98</v>
      </c>
      <c r="D202" s="6" t="s">
        <v>17</v>
      </c>
      <c r="E202" s="8" t="s">
        <v>95</v>
      </c>
      <c r="F202" s="8" t="s">
        <v>305</v>
      </c>
      <c r="G202" s="46">
        <v>0.5</v>
      </c>
    </row>
    <row r="203" ht="15.75" customHeight="1">
      <c r="A203" s="43">
        <v>45671.0</v>
      </c>
      <c r="B203" s="43">
        <v>45684.0</v>
      </c>
      <c r="C203" s="44" t="s">
        <v>98</v>
      </c>
      <c r="D203" s="6" t="s">
        <v>17</v>
      </c>
      <c r="E203" s="8" t="s">
        <v>88</v>
      </c>
      <c r="F203" s="8" t="s">
        <v>473</v>
      </c>
      <c r="G203" s="46">
        <v>0.45</v>
      </c>
    </row>
    <row r="204" ht="15.75" customHeight="1">
      <c r="A204" s="43">
        <v>45681.0</v>
      </c>
      <c r="B204" s="43">
        <v>45694.0</v>
      </c>
      <c r="C204" s="44" t="s">
        <v>190</v>
      </c>
      <c r="D204" s="6" t="s">
        <v>25</v>
      </c>
      <c r="E204" s="8" t="s">
        <v>183</v>
      </c>
      <c r="F204" s="8" t="s">
        <v>468</v>
      </c>
      <c r="G204" s="46">
        <v>0.5</v>
      </c>
    </row>
    <row r="205" ht="15.75" customHeight="1">
      <c r="A205" s="43">
        <v>45681.0</v>
      </c>
      <c r="B205" s="43">
        <v>45694.0</v>
      </c>
      <c r="C205" s="44" t="s">
        <v>190</v>
      </c>
      <c r="D205" s="6" t="s">
        <v>25</v>
      </c>
      <c r="E205" s="8" t="s">
        <v>474</v>
      </c>
      <c r="F205" s="8" t="s">
        <v>475</v>
      </c>
      <c r="G205" s="46">
        <v>0.4</v>
      </c>
    </row>
    <row r="206" ht="15.75" customHeight="1">
      <c r="A206" s="43">
        <v>45681.0</v>
      </c>
      <c r="B206" s="43">
        <v>45694.0</v>
      </c>
      <c r="C206" s="44" t="s">
        <v>190</v>
      </c>
      <c r="D206" s="6" t="s">
        <v>195</v>
      </c>
      <c r="E206" s="8" t="s">
        <v>196</v>
      </c>
      <c r="F206" s="8" t="s">
        <v>198</v>
      </c>
      <c r="G206" s="46">
        <v>0.35</v>
      </c>
    </row>
    <row r="207" ht="15.75" customHeight="1">
      <c r="A207" s="43">
        <v>45681.0</v>
      </c>
      <c r="B207" s="43">
        <v>45694.0</v>
      </c>
      <c r="C207" s="44" t="s">
        <v>190</v>
      </c>
      <c r="D207" s="6" t="s">
        <v>201</v>
      </c>
      <c r="E207" s="8" t="s">
        <v>196</v>
      </c>
      <c r="F207" s="8" t="s">
        <v>198</v>
      </c>
      <c r="G207" s="46">
        <v>0.35</v>
      </c>
    </row>
    <row r="208" ht="15.75" customHeight="1">
      <c r="A208" s="43">
        <v>45681.0</v>
      </c>
      <c r="B208" s="43">
        <v>45694.0</v>
      </c>
      <c r="C208" s="44" t="s">
        <v>190</v>
      </c>
      <c r="D208" s="6" t="s">
        <v>203</v>
      </c>
      <c r="E208" s="8" t="s">
        <v>196</v>
      </c>
      <c r="F208" s="8" t="s">
        <v>198</v>
      </c>
      <c r="G208" s="46">
        <v>0.35</v>
      </c>
    </row>
    <row r="209" ht="15.75" customHeight="1">
      <c r="A209" s="43">
        <v>45681.0</v>
      </c>
      <c r="B209" s="43">
        <v>45694.0</v>
      </c>
      <c r="C209" s="44" t="s">
        <v>190</v>
      </c>
      <c r="D209" s="6" t="s">
        <v>205</v>
      </c>
      <c r="E209" s="8" t="s">
        <v>131</v>
      </c>
      <c r="F209" s="8" t="s">
        <v>207</v>
      </c>
      <c r="G209" s="46">
        <v>0.35</v>
      </c>
    </row>
    <row r="210" ht="15.75" customHeight="1">
      <c r="A210" s="43">
        <v>45681.0</v>
      </c>
      <c r="B210" s="43">
        <v>45694.0</v>
      </c>
      <c r="C210" s="44" t="s">
        <v>190</v>
      </c>
      <c r="D210" s="6" t="s">
        <v>209</v>
      </c>
      <c r="E210" s="8" t="s">
        <v>196</v>
      </c>
      <c r="F210" s="8" t="s">
        <v>198</v>
      </c>
      <c r="G210" s="46">
        <v>0.35</v>
      </c>
    </row>
    <row r="211" ht="15.75" customHeight="1">
      <c r="A211" s="43">
        <v>45681.0</v>
      </c>
      <c r="B211" s="43">
        <v>45694.0</v>
      </c>
      <c r="C211" s="44" t="s">
        <v>190</v>
      </c>
      <c r="D211" s="6" t="s">
        <v>210</v>
      </c>
      <c r="E211" s="8" t="s">
        <v>196</v>
      </c>
      <c r="F211" s="8" t="s">
        <v>198</v>
      </c>
      <c r="G211" s="46">
        <v>0.35</v>
      </c>
    </row>
    <row r="212" ht="15.75" customHeight="1">
      <c r="A212" s="43">
        <v>45681.0</v>
      </c>
      <c r="B212" s="43">
        <v>45694.0</v>
      </c>
      <c r="C212" s="44" t="s">
        <v>190</v>
      </c>
      <c r="D212" s="6" t="s">
        <v>211</v>
      </c>
      <c r="E212" s="8" t="s">
        <v>196</v>
      </c>
      <c r="F212" s="8" t="s">
        <v>198</v>
      </c>
      <c r="G212" s="46">
        <v>0.35</v>
      </c>
    </row>
    <row r="213" ht="15.75" customHeight="1">
      <c r="A213" s="43">
        <v>45681.0</v>
      </c>
      <c r="B213" s="43">
        <v>45694.0</v>
      </c>
      <c r="C213" s="44" t="s">
        <v>190</v>
      </c>
      <c r="D213" s="6" t="s">
        <v>214</v>
      </c>
      <c r="E213" s="8" t="s">
        <v>196</v>
      </c>
      <c r="F213" s="8" t="s">
        <v>198</v>
      </c>
      <c r="G213" s="46">
        <v>0.35</v>
      </c>
    </row>
    <row r="214" ht="15.75" customHeight="1">
      <c r="A214" s="43">
        <v>45681.0</v>
      </c>
      <c r="B214" s="43">
        <v>45694.0</v>
      </c>
      <c r="C214" s="44" t="s">
        <v>190</v>
      </c>
      <c r="D214" s="6" t="s">
        <v>217</v>
      </c>
      <c r="E214" s="8" t="s">
        <v>196</v>
      </c>
      <c r="F214" s="8" t="s">
        <v>198</v>
      </c>
      <c r="G214" s="46">
        <v>0.35</v>
      </c>
    </row>
    <row r="215" ht="15.75" customHeight="1">
      <c r="A215" s="43">
        <v>45681.0</v>
      </c>
      <c r="B215" s="43">
        <v>45694.0</v>
      </c>
      <c r="C215" s="44" t="s">
        <v>190</v>
      </c>
      <c r="D215" s="6" t="s">
        <v>220</v>
      </c>
      <c r="E215" s="8" t="s">
        <v>196</v>
      </c>
      <c r="F215" s="8" t="s">
        <v>198</v>
      </c>
      <c r="G215" s="46">
        <v>0.35</v>
      </c>
    </row>
    <row r="216" ht="15.75" customHeight="1">
      <c r="A216" s="43">
        <v>45681.0</v>
      </c>
      <c r="B216" s="43">
        <v>45694.0</v>
      </c>
      <c r="C216" s="44" t="s">
        <v>190</v>
      </c>
      <c r="D216" s="6" t="s">
        <v>221</v>
      </c>
      <c r="E216" s="8" t="s">
        <v>196</v>
      </c>
      <c r="F216" s="8" t="s">
        <v>198</v>
      </c>
      <c r="G216" s="46">
        <v>0.35</v>
      </c>
    </row>
    <row r="217" ht="15.75" customHeight="1">
      <c r="A217" s="43">
        <v>45681.0</v>
      </c>
      <c r="B217" s="43">
        <v>45694.0</v>
      </c>
      <c r="C217" s="44" t="s">
        <v>190</v>
      </c>
      <c r="D217" s="6" t="s">
        <v>224</v>
      </c>
      <c r="E217" s="8" t="s">
        <v>131</v>
      </c>
      <c r="F217" s="8" t="s">
        <v>225</v>
      </c>
      <c r="G217" s="46">
        <v>0.3</v>
      </c>
    </row>
    <row r="218" ht="15.75" customHeight="1">
      <c r="A218" s="43">
        <v>45681.0</v>
      </c>
      <c r="B218" s="43">
        <v>45694.0</v>
      </c>
      <c r="C218" s="44" t="s">
        <v>190</v>
      </c>
      <c r="D218" s="6" t="s">
        <v>226</v>
      </c>
      <c r="E218" s="8" t="s">
        <v>196</v>
      </c>
      <c r="F218" s="8" t="s">
        <v>242</v>
      </c>
      <c r="G218" s="46">
        <v>0.2</v>
      </c>
    </row>
    <row r="219" ht="15.75" customHeight="1">
      <c r="A219" s="43">
        <v>45681.0</v>
      </c>
      <c r="B219" s="43">
        <v>45694.0</v>
      </c>
      <c r="C219" s="44" t="s">
        <v>190</v>
      </c>
      <c r="D219" s="6" t="s">
        <v>195</v>
      </c>
      <c r="E219" s="8" t="s">
        <v>196</v>
      </c>
      <c r="F219" s="8" t="s">
        <v>198</v>
      </c>
      <c r="G219" s="46">
        <v>0.35</v>
      </c>
    </row>
    <row r="220" ht="15.75" customHeight="1">
      <c r="A220" s="43">
        <v>45681.0</v>
      </c>
      <c r="B220" s="43">
        <v>45694.0</v>
      </c>
      <c r="C220" s="44" t="s">
        <v>190</v>
      </c>
      <c r="D220" s="6" t="s">
        <v>201</v>
      </c>
      <c r="E220" s="8" t="s">
        <v>196</v>
      </c>
      <c r="F220" s="8" t="s">
        <v>198</v>
      </c>
      <c r="G220" s="46">
        <v>0.35</v>
      </c>
    </row>
    <row r="221" ht="15.75" customHeight="1">
      <c r="A221" s="43">
        <v>45681.0</v>
      </c>
      <c r="B221" s="43">
        <v>45694.0</v>
      </c>
      <c r="C221" s="44" t="s">
        <v>190</v>
      </c>
      <c r="D221" s="6" t="s">
        <v>203</v>
      </c>
      <c r="E221" s="8" t="s">
        <v>196</v>
      </c>
      <c r="F221" s="8" t="s">
        <v>198</v>
      </c>
      <c r="G221" s="46">
        <v>0.35</v>
      </c>
    </row>
    <row r="222" ht="15.75" customHeight="1">
      <c r="A222" s="43">
        <v>45681.0</v>
      </c>
      <c r="B222" s="43">
        <v>45694.0</v>
      </c>
      <c r="C222" s="44" t="s">
        <v>190</v>
      </c>
      <c r="D222" s="6" t="s">
        <v>205</v>
      </c>
      <c r="E222" s="8" t="s">
        <v>131</v>
      </c>
      <c r="F222" s="8" t="s">
        <v>207</v>
      </c>
      <c r="G222" s="46">
        <v>0.35</v>
      </c>
    </row>
    <row r="223" ht="15.75" customHeight="1">
      <c r="A223" s="43">
        <v>45681.0</v>
      </c>
      <c r="B223" s="43">
        <v>45694.0</v>
      </c>
      <c r="C223" s="44" t="s">
        <v>190</v>
      </c>
      <c r="D223" s="6" t="s">
        <v>209</v>
      </c>
      <c r="E223" s="8" t="s">
        <v>196</v>
      </c>
      <c r="F223" s="8" t="s">
        <v>198</v>
      </c>
      <c r="G223" s="46">
        <v>0.35</v>
      </c>
    </row>
    <row r="224" ht="15.75" customHeight="1">
      <c r="A224" s="43">
        <v>45681.0</v>
      </c>
      <c r="B224" s="43">
        <v>45694.0</v>
      </c>
      <c r="C224" s="44" t="s">
        <v>190</v>
      </c>
      <c r="D224" s="6" t="s">
        <v>210</v>
      </c>
      <c r="E224" s="8" t="s">
        <v>196</v>
      </c>
      <c r="F224" s="8" t="s">
        <v>198</v>
      </c>
      <c r="G224" s="46">
        <v>0.35</v>
      </c>
    </row>
    <row r="225" ht="15.75" customHeight="1">
      <c r="A225" s="43">
        <v>45681.0</v>
      </c>
      <c r="B225" s="43">
        <v>45694.0</v>
      </c>
      <c r="C225" s="44" t="s">
        <v>190</v>
      </c>
      <c r="D225" s="6" t="s">
        <v>211</v>
      </c>
      <c r="E225" s="8" t="s">
        <v>196</v>
      </c>
      <c r="F225" s="8" t="s">
        <v>198</v>
      </c>
      <c r="G225" s="46">
        <v>0.35</v>
      </c>
    </row>
    <row r="226" ht="15.75" customHeight="1">
      <c r="A226" s="43">
        <v>45681.0</v>
      </c>
      <c r="B226" s="43">
        <v>45694.0</v>
      </c>
      <c r="C226" s="44" t="s">
        <v>190</v>
      </c>
      <c r="D226" s="6" t="s">
        <v>214</v>
      </c>
      <c r="E226" s="8" t="s">
        <v>196</v>
      </c>
      <c r="F226" s="8" t="s">
        <v>198</v>
      </c>
      <c r="G226" s="46">
        <v>0.35</v>
      </c>
    </row>
    <row r="227" ht="15.75" customHeight="1">
      <c r="A227" s="43">
        <v>45681.0</v>
      </c>
      <c r="B227" s="43">
        <v>45694.0</v>
      </c>
      <c r="C227" s="44" t="s">
        <v>190</v>
      </c>
      <c r="D227" s="6" t="s">
        <v>217</v>
      </c>
      <c r="E227" s="8" t="s">
        <v>196</v>
      </c>
      <c r="F227" s="8" t="s">
        <v>198</v>
      </c>
      <c r="G227" s="46">
        <v>0.35</v>
      </c>
    </row>
    <row r="228" ht="15.75" customHeight="1">
      <c r="A228" s="43">
        <v>45681.0</v>
      </c>
      <c r="B228" s="43">
        <v>45694.0</v>
      </c>
      <c r="C228" s="44" t="s">
        <v>190</v>
      </c>
      <c r="D228" s="6" t="s">
        <v>220</v>
      </c>
      <c r="E228" s="8" t="s">
        <v>196</v>
      </c>
      <c r="F228" s="8" t="s">
        <v>198</v>
      </c>
      <c r="G228" s="46">
        <v>0.35</v>
      </c>
    </row>
    <row r="229" ht="15.75" customHeight="1">
      <c r="A229" s="43">
        <v>45681.0</v>
      </c>
      <c r="B229" s="43">
        <v>45694.0</v>
      </c>
      <c r="C229" s="44" t="s">
        <v>190</v>
      </c>
      <c r="D229" s="6" t="s">
        <v>221</v>
      </c>
      <c r="E229" s="8" t="s">
        <v>196</v>
      </c>
      <c r="F229" s="8" t="s">
        <v>198</v>
      </c>
      <c r="G229" s="46">
        <v>0.35</v>
      </c>
    </row>
    <row r="230" ht="15.75" customHeight="1">
      <c r="A230" s="43">
        <v>45681.0</v>
      </c>
      <c r="B230" s="43">
        <v>45694.0</v>
      </c>
      <c r="C230" s="44" t="s">
        <v>190</v>
      </c>
      <c r="D230" s="6" t="s">
        <v>224</v>
      </c>
      <c r="E230" s="8" t="s">
        <v>240</v>
      </c>
      <c r="F230" s="8" t="s">
        <v>241</v>
      </c>
      <c r="G230" s="46">
        <v>0.3</v>
      </c>
    </row>
    <row r="231" ht="15.75" customHeight="1">
      <c r="A231" s="43">
        <v>45681.0</v>
      </c>
      <c r="B231" s="43">
        <v>45694.0</v>
      </c>
      <c r="C231" s="44" t="s">
        <v>190</v>
      </c>
      <c r="D231" s="6" t="s">
        <v>226</v>
      </c>
      <c r="E231" s="8" t="s">
        <v>196</v>
      </c>
      <c r="F231" s="8" t="s">
        <v>242</v>
      </c>
      <c r="G231" s="46">
        <v>0.2</v>
      </c>
    </row>
    <row r="232" ht="15.75" customHeight="1">
      <c r="A232" s="43">
        <v>45692.0</v>
      </c>
      <c r="B232" s="43">
        <v>45698.0</v>
      </c>
      <c r="C232" s="44" t="s">
        <v>92</v>
      </c>
      <c r="D232" s="6" t="s">
        <v>19</v>
      </c>
      <c r="E232" s="8" t="s">
        <v>269</v>
      </c>
      <c r="F232" s="8" t="s">
        <v>184</v>
      </c>
      <c r="G232" s="46">
        <v>0.5</v>
      </c>
    </row>
    <row r="233" ht="15.75" customHeight="1">
      <c r="A233" s="43">
        <v>45692.0</v>
      </c>
      <c r="B233" s="43">
        <v>45698.0</v>
      </c>
      <c r="C233" s="44" t="s">
        <v>92</v>
      </c>
      <c r="D233" s="6" t="s">
        <v>19</v>
      </c>
      <c r="E233" s="8" t="s">
        <v>269</v>
      </c>
      <c r="F233" s="8" t="s">
        <v>479</v>
      </c>
      <c r="G233" s="46">
        <v>0.4</v>
      </c>
    </row>
    <row r="234" ht="15.75" customHeight="1">
      <c r="A234" s="43">
        <v>45706.0</v>
      </c>
      <c r="B234" s="43">
        <v>45712.0</v>
      </c>
      <c r="C234" s="44" t="s">
        <v>92</v>
      </c>
      <c r="D234" s="6" t="s">
        <v>24</v>
      </c>
      <c r="E234" s="8" t="s">
        <v>88</v>
      </c>
      <c r="F234" s="8" t="s">
        <v>280</v>
      </c>
      <c r="G234" s="46">
        <v>0.6</v>
      </c>
    </row>
    <row r="235" ht="15.75" customHeight="1">
      <c r="A235" s="43">
        <v>45706.0</v>
      </c>
      <c r="B235" s="43">
        <v>45712.0</v>
      </c>
      <c r="C235" s="44" t="s">
        <v>92</v>
      </c>
      <c r="D235" s="6" t="s">
        <v>24</v>
      </c>
      <c r="E235" s="8" t="s">
        <v>89</v>
      </c>
      <c r="F235" s="8" t="s">
        <v>281</v>
      </c>
      <c r="G235" s="46">
        <v>0.5</v>
      </c>
    </row>
    <row r="236" ht="15.75" customHeight="1">
      <c r="A236" s="43">
        <v>45706.0</v>
      </c>
      <c r="B236" s="43">
        <v>45712.0</v>
      </c>
      <c r="C236" s="44" t="s">
        <v>92</v>
      </c>
      <c r="D236" s="6" t="s">
        <v>99</v>
      </c>
      <c r="E236" s="8" t="s">
        <v>244</v>
      </c>
      <c r="F236" s="8" t="s">
        <v>245</v>
      </c>
      <c r="G236" s="46">
        <v>0.35</v>
      </c>
    </row>
    <row r="237" ht="15.75" customHeight="1">
      <c r="A237" s="43">
        <v>45706.0</v>
      </c>
      <c r="B237" s="43">
        <v>45712.0</v>
      </c>
      <c r="C237" s="44" t="s">
        <v>92</v>
      </c>
      <c r="D237" s="6" t="s">
        <v>100</v>
      </c>
      <c r="E237" s="8" t="s">
        <v>244</v>
      </c>
      <c r="F237" s="8" t="s">
        <v>245</v>
      </c>
      <c r="G237" s="46">
        <v>0.35</v>
      </c>
    </row>
    <row r="238" ht="15.75" customHeight="1">
      <c r="A238" s="43">
        <v>45706.0</v>
      </c>
      <c r="B238" s="43">
        <v>45712.0</v>
      </c>
      <c r="C238" s="44" t="s">
        <v>92</v>
      </c>
      <c r="D238" s="6" t="s">
        <v>102</v>
      </c>
      <c r="E238" s="8" t="s">
        <v>244</v>
      </c>
      <c r="F238" s="8" t="s">
        <v>472</v>
      </c>
      <c r="G238" s="46">
        <v>0.25</v>
      </c>
    </row>
    <row r="239" ht="15.75" customHeight="1">
      <c r="A239" s="43">
        <v>45706.0</v>
      </c>
      <c r="B239" s="43">
        <v>45712.0</v>
      </c>
      <c r="C239" s="44" t="s">
        <v>92</v>
      </c>
      <c r="D239" s="6" t="s">
        <v>99</v>
      </c>
      <c r="E239" s="8" t="s">
        <v>244</v>
      </c>
      <c r="F239" s="8" t="s">
        <v>254</v>
      </c>
      <c r="G239" s="46">
        <v>0.3</v>
      </c>
    </row>
    <row r="240" ht="15.75" customHeight="1">
      <c r="A240" s="43">
        <v>45706.0</v>
      </c>
      <c r="B240" s="43">
        <v>45712.0</v>
      </c>
      <c r="C240" s="44" t="s">
        <v>92</v>
      </c>
      <c r="D240" s="6" t="s">
        <v>100</v>
      </c>
      <c r="E240" s="8" t="s">
        <v>244</v>
      </c>
      <c r="F240" s="8" t="s">
        <v>254</v>
      </c>
      <c r="G240" s="46">
        <v>0.3</v>
      </c>
    </row>
    <row r="241" ht="15.75" customHeight="1">
      <c r="A241" s="43">
        <v>45706.0</v>
      </c>
      <c r="B241" s="43">
        <v>45712.0</v>
      </c>
      <c r="C241" s="44" t="s">
        <v>92</v>
      </c>
      <c r="D241" s="6" t="s">
        <v>102</v>
      </c>
      <c r="E241" s="8" t="s">
        <v>244</v>
      </c>
      <c r="F241" s="8" t="s">
        <v>472</v>
      </c>
      <c r="G241" s="46">
        <v>0.25</v>
      </c>
    </row>
    <row r="242" ht="15.75" customHeight="1">
      <c r="A242" s="43">
        <v>45713.0</v>
      </c>
      <c r="B242" s="43">
        <v>45719.0</v>
      </c>
      <c r="C242" s="44" t="s">
        <v>92</v>
      </c>
      <c r="D242" s="6" t="s">
        <v>20</v>
      </c>
      <c r="E242" s="8" t="s">
        <v>453</v>
      </c>
      <c r="F242" s="8" t="s">
        <v>469</v>
      </c>
      <c r="G242" s="46">
        <v>0.3</v>
      </c>
    </row>
    <row r="243" ht="15.75" customHeight="1">
      <c r="A243" s="43">
        <v>45713.0</v>
      </c>
      <c r="B243" s="43">
        <v>45719.0</v>
      </c>
      <c r="C243" s="44" t="s">
        <v>92</v>
      </c>
      <c r="D243" s="6" t="s">
        <v>20</v>
      </c>
      <c r="E243" s="8" t="s">
        <v>470</v>
      </c>
      <c r="F243" s="8" t="s">
        <v>471</v>
      </c>
      <c r="G243" s="46">
        <v>0.25</v>
      </c>
    </row>
    <row r="244" ht="15.75" customHeight="1">
      <c r="A244" s="43">
        <v>45720.0</v>
      </c>
      <c r="B244" s="43">
        <v>45726.0</v>
      </c>
      <c r="C244" s="44" t="s">
        <v>92</v>
      </c>
      <c r="D244" s="6" t="s">
        <v>17</v>
      </c>
      <c r="E244" s="8" t="s">
        <v>95</v>
      </c>
      <c r="F244" s="8" t="s">
        <v>305</v>
      </c>
      <c r="G244" s="46">
        <v>0.5</v>
      </c>
    </row>
    <row r="245" ht="15.75" customHeight="1">
      <c r="A245" s="43">
        <v>45720.0</v>
      </c>
      <c r="B245" s="43">
        <v>45726.0</v>
      </c>
      <c r="C245" s="44" t="s">
        <v>92</v>
      </c>
      <c r="D245" s="6" t="s">
        <v>17</v>
      </c>
      <c r="E245" s="8" t="s">
        <v>88</v>
      </c>
      <c r="F245" s="8" t="s">
        <v>473</v>
      </c>
      <c r="G245" s="46">
        <v>0.45</v>
      </c>
    </row>
    <row r="246" ht="15.75" customHeight="1">
      <c r="A246" s="43">
        <v>45727.0</v>
      </c>
      <c r="B246" s="43">
        <v>45733.0</v>
      </c>
      <c r="C246" s="44" t="s">
        <v>92</v>
      </c>
      <c r="D246" s="6" t="s">
        <v>25</v>
      </c>
      <c r="E246" s="8" t="s">
        <v>183</v>
      </c>
      <c r="F246" s="8" t="s">
        <v>468</v>
      </c>
      <c r="G246" s="46">
        <v>0.5</v>
      </c>
    </row>
    <row r="247" ht="15.75" customHeight="1">
      <c r="A247" s="43">
        <v>45727.0</v>
      </c>
      <c r="B247" s="43">
        <v>45733.0</v>
      </c>
      <c r="C247" s="44" t="s">
        <v>92</v>
      </c>
      <c r="D247" s="6" t="s">
        <v>25</v>
      </c>
      <c r="E247" s="8" t="s">
        <v>474</v>
      </c>
      <c r="F247" s="8" t="s">
        <v>475</v>
      </c>
      <c r="G247" s="46">
        <v>0.4</v>
      </c>
    </row>
    <row r="248" ht="15.75" customHeight="1">
      <c r="A248" s="43">
        <v>45727.0</v>
      </c>
      <c r="B248" s="43">
        <v>45733.0</v>
      </c>
      <c r="C248" s="44" t="s">
        <v>92</v>
      </c>
      <c r="D248" s="6" t="s">
        <v>195</v>
      </c>
      <c r="E248" s="8" t="s">
        <v>196</v>
      </c>
      <c r="F248" s="8" t="s">
        <v>198</v>
      </c>
      <c r="G248" s="46">
        <v>0.35</v>
      </c>
    </row>
    <row r="249" ht="15.75" customHeight="1">
      <c r="A249" s="43">
        <v>45727.0</v>
      </c>
      <c r="B249" s="43">
        <v>45733.0</v>
      </c>
      <c r="C249" s="44" t="s">
        <v>92</v>
      </c>
      <c r="D249" s="6" t="s">
        <v>201</v>
      </c>
      <c r="E249" s="8" t="s">
        <v>196</v>
      </c>
      <c r="F249" s="8" t="s">
        <v>198</v>
      </c>
      <c r="G249" s="46">
        <v>0.35</v>
      </c>
    </row>
    <row r="250" ht="15.75" customHeight="1">
      <c r="A250" s="43">
        <v>45727.0</v>
      </c>
      <c r="B250" s="43">
        <v>45733.0</v>
      </c>
      <c r="C250" s="44" t="s">
        <v>92</v>
      </c>
      <c r="D250" s="6" t="s">
        <v>203</v>
      </c>
      <c r="E250" s="8" t="s">
        <v>196</v>
      </c>
      <c r="F250" s="8" t="s">
        <v>198</v>
      </c>
      <c r="G250" s="46">
        <v>0.35</v>
      </c>
    </row>
    <row r="251" ht="15.75" customHeight="1">
      <c r="A251" s="43">
        <v>45727.0</v>
      </c>
      <c r="B251" s="43">
        <v>45733.0</v>
      </c>
      <c r="C251" s="44" t="s">
        <v>92</v>
      </c>
      <c r="D251" s="6" t="s">
        <v>205</v>
      </c>
      <c r="E251" s="8" t="s">
        <v>131</v>
      </c>
      <c r="F251" s="8" t="s">
        <v>207</v>
      </c>
      <c r="G251" s="46">
        <v>0.35</v>
      </c>
    </row>
    <row r="252" ht="15.75" customHeight="1">
      <c r="A252" s="43">
        <v>45727.0</v>
      </c>
      <c r="B252" s="43">
        <v>45733.0</v>
      </c>
      <c r="C252" s="44" t="s">
        <v>92</v>
      </c>
      <c r="D252" s="6" t="s">
        <v>209</v>
      </c>
      <c r="E252" s="8" t="s">
        <v>196</v>
      </c>
      <c r="F252" s="8" t="s">
        <v>198</v>
      </c>
      <c r="G252" s="46">
        <v>0.35</v>
      </c>
    </row>
    <row r="253" ht="15.75" customHeight="1">
      <c r="A253" s="43">
        <v>45727.0</v>
      </c>
      <c r="B253" s="43">
        <v>45733.0</v>
      </c>
      <c r="C253" s="44" t="s">
        <v>92</v>
      </c>
      <c r="D253" s="6" t="s">
        <v>210</v>
      </c>
      <c r="E253" s="8" t="s">
        <v>196</v>
      </c>
      <c r="F253" s="8" t="s">
        <v>198</v>
      </c>
      <c r="G253" s="46">
        <v>0.35</v>
      </c>
    </row>
    <row r="254" ht="15.75" customHeight="1">
      <c r="A254" s="43">
        <v>45727.0</v>
      </c>
      <c r="B254" s="43">
        <v>45733.0</v>
      </c>
      <c r="C254" s="44" t="s">
        <v>92</v>
      </c>
      <c r="D254" s="6" t="s">
        <v>211</v>
      </c>
      <c r="E254" s="8" t="s">
        <v>196</v>
      </c>
      <c r="F254" s="8" t="s">
        <v>198</v>
      </c>
      <c r="G254" s="46">
        <v>0.35</v>
      </c>
    </row>
    <row r="255" ht="15.75" customHeight="1">
      <c r="A255" s="43">
        <v>45727.0</v>
      </c>
      <c r="B255" s="43">
        <v>45733.0</v>
      </c>
      <c r="C255" s="44" t="s">
        <v>92</v>
      </c>
      <c r="D255" s="6" t="s">
        <v>214</v>
      </c>
      <c r="E255" s="8" t="s">
        <v>196</v>
      </c>
      <c r="F255" s="8" t="s">
        <v>198</v>
      </c>
      <c r="G255" s="46">
        <v>0.35</v>
      </c>
    </row>
    <row r="256" ht="15.75" customHeight="1">
      <c r="A256" s="43">
        <v>45727.0</v>
      </c>
      <c r="B256" s="43">
        <v>45733.0</v>
      </c>
      <c r="C256" s="44" t="s">
        <v>92</v>
      </c>
      <c r="D256" s="6" t="s">
        <v>217</v>
      </c>
      <c r="E256" s="8" t="s">
        <v>196</v>
      </c>
      <c r="F256" s="8" t="s">
        <v>198</v>
      </c>
      <c r="G256" s="46">
        <v>0.35</v>
      </c>
    </row>
    <row r="257" ht="15.75" customHeight="1">
      <c r="A257" s="43">
        <v>45727.0</v>
      </c>
      <c r="B257" s="43">
        <v>45733.0</v>
      </c>
      <c r="C257" s="44" t="s">
        <v>92</v>
      </c>
      <c r="D257" s="6" t="s">
        <v>220</v>
      </c>
      <c r="E257" s="8" t="s">
        <v>196</v>
      </c>
      <c r="F257" s="8" t="s">
        <v>198</v>
      </c>
      <c r="G257" s="46">
        <v>0.35</v>
      </c>
    </row>
    <row r="258" ht="15.75" customHeight="1">
      <c r="A258" s="43">
        <v>45727.0</v>
      </c>
      <c r="B258" s="43">
        <v>45733.0</v>
      </c>
      <c r="C258" s="44" t="s">
        <v>92</v>
      </c>
      <c r="D258" s="6" t="s">
        <v>221</v>
      </c>
      <c r="E258" s="8" t="s">
        <v>196</v>
      </c>
      <c r="F258" s="8" t="s">
        <v>198</v>
      </c>
      <c r="G258" s="46">
        <v>0.35</v>
      </c>
    </row>
    <row r="259" ht="15.75" customHeight="1">
      <c r="A259" s="43">
        <v>45727.0</v>
      </c>
      <c r="B259" s="43">
        <v>45733.0</v>
      </c>
      <c r="C259" s="44" t="s">
        <v>92</v>
      </c>
      <c r="D259" s="6" t="s">
        <v>224</v>
      </c>
      <c r="E259" s="8" t="s">
        <v>131</v>
      </c>
      <c r="F259" s="8" t="s">
        <v>225</v>
      </c>
      <c r="G259" s="46">
        <v>0.3</v>
      </c>
    </row>
    <row r="260" ht="15.75" customHeight="1">
      <c r="A260" s="43">
        <v>45727.0</v>
      </c>
      <c r="B260" s="43">
        <v>45733.0</v>
      </c>
      <c r="C260" s="44" t="s">
        <v>92</v>
      </c>
      <c r="D260" s="6" t="s">
        <v>226</v>
      </c>
      <c r="E260" s="8" t="s">
        <v>196</v>
      </c>
      <c r="F260" s="8" t="s">
        <v>242</v>
      </c>
      <c r="G260" s="46">
        <v>0.25</v>
      </c>
    </row>
    <row r="261" ht="15.75" customHeight="1">
      <c r="A261" s="43">
        <v>45727.0</v>
      </c>
      <c r="B261" s="43">
        <v>45733.0</v>
      </c>
      <c r="C261" s="44" t="s">
        <v>92</v>
      </c>
      <c r="D261" s="6" t="s">
        <v>229</v>
      </c>
      <c r="E261" s="8" t="s">
        <v>196</v>
      </c>
      <c r="F261" s="8" t="s">
        <v>242</v>
      </c>
      <c r="G261" s="46">
        <v>0.2</v>
      </c>
    </row>
    <row r="262" ht="15.75" customHeight="1">
      <c r="A262" s="43">
        <v>45727.0</v>
      </c>
      <c r="B262" s="43">
        <v>45733.0</v>
      </c>
      <c r="C262" s="44" t="s">
        <v>92</v>
      </c>
      <c r="D262" s="6" t="s">
        <v>195</v>
      </c>
      <c r="E262" s="8" t="s">
        <v>196</v>
      </c>
      <c r="F262" s="8" t="s">
        <v>198</v>
      </c>
      <c r="G262" s="46">
        <v>0.35</v>
      </c>
    </row>
    <row r="263" ht="15.75" customHeight="1">
      <c r="A263" s="43">
        <v>45727.0</v>
      </c>
      <c r="B263" s="43">
        <v>45733.0</v>
      </c>
      <c r="C263" s="44" t="s">
        <v>92</v>
      </c>
      <c r="D263" s="6" t="s">
        <v>201</v>
      </c>
      <c r="E263" s="8" t="s">
        <v>196</v>
      </c>
      <c r="F263" s="8" t="s">
        <v>198</v>
      </c>
      <c r="G263" s="46">
        <v>0.35</v>
      </c>
    </row>
    <row r="264" ht="15.75" customHeight="1">
      <c r="A264" s="43">
        <v>45727.0</v>
      </c>
      <c r="B264" s="43">
        <v>45733.0</v>
      </c>
      <c r="C264" s="44" t="s">
        <v>92</v>
      </c>
      <c r="D264" s="6" t="s">
        <v>203</v>
      </c>
      <c r="E264" s="8" t="s">
        <v>196</v>
      </c>
      <c r="F264" s="8" t="s">
        <v>198</v>
      </c>
      <c r="G264" s="46">
        <v>0.35</v>
      </c>
    </row>
    <row r="265" ht="15.75" customHeight="1">
      <c r="A265" s="43">
        <v>45727.0</v>
      </c>
      <c r="B265" s="43">
        <v>45733.0</v>
      </c>
      <c r="C265" s="44" t="s">
        <v>92</v>
      </c>
      <c r="D265" s="6" t="s">
        <v>205</v>
      </c>
      <c r="E265" s="8" t="s">
        <v>131</v>
      </c>
      <c r="F265" s="8" t="s">
        <v>207</v>
      </c>
      <c r="G265" s="46">
        <v>0.35</v>
      </c>
    </row>
    <row r="266" ht="15.75" customHeight="1">
      <c r="A266" s="43">
        <v>45727.0</v>
      </c>
      <c r="B266" s="43">
        <v>45733.0</v>
      </c>
      <c r="C266" s="44" t="s">
        <v>92</v>
      </c>
      <c r="D266" s="6" t="s">
        <v>209</v>
      </c>
      <c r="E266" s="8" t="s">
        <v>196</v>
      </c>
      <c r="F266" s="8" t="s">
        <v>198</v>
      </c>
      <c r="G266" s="46">
        <v>0.35</v>
      </c>
    </row>
    <row r="267" ht="15.75" customHeight="1">
      <c r="A267" s="43">
        <v>45727.0</v>
      </c>
      <c r="B267" s="43">
        <v>45733.0</v>
      </c>
      <c r="C267" s="44" t="s">
        <v>92</v>
      </c>
      <c r="D267" s="6" t="s">
        <v>210</v>
      </c>
      <c r="E267" s="8" t="s">
        <v>196</v>
      </c>
      <c r="F267" s="8" t="s">
        <v>198</v>
      </c>
      <c r="G267" s="46">
        <v>0.35</v>
      </c>
    </row>
    <row r="268" ht="15.75" customHeight="1">
      <c r="A268" s="43">
        <v>45727.0</v>
      </c>
      <c r="B268" s="43">
        <v>45733.0</v>
      </c>
      <c r="C268" s="44" t="s">
        <v>92</v>
      </c>
      <c r="D268" s="6" t="s">
        <v>211</v>
      </c>
      <c r="E268" s="8" t="s">
        <v>196</v>
      </c>
      <c r="F268" s="8" t="s">
        <v>198</v>
      </c>
      <c r="G268" s="46">
        <v>0.35</v>
      </c>
    </row>
    <row r="269" ht="15.75" customHeight="1">
      <c r="A269" s="43">
        <v>45727.0</v>
      </c>
      <c r="B269" s="43">
        <v>45733.0</v>
      </c>
      <c r="C269" s="44" t="s">
        <v>92</v>
      </c>
      <c r="D269" s="6" t="s">
        <v>214</v>
      </c>
      <c r="E269" s="8" t="s">
        <v>196</v>
      </c>
      <c r="F269" s="8" t="s">
        <v>198</v>
      </c>
      <c r="G269" s="46">
        <v>0.35</v>
      </c>
    </row>
    <row r="270" ht="15.75" customHeight="1">
      <c r="A270" s="43">
        <v>45727.0</v>
      </c>
      <c r="B270" s="43">
        <v>45733.0</v>
      </c>
      <c r="C270" s="44" t="s">
        <v>92</v>
      </c>
      <c r="D270" s="6" t="s">
        <v>217</v>
      </c>
      <c r="E270" s="8" t="s">
        <v>196</v>
      </c>
      <c r="F270" s="8" t="s">
        <v>198</v>
      </c>
      <c r="G270" s="46">
        <v>0.35</v>
      </c>
    </row>
    <row r="271" ht="15.75" customHeight="1">
      <c r="A271" s="43">
        <v>45727.0</v>
      </c>
      <c r="B271" s="43">
        <v>45733.0</v>
      </c>
      <c r="C271" s="44" t="s">
        <v>92</v>
      </c>
      <c r="D271" s="6" t="s">
        <v>220</v>
      </c>
      <c r="E271" s="8" t="s">
        <v>196</v>
      </c>
      <c r="F271" s="8" t="s">
        <v>198</v>
      </c>
      <c r="G271" s="46">
        <v>0.35</v>
      </c>
    </row>
    <row r="272" ht="15.75" customHeight="1">
      <c r="A272" s="43">
        <v>45727.0</v>
      </c>
      <c r="B272" s="43">
        <v>45733.0</v>
      </c>
      <c r="C272" s="44" t="s">
        <v>92</v>
      </c>
      <c r="D272" s="6" t="s">
        <v>221</v>
      </c>
      <c r="E272" s="8" t="s">
        <v>196</v>
      </c>
      <c r="F272" s="8" t="s">
        <v>198</v>
      </c>
      <c r="G272" s="46">
        <v>0.35</v>
      </c>
    </row>
    <row r="273" ht="15.75" customHeight="1">
      <c r="A273" s="43">
        <v>45727.0</v>
      </c>
      <c r="B273" s="43">
        <v>45733.0</v>
      </c>
      <c r="C273" s="44" t="s">
        <v>92</v>
      </c>
      <c r="D273" s="6" t="s">
        <v>224</v>
      </c>
      <c r="E273" s="8" t="s">
        <v>240</v>
      </c>
      <c r="F273" s="8" t="s">
        <v>241</v>
      </c>
      <c r="G273" s="46">
        <v>0.3</v>
      </c>
    </row>
    <row r="274" ht="15.75" customHeight="1">
      <c r="A274" s="43">
        <v>45727.0</v>
      </c>
      <c r="B274" s="43">
        <v>45733.0</v>
      </c>
      <c r="C274" s="44" t="s">
        <v>92</v>
      </c>
      <c r="D274" s="6" t="s">
        <v>226</v>
      </c>
      <c r="E274" s="8" t="s">
        <v>196</v>
      </c>
      <c r="F274" s="8" t="s">
        <v>230</v>
      </c>
      <c r="G274" s="46">
        <v>0.25</v>
      </c>
    </row>
    <row r="275" ht="15.75" customHeight="1">
      <c r="A275" s="43">
        <v>45727.0</v>
      </c>
      <c r="B275" s="43">
        <v>45733.0</v>
      </c>
      <c r="C275" s="44" t="s">
        <v>92</v>
      </c>
      <c r="D275" s="6" t="s">
        <v>229</v>
      </c>
      <c r="E275" s="8" t="s">
        <v>196</v>
      </c>
      <c r="F275" s="8" t="s">
        <v>242</v>
      </c>
      <c r="G275" s="46">
        <v>0.2</v>
      </c>
    </row>
    <row r="276" ht="15.75" customHeight="1">
      <c r="A276" s="43">
        <v>45734.0</v>
      </c>
      <c r="B276" s="43">
        <v>45740.0</v>
      </c>
      <c r="C276" s="44" t="s">
        <v>92</v>
      </c>
      <c r="D276" s="6" t="s">
        <v>19</v>
      </c>
      <c r="E276" s="8" t="s">
        <v>269</v>
      </c>
      <c r="F276" s="8" t="s">
        <v>184</v>
      </c>
      <c r="G276" s="46">
        <v>0.5</v>
      </c>
    </row>
    <row r="277" ht="15.75" customHeight="1">
      <c r="A277" s="43">
        <v>45734.0</v>
      </c>
      <c r="B277" s="43">
        <v>45740.0</v>
      </c>
      <c r="C277" s="44" t="s">
        <v>92</v>
      </c>
      <c r="D277" s="6" t="s">
        <v>19</v>
      </c>
      <c r="E277" s="8" t="s">
        <v>269</v>
      </c>
      <c r="F277" s="8" t="s">
        <v>479</v>
      </c>
      <c r="G277" s="46">
        <v>0.4</v>
      </c>
    </row>
    <row r="278" ht="15.75" customHeight="1">
      <c r="A278" s="43">
        <v>45741.0</v>
      </c>
      <c r="B278" s="43">
        <v>45747.0</v>
      </c>
      <c r="C278" s="44" t="s">
        <v>92</v>
      </c>
      <c r="D278" s="6" t="s">
        <v>24</v>
      </c>
      <c r="E278" s="8" t="s">
        <v>88</v>
      </c>
      <c r="F278" s="8" t="s">
        <v>280</v>
      </c>
      <c r="G278" s="46">
        <v>0.6</v>
      </c>
    </row>
    <row r="279" ht="15.75" customHeight="1">
      <c r="A279" s="43">
        <v>45741.0</v>
      </c>
      <c r="B279" s="43">
        <v>45747.0</v>
      </c>
      <c r="C279" s="44" t="s">
        <v>92</v>
      </c>
      <c r="D279" s="6" t="s">
        <v>24</v>
      </c>
      <c r="E279" s="8" t="s">
        <v>89</v>
      </c>
      <c r="F279" s="8" t="s">
        <v>281</v>
      </c>
      <c r="G279" s="46">
        <v>0.5</v>
      </c>
    </row>
    <row r="280" ht="15.75" customHeight="1">
      <c r="A280" s="43">
        <v>45741.0</v>
      </c>
      <c r="B280" s="43">
        <v>45747.0</v>
      </c>
      <c r="C280" s="44" t="s">
        <v>92</v>
      </c>
      <c r="D280" s="6" t="s">
        <v>99</v>
      </c>
      <c r="E280" s="8" t="s">
        <v>244</v>
      </c>
      <c r="F280" s="8" t="s">
        <v>245</v>
      </c>
      <c r="G280" s="46">
        <v>0.35</v>
      </c>
    </row>
    <row r="281" ht="15.75" customHeight="1">
      <c r="A281" s="43">
        <v>45741.0</v>
      </c>
      <c r="B281" s="43">
        <v>45747.0</v>
      </c>
      <c r="C281" s="44" t="s">
        <v>92</v>
      </c>
      <c r="D281" s="6" t="s">
        <v>100</v>
      </c>
      <c r="E281" s="8" t="s">
        <v>244</v>
      </c>
      <c r="F281" s="8" t="s">
        <v>245</v>
      </c>
      <c r="G281" s="46">
        <v>0.35</v>
      </c>
    </row>
    <row r="282" ht="15.75" customHeight="1">
      <c r="A282" s="43">
        <v>45741.0</v>
      </c>
      <c r="B282" s="43">
        <v>45747.0</v>
      </c>
      <c r="C282" s="44" t="s">
        <v>92</v>
      </c>
      <c r="D282" s="6" t="s">
        <v>102</v>
      </c>
      <c r="E282" s="8" t="s">
        <v>244</v>
      </c>
      <c r="F282" s="8" t="s">
        <v>472</v>
      </c>
      <c r="G282" s="46">
        <v>0.25</v>
      </c>
    </row>
    <row r="283" ht="15.75" customHeight="1">
      <c r="A283" s="43">
        <v>45741.0</v>
      </c>
      <c r="B283" s="43">
        <v>45747.0</v>
      </c>
      <c r="C283" s="44" t="s">
        <v>92</v>
      </c>
      <c r="D283" s="6" t="s">
        <v>99</v>
      </c>
      <c r="E283" s="8" t="s">
        <v>244</v>
      </c>
      <c r="F283" s="8" t="s">
        <v>254</v>
      </c>
      <c r="G283" s="46">
        <v>0.3</v>
      </c>
    </row>
    <row r="284" ht="15.75" customHeight="1">
      <c r="A284" s="43">
        <v>45741.0</v>
      </c>
      <c r="B284" s="43">
        <v>45747.0</v>
      </c>
      <c r="C284" s="44" t="s">
        <v>92</v>
      </c>
      <c r="D284" s="6" t="s">
        <v>100</v>
      </c>
      <c r="E284" s="8" t="s">
        <v>244</v>
      </c>
      <c r="F284" s="8" t="s">
        <v>254</v>
      </c>
      <c r="G284" s="46">
        <v>0.3</v>
      </c>
    </row>
    <row r="285" ht="15.75" customHeight="1">
      <c r="A285" s="43">
        <v>45741.0</v>
      </c>
      <c r="B285" s="43">
        <v>45747.0</v>
      </c>
      <c r="C285" s="44" t="s">
        <v>92</v>
      </c>
      <c r="D285" s="6" t="s">
        <v>102</v>
      </c>
      <c r="E285" s="8" t="s">
        <v>244</v>
      </c>
      <c r="F285" s="8" t="s">
        <v>472</v>
      </c>
      <c r="G285" s="46">
        <v>0.25</v>
      </c>
    </row>
    <row r="286" ht="15.75" customHeight="1">
      <c r="A286" s="43">
        <v>45755.0</v>
      </c>
      <c r="B286" s="43">
        <v>45763.0</v>
      </c>
      <c r="C286" s="44" t="s">
        <v>457</v>
      </c>
      <c r="D286" s="6" t="s">
        <v>17</v>
      </c>
      <c r="E286" s="8" t="s">
        <v>95</v>
      </c>
      <c r="F286" s="8" t="s">
        <v>305</v>
      </c>
      <c r="G286" s="46">
        <v>0.5</v>
      </c>
    </row>
    <row r="287" ht="15.75" customHeight="1">
      <c r="A287" s="43">
        <v>45755.0</v>
      </c>
      <c r="B287" s="43">
        <v>45763.0</v>
      </c>
      <c r="C287" s="44" t="s">
        <v>457</v>
      </c>
      <c r="D287" s="6" t="s">
        <v>17</v>
      </c>
      <c r="E287" s="8" t="s">
        <v>88</v>
      </c>
      <c r="F287" s="8" t="s">
        <v>473</v>
      </c>
      <c r="G287" s="46">
        <v>0.45</v>
      </c>
    </row>
    <row r="288" ht="15.75" customHeight="1">
      <c r="A288" s="43">
        <v>45764.0</v>
      </c>
      <c r="B288" s="43">
        <v>45777.0</v>
      </c>
      <c r="C288" s="44" t="s">
        <v>122</v>
      </c>
      <c r="D288" s="6" t="s">
        <v>17</v>
      </c>
      <c r="E288" s="8" t="s">
        <v>95</v>
      </c>
      <c r="F288" s="8" t="s">
        <v>305</v>
      </c>
      <c r="G288" s="46">
        <v>0.5</v>
      </c>
    </row>
    <row r="289" ht="15.75" customHeight="1">
      <c r="A289" s="43">
        <v>45764.0</v>
      </c>
      <c r="B289" s="43">
        <v>45777.0</v>
      </c>
      <c r="C289" s="44" t="s">
        <v>122</v>
      </c>
      <c r="D289" s="6" t="s">
        <v>17</v>
      </c>
      <c r="E289" s="8" t="s">
        <v>88</v>
      </c>
      <c r="F289" s="8" t="s">
        <v>473</v>
      </c>
      <c r="G289" s="46">
        <v>0.45</v>
      </c>
    </row>
    <row r="290" ht="15.75" customHeight="1">
      <c r="A290" s="43">
        <v>45764.0</v>
      </c>
      <c r="B290" s="43">
        <v>45777.0</v>
      </c>
      <c r="C290" s="44" t="s">
        <v>122</v>
      </c>
      <c r="D290" s="6" t="s">
        <v>25</v>
      </c>
      <c r="E290" s="8" t="s">
        <v>183</v>
      </c>
      <c r="F290" s="8" t="s">
        <v>468</v>
      </c>
      <c r="G290" s="46">
        <v>0.5</v>
      </c>
    </row>
    <row r="291" ht="15.75" customHeight="1">
      <c r="A291" s="43">
        <v>45764.0</v>
      </c>
      <c r="B291" s="43">
        <v>45777.0</v>
      </c>
      <c r="C291" s="44" t="s">
        <v>122</v>
      </c>
      <c r="D291" s="6" t="s">
        <v>25</v>
      </c>
      <c r="E291" s="8" t="s">
        <v>474</v>
      </c>
      <c r="F291" s="8" t="s">
        <v>475</v>
      </c>
      <c r="G291" s="46">
        <v>0.4</v>
      </c>
    </row>
    <row r="292" ht="15.75" customHeight="1">
      <c r="A292" s="43">
        <v>45769.0</v>
      </c>
      <c r="B292" s="43">
        <v>45775.0</v>
      </c>
      <c r="C292" s="44" t="s">
        <v>92</v>
      </c>
      <c r="D292" s="6" t="s">
        <v>19</v>
      </c>
      <c r="E292" s="8" t="s">
        <v>269</v>
      </c>
      <c r="F292" s="8" t="s">
        <v>184</v>
      </c>
      <c r="G292" s="46">
        <v>0.5</v>
      </c>
    </row>
    <row r="293" ht="15.75" customHeight="1">
      <c r="A293" s="43">
        <v>45769.0</v>
      </c>
      <c r="B293" s="43">
        <v>45775.0</v>
      </c>
      <c r="C293" s="44" t="s">
        <v>92</v>
      </c>
      <c r="D293" s="6" t="s">
        <v>19</v>
      </c>
      <c r="E293" s="8" t="s">
        <v>269</v>
      </c>
      <c r="F293" s="8" t="s">
        <v>479</v>
      </c>
      <c r="G293" s="46">
        <v>0.4</v>
      </c>
    </row>
    <row r="294" ht="15.75" customHeight="1">
      <c r="A294" s="43">
        <v>45769.0</v>
      </c>
      <c r="B294" s="43">
        <v>45775.0</v>
      </c>
      <c r="C294" s="44" t="s">
        <v>191</v>
      </c>
      <c r="D294" s="6" t="s">
        <v>195</v>
      </c>
      <c r="E294" s="8" t="s">
        <v>196</v>
      </c>
      <c r="F294" s="8" t="s">
        <v>198</v>
      </c>
      <c r="G294" s="46">
        <v>0.35</v>
      </c>
    </row>
    <row r="295" ht="15.75" customHeight="1">
      <c r="A295" s="43">
        <v>45769.0</v>
      </c>
      <c r="B295" s="43">
        <v>45775.0</v>
      </c>
      <c r="C295" s="44" t="s">
        <v>191</v>
      </c>
      <c r="D295" s="6" t="s">
        <v>201</v>
      </c>
      <c r="E295" s="8" t="s">
        <v>196</v>
      </c>
      <c r="F295" s="8" t="s">
        <v>198</v>
      </c>
      <c r="G295" s="46">
        <v>0.35</v>
      </c>
    </row>
    <row r="296" ht="15.75" customHeight="1">
      <c r="A296" s="43">
        <v>45769.0</v>
      </c>
      <c r="B296" s="43">
        <v>45775.0</v>
      </c>
      <c r="C296" s="44" t="s">
        <v>191</v>
      </c>
      <c r="D296" s="6" t="s">
        <v>203</v>
      </c>
      <c r="E296" s="8" t="s">
        <v>196</v>
      </c>
      <c r="F296" s="8" t="s">
        <v>198</v>
      </c>
      <c r="G296" s="46">
        <v>0.35</v>
      </c>
    </row>
    <row r="297" ht="15.75" customHeight="1">
      <c r="A297" s="43">
        <v>45769.0</v>
      </c>
      <c r="B297" s="43">
        <v>45775.0</v>
      </c>
      <c r="C297" s="44" t="s">
        <v>191</v>
      </c>
      <c r="D297" s="6" t="s">
        <v>205</v>
      </c>
      <c r="E297" s="8" t="s">
        <v>131</v>
      </c>
      <c r="F297" s="8" t="s">
        <v>207</v>
      </c>
      <c r="G297" s="46">
        <v>0.35</v>
      </c>
    </row>
    <row r="298" ht="15.75" customHeight="1">
      <c r="A298" s="43">
        <v>45769.0</v>
      </c>
      <c r="B298" s="43">
        <v>45775.0</v>
      </c>
      <c r="C298" s="44" t="s">
        <v>191</v>
      </c>
      <c r="D298" s="6" t="s">
        <v>209</v>
      </c>
      <c r="E298" s="8" t="s">
        <v>196</v>
      </c>
      <c r="F298" s="8" t="s">
        <v>198</v>
      </c>
      <c r="G298" s="46">
        <v>0.35</v>
      </c>
    </row>
    <row r="299" ht="15.75" customHeight="1">
      <c r="A299" s="43">
        <v>45769.0</v>
      </c>
      <c r="B299" s="43">
        <v>45775.0</v>
      </c>
      <c r="C299" s="44" t="s">
        <v>191</v>
      </c>
      <c r="D299" s="6" t="s">
        <v>210</v>
      </c>
      <c r="E299" s="8" t="s">
        <v>196</v>
      </c>
      <c r="F299" s="8" t="s">
        <v>198</v>
      </c>
      <c r="G299" s="46">
        <v>0.35</v>
      </c>
    </row>
    <row r="300" ht="15.75" customHeight="1">
      <c r="A300" s="43">
        <v>45769.0</v>
      </c>
      <c r="B300" s="43">
        <v>45775.0</v>
      </c>
      <c r="C300" s="44" t="s">
        <v>191</v>
      </c>
      <c r="D300" s="6" t="s">
        <v>211</v>
      </c>
      <c r="E300" s="8" t="s">
        <v>196</v>
      </c>
      <c r="F300" s="8" t="s">
        <v>198</v>
      </c>
      <c r="G300" s="46">
        <v>0.35</v>
      </c>
    </row>
    <row r="301" ht="15.75" customHeight="1">
      <c r="A301" s="43">
        <v>45769.0</v>
      </c>
      <c r="B301" s="43">
        <v>45775.0</v>
      </c>
      <c r="C301" s="44" t="s">
        <v>191</v>
      </c>
      <c r="D301" s="6" t="s">
        <v>214</v>
      </c>
      <c r="E301" s="8" t="s">
        <v>196</v>
      </c>
      <c r="F301" s="8" t="s">
        <v>198</v>
      </c>
      <c r="G301" s="46">
        <v>0.35</v>
      </c>
    </row>
    <row r="302" ht="15.75" customHeight="1">
      <c r="A302" s="43">
        <v>45769.0</v>
      </c>
      <c r="B302" s="43">
        <v>45775.0</v>
      </c>
      <c r="C302" s="44" t="s">
        <v>191</v>
      </c>
      <c r="D302" s="6" t="s">
        <v>217</v>
      </c>
      <c r="E302" s="8" t="s">
        <v>196</v>
      </c>
      <c r="F302" s="8" t="s">
        <v>198</v>
      </c>
      <c r="G302" s="46">
        <v>0.35</v>
      </c>
    </row>
    <row r="303" ht="15.75" customHeight="1">
      <c r="A303" s="43">
        <v>45769.0</v>
      </c>
      <c r="B303" s="43">
        <v>45775.0</v>
      </c>
      <c r="C303" s="44" t="s">
        <v>191</v>
      </c>
      <c r="D303" s="6" t="s">
        <v>220</v>
      </c>
      <c r="E303" s="8" t="s">
        <v>196</v>
      </c>
      <c r="F303" s="8" t="s">
        <v>198</v>
      </c>
      <c r="G303" s="46">
        <v>0.35</v>
      </c>
    </row>
    <row r="304" ht="15.75" customHeight="1">
      <c r="A304" s="43">
        <v>45769.0</v>
      </c>
      <c r="B304" s="43">
        <v>45775.0</v>
      </c>
      <c r="C304" s="44" t="s">
        <v>191</v>
      </c>
      <c r="D304" s="6" t="s">
        <v>221</v>
      </c>
      <c r="E304" s="8" t="s">
        <v>196</v>
      </c>
      <c r="F304" s="8" t="s">
        <v>198</v>
      </c>
      <c r="G304" s="46">
        <v>0.35</v>
      </c>
    </row>
    <row r="305" ht="15.75" customHeight="1">
      <c r="A305" s="43">
        <v>45769.0</v>
      </c>
      <c r="B305" s="43">
        <v>45775.0</v>
      </c>
      <c r="C305" s="44" t="s">
        <v>191</v>
      </c>
      <c r="D305" s="6" t="s">
        <v>224</v>
      </c>
      <c r="E305" s="8" t="s">
        <v>131</v>
      </c>
      <c r="F305" s="8" t="s">
        <v>225</v>
      </c>
      <c r="G305" s="46">
        <v>0.3</v>
      </c>
    </row>
    <row r="306" ht="15.75" customHeight="1">
      <c r="A306" s="43">
        <v>45769.0</v>
      </c>
      <c r="B306" s="43">
        <v>45775.0</v>
      </c>
      <c r="C306" s="44" t="s">
        <v>191</v>
      </c>
      <c r="D306" s="6" t="s">
        <v>226</v>
      </c>
      <c r="E306" s="8" t="s">
        <v>196</v>
      </c>
      <c r="F306" s="8" t="s">
        <v>242</v>
      </c>
      <c r="G306" s="46">
        <v>0.25</v>
      </c>
    </row>
    <row r="307" ht="15.75" customHeight="1">
      <c r="A307" s="43">
        <v>45769.0</v>
      </c>
      <c r="B307" s="43">
        <v>45775.0</v>
      </c>
      <c r="C307" s="44" t="s">
        <v>191</v>
      </c>
      <c r="D307" s="6" t="s">
        <v>229</v>
      </c>
      <c r="E307" s="8" t="s">
        <v>196</v>
      </c>
      <c r="F307" s="8" t="s">
        <v>242</v>
      </c>
      <c r="G307" s="46">
        <v>0.2</v>
      </c>
    </row>
    <row r="308" ht="15.75" customHeight="1">
      <c r="A308" s="43">
        <v>45769.0</v>
      </c>
      <c r="B308" s="43">
        <v>45775.0</v>
      </c>
      <c r="C308" s="44" t="s">
        <v>191</v>
      </c>
      <c r="D308" s="6" t="s">
        <v>195</v>
      </c>
      <c r="E308" s="8" t="s">
        <v>196</v>
      </c>
      <c r="F308" s="8" t="s">
        <v>198</v>
      </c>
      <c r="G308" s="46">
        <v>0.35</v>
      </c>
    </row>
    <row r="309" ht="15.75" customHeight="1">
      <c r="A309" s="43">
        <v>45769.0</v>
      </c>
      <c r="B309" s="43">
        <v>45775.0</v>
      </c>
      <c r="C309" s="44" t="s">
        <v>191</v>
      </c>
      <c r="D309" s="6" t="s">
        <v>201</v>
      </c>
      <c r="E309" s="8" t="s">
        <v>196</v>
      </c>
      <c r="F309" s="8" t="s">
        <v>198</v>
      </c>
      <c r="G309" s="46">
        <v>0.35</v>
      </c>
    </row>
    <row r="310" ht="15.75" customHeight="1">
      <c r="A310" s="43">
        <v>45769.0</v>
      </c>
      <c r="B310" s="43">
        <v>45775.0</v>
      </c>
      <c r="C310" s="44" t="s">
        <v>191</v>
      </c>
      <c r="D310" s="6" t="s">
        <v>203</v>
      </c>
      <c r="E310" s="8" t="s">
        <v>196</v>
      </c>
      <c r="F310" s="8" t="s">
        <v>198</v>
      </c>
      <c r="G310" s="46">
        <v>0.35</v>
      </c>
    </row>
    <row r="311" ht="15.75" customHeight="1">
      <c r="A311" s="43">
        <v>45769.0</v>
      </c>
      <c r="B311" s="43">
        <v>45775.0</v>
      </c>
      <c r="C311" s="44" t="s">
        <v>191</v>
      </c>
      <c r="D311" s="6" t="s">
        <v>205</v>
      </c>
      <c r="E311" s="8" t="s">
        <v>131</v>
      </c>
      <c r="F311" s="8" t="s">
        <v>207</v>
      </c>
      <c r="G311" s="46">
        <v>0.35</v>
      </c>
    </row>
    <row r="312" ht="15.75" customHeight="1">
      <c r="A312" s="43">
        <v>45769.0</v>
      </c>
      <c r="B312" s="43">
        <v>45775.0</v>
      </c>
      <c r="C312" s="44" t="s">
        <v>191</v>
      </c>
      <c r="D312" s="6" t="s">
        <v>209</v>
      </c>
      <c r="E312" s="8" t="s">
        <v>196</v>
      </c>
      <c r="F312" s="8" t="s">
        <v>198</v>
      </c>
      <c r="G312" s="46">
        <v>0.35</v>
      </c>
    </row>
    <row r="313" ht="15.75" customHeight="1">
      <c r="A313" s="43">
        <v>45769.0</v>
      </c>
      <c r="B313" s="43">
        <v>45775.0</v>
      </c>
      <c r="C313" s="44" t="s">
        <v>191</v>
      </c>
      <c r="D313" s="6" t="s">
        <v>210</v>
      </c>
      <c r="E313" s="8" t="s">
        <v>196</v>
      </c>
      <c r="F313" s="8" t="s">
        <v>198</v>
      </c>
      <c r="G313" s="46">
        <v>0.35</v>
      </c>
    </row>
    <row r="314" ht="15.75" customHeight="1">
      <c r="A314" s="43">
        <v>45769.0</v>
      </c>
      <c r="B314" s="43">
        <v>45775.0</v>
      </c>
      <c r="C314" s="44" t="s">
        <v>191</v>
      </c>
      <c r="D314" s="6" t="s">
        <v>211</v>
      </c>
      <c r="E314" s="8" t="s">
        <v>196</v>
      </c>
      <c r="F314" s="8" t="s">
        <v>198</v>
      </c>
      <c r="G314" s="46">
        <v>0.35</v>
      </c>
    </row>
    <row r="315" ht="15.75" customHeight="1">
      <c r="A315" s="43">
        <v>45769.0</v>
      </c>
      <c r="B315" s="43">
        <v>45775.0</v>
      </c>
      <c r="C315" s="44" t="s">
        <v>191</v>
      </c>
      <c r="D315" s="6" t="s">
        <v>214</v>
      </c>
      <c r="E315" s="8" t="s">
        <v>196</v>
      </c>
      <c r="F315" s="8" t="s">
        <v>198</v>
      </c>
      <c r="G315" s="46">
        <v>0.35</v>
      </c>
    </row>
    <row r="316" ht="15.75" customHeight="1">
      <c r="A316" s="43">
        <v>45769.0</v>
      </c>
      <c r="B316" s="43">
        <v>45775.0</v>
      </c>
      <c r="C316" s="44" t="s">
        <v>191</v>
      </c>
      <c r="D316" s="6" t="s">
        <v>217</v>
      </c>
      <c r="E316" s="8" t="s">
        <v>196</v>
      </c>
      <c r="F316" s="8" t="s">
        <v>198</v>
      </c>
      <c r="G316" s="46">
        <v>0.35</v>
      </c>
    </row>
    <row r="317" ht="15.75" customHeight="1">
      <c r="A317" s="43">
        <v>45769.0</v>
      </c>
      <c r="B317" s="43">
        <v>45775.0</v>
      </c>
      <c r="C317" s="44" t="s">
        <v>191</v>
      </c>
      <c r="D317" s="6" t="s">
        <v>220</v>
      </c>
      <c r="E317" s="8" t="s">
        <v>196</v>
      </c>
      <c r="F317" s="8" t="s">
        <v>198</v>
      </c>
      <c r="G317" s="46">
        <v>0.35</v>
      </c>
    </row>
    <row r="318" ht="15.75" customHeight="1">
      <c r="A318" s="43">
        <v>45769.0</v>
      </c>
      <c r="B318" s="43">
        <v>45775.0</v>
      </c>
      <c r="C318" s="44" t="s">
        <v>191</v>
      </c>
      <c r="D318" s="6" t="s">
        <v>221</v>
      </c>
      <c r="E318" s="8" t="s">
        <v>196</v>
      </c>
      <c r="F318" s="8" t="s">
        <v>198</v>
      </c>
      <c r="G318" s="46">
        <v>0.35</v>
      </c>
    </row>
    <row r="319" ht="15.75" customHeight="1">
      <c r="A319" s="43">
        <v>45769.0</v>
      </c>
      <c r="B319" s="43">
        <v>45775.0</v>
      </c>
      <c r="C319" s="44" t="s">
        <v>191</v>
      </c>
      <c r="D319" s="6" t="s">
        <v>224</v>
      </c>
      <c r="E319" s="8" t="s">
        <v>240</v>
      </c>
      <c r="F319" s="8" t="s">
        <v>241</v>
      </c>
      <c r="G319" s="46">
        <v>0.3</v>
      </c>
    </row>
    <row r="320" ht="15.75" customHeight="1">
      <c r="A320" s="43">
        <v>45769.0</v>
      </c>
      <c r="B320" s="43">
        <v>45775.0</v>
      </c>
      <c r="C320" s="44" t="s">
        <v>191</v>
      </c>
      <c r="D320" s="6" t="s">
        <v>226</v>
      </c>
      <c r="E320" s="8" t="s">
        <v>196</v>
      </c>
      <c r="F320" s="8" t="s">
        <v>230</v>
      </c>
      <c r="G320" s="46">
        <v>0.25</v>
      </c>
    </row>
    <row r="321" ht="15.75" customHeight="1">
      <c r="A321" s="43">
        <v>45769.0</v>
      </c>
      <c r="B321" s="43">
        <v>45775.0</v>
      </c>
      <c r="C321" s="44" t="s">
        <v>191</v>
      </c>
      <c r="D321" s="6" t="s">
        <v>229</v>
      </c>
      <c r="E321" s="8" t="s">
        <v>196</v>
      </c>
      <c r="F321" s="8" t="s">
        <v>242</v>
      </c>
      <c r="G321" s="46">
        <v>0.2</v>
      </c>
    </row>
    <row r="322" ht="15.75" customHeight="1">
      <c r="A322" s="43">
        <v>45776.0</v>
      </c>
      <c r="B322" s="43">
        <v>45782.0</v>
      </c>
      <c r="C322" s="44" t="s">
        <v>92</v>
      </c>
      <c r="D322" s="6" t="s">
        <v>24</v>
      </c>
      <c r="E322" s="8" t="s">
        <v>88</v>
      </c>
      <c r="F322" s="8" t="s">
        <v>280</v>
      </c>
      <c r="G322" s="46">
        <v>0.6</v>
      </c>
    </row>
    <row r="323" ht="15.75" customHeight="1">
      <c r="A323" s="43">
        <v>45776.0</v>
      </c>
      <c r="B323" s="43">
        <v>45782.0</v>
      </c>
      <c r="C323" s="44" t="s">
        <v>92</v>
      </c>
      <c r="D323" s="6" t="s">
        <v>24</v>
      </c>
      <c r="E323" s="8" t="s">
        <v>89</v>
      </c>
      <c r="F323" s="8" t="s">
        <v>281</v>
      </c>
      <c r="G323" s="46">
        <v>0.5</v>
      </c>
    </row>
    <row r="324" ht="15.75" customHeight="1">
      <c r="A324" s="43">
        <v>45778.0</v>
      </c>
      <c r="B324" s="43">
        <v>45789.0</v>
      </c>
      <c r="C324" s="44" t="s">
        <v>213</v>
      </c>
      <c r="D324" s="6" t="s">
        <v>99</v>
      </c>
      <c r="E324" s="8" t="s">
        <v>244</v>
      </c>
      <c r="F324" s="8" t="s">
        <v>245</v>
      </c>
      <c r="G324" s="46">
        <v>0.35</v>
      </c>
    </row>
    <row r="325" ht="15.75" customHeight="1">
      <c r="A325" s="43">
        <v>45778.0</v>
      </c>
      <c r="B325" s="43">
        <v>45789.0</v>
      </c>
      <c r="C325" s="44" t="s">
        <v>213</v>
      </c>
      <c r="D325" s="6" t="s">
        <v>100</v>
      </c>
      <c r="E325" s="8" t="s">
        <v>244</v>
      </c>
      <c r="F325" s="8" t="s">
        <v>245</v>
      </c>
      <c r="G325" s="46">
        <v>0.35</v>
      </c>
    </row>
    <row r="326" ht="15.75" customHeight="1">
      <c r="A326" s="43">
        <v>45778.0</v>
      </c>
      <c r="B326" s="43">
        <v>45789.0</v>
      </c>
      <c r="C326" s="44" t="s">
        <v>213</v>
      </c>
      <c r="D326" s="6" t="s">
        <v>102</v>
      </c>
      <c r="E326" s="8" t="s">
        <v>244</v>
      </c>
      <c r="F326" s="8" t="s">
        <v>472</v>
      </c>
      <c r="G326" s="46">
        <v>0.25</v>
      </c>
    </row>
    <row r="327" ht="15.75" customHeight="1">
      <c r="A327" s="43">
        <v>45778.0</v>
      </c>
      <c r="B327" s="43">
        <v>45789.0</v>
      </c>
      <c r="C327" s="44" t="s">
        <v>213</v>
      </c>
      <c r="D327" s="6" t="s">
        <v>99</v>
      </c>
      <c r="E327" s="8" t="s">
        <v>244</v>
      </c>
      <c r="F327" s="8" t="s">
        <v>254</v>
      </c>
      <c r="G327" s="46">
        <v>0.3</v>
      </c>
    </row>
    <row r="328" ht="15.75" customHeight="1">
      <c r="A328" s="43">
        <v>45778.0</v>
      </c>
      <c r="B328" s="43">
        <v>45789.0</v>
      </c>
      <c r="C328" s="44" t="s">
        <v>213</v>
      </c>
      <c r="D328" s="6" t="s">
        <v>100</v>
      </c>
      <c r="E328" s="8" t="s">
        <v>244</v>
      </c>
      <c r="F328" s="8" t="s">
        <v>254</v>
      </c>
      <c r="G328" s="46">
        <v>0.3</v>
      </c>
    </row>
    <row r="329" ht="15.75" customHeight="1">
      <c r="A329" s="43">
        <v>45778.0</v>
      </c>
      <c r="B329" s="43">
        <v>45789.0</v>
      </c>
      <c r="C329" s="44" t="s">
        <v>213</v>
      </c>
      <c r="D329" s="6" t="s">
        <v>102</v>
      </c>
      <c r="E329" s="8" t="s">
        <v>244</v>
      </c>
      <c r="F329" s="8" t="s">
        <v>472</v>
      </c>
      <c r="G329" s="46">
        <v>0.25</v>
      </c>
    </row>
    <row r="330" ht="15.75" customHeight="1">
      <c r="A330" s="43">
        <v>45804.0</v>
      </c>
      <c r="B330" s="43">
        <v>45810.0</v>
      </c>
      <c r="C330" s="44" t="s">
        <v>496</v>
      </c>
      <c r="D330" s="6" t="s">
        <v>20</v>
      </c>
      <c r="E330" s="8" t="s">
        <v>453</v>
      </c>
      <c r="F330" s="8" t="s">
        <v>469</v>
      </c>
      <c r="G330" s="46">
        <v>0.3</v>
      </c>
    </row>
    <row r="331" ht="15.75" customHeight="1">
      <c r="A331" s="43">
        <v>45804.0</v>
      </c>
      <c r="B331" s="43">
        <v>45810.0</v>
      </c>
      <c r="C331" s="44" t="s">
        <v>496</v>
      </c>
      <c r="D331" s="6" t="s">
        <v>20</v>
      </c>
      <c r="E331" s="8" t="s">
        <v>470</v>
      </c>
      <c r="F331" s="8" t="s">
        <v>471</v>
      </c>
      <c r="G331" s="46">
        <v>0.25</v>
      </c>
    </row>
    <row r="332" ht="15.75" customHeight="1">
      <c r="A332" s="43">
        <v>45811.0</v>
      </c>
      <c r="B332" s="43">
        <v>45817.0</v>
      </c>
      <c r="C332" s="44" t="s">
        <v>191</v>
      </c>
      <c r="D332" s="6" t="s">
        <v>195</v>
      </c>
      <c r="E332" s="8" t="s">
        <v>196</v>
      </c>
      <c r="F332" s="8" t="s">
        <v>198</v>
      </c>
      <c r="G332" s="46">
        <v>0.35</v>
      </c>
    </row>
    <row r="333" ht="15.75" customHeight="1">
      <c r="A333" s="43">
        <v>45811.0</v>
      </c>
      <c r="B333" s="43">
        <v>45817.0</v>
      </c>
      <c r="C333" s="44" t="s">
        <v>191</v>
      </c>
      <c r="D333" s="6" t="s">
        <v>201</v>
      </c>
      <c r="E333" s="8" t="s">
        <v>196</v>
      </c>
      <c r="F333" s="8" t="s">
        <v>198</v>
      </c>
      <c r="G333" s="46">
        <v>0.35</v>
      </c>
    </row>
    <row r="334" ht="15.75" customHeight="1">
      <c r="A334" s="43">
        <v>45811.0</v>
      </c>
      <c r="B334" s="43">
        <v>45817.0</v>
      </c>
      <c r="C334" s="44" t="s">
        <v>191</v>
      </c>
      <c r="D334" s="6" t="s">
        <v>203</v>
      </c>
      <c r="E334" s="8" t="s">
        <v>196</v>
      </c>
      <c r="F334" s="8" t="s">
        <v>198</v>
      </c>
      <c r="G334" s="46">
        <v>0.35</v>
      </c>
    </row>
    <row r="335" ht="15.75" customHeight="1">
      <c r="A335" s="43">
        <v>45811.0</v>
      </c>
      <c r="B335" s="43">
        <v>45817.0</v>
      </c>
      <c r="C335" s="44" t="s">
        <v>191</v>
      </c>
      <c r="D335" s="6" t="s">
        <v>205</v>
      </c>
      <c r="E335" s="8" t="s">
        <v>131</v>
      </c>
      <c r="F335" s="8" t="s">
        <v>207</v>
      </c>
      <c r="G335" s="46">
        <v>0.35</v>
      </c>
    </row>
    <row r="336" ht="15.75" customHeight="1">
      <c r="A336" s="43">
        <v>45811.0</v>
      </c>
      <c r="B336" s="43">
        <v>45817.0</v>
      </c>
      <c r="C336" s="44" t="s">
        <v>191</v>
      </c>
      <c r="D336" s="6" t="s">
        <v>209</v>
      </c>
      <c r="E336" s="8" t="s">
        <v>196</v>
      </c>
      <c r="F336" s="8" t="s">
        <v>198</v>
      </c>
      <c r="G336" s="46">
        <v>0.35</v>
      </c>
    </row>
    <row r="337" ht="15.75" customHeight="1">
      <c r="A337" s="43">
        <v>45811.0</v>
      </c>
      <c r="B337" s="43">
        <v>45817.0</v>
      </c>
      <c r="C337" s="44" t="s">
        <v>191</v>
      </c>
      <c r="D337" s="6" t="s">
        <v>210</v>
      </c>
      <c r="E337" s="8" t="s">
        <v>196</v>
      </c>
      <c r="F337" s="8" t="s">
        <v>198</v>
      </c>
      <c r="G337" s="46">
        <v>0.35</v>
      </c>
    </row>
    <row r="338" ht="15.75" customHeight="1">
      <c r="A338" s="43">
        <v>45811.0</v>
      </c>
      <c r="B338" s="43">
        <v>45817.0</v>
      </c>
      <c r="C338" s="44" t="s">
        <v>191</v>
      </c>
      <c r="D338" s="6" t="s">
        <v>211</v>
      </c>
      <c r="E338" s="8" t="s">
        <v>196</v>
      </c>
      <c r="F338" s="8" t="s">
        <v>198</v>
      </c>
      <c r="G338" s="46">
        <v>0.35</v>
      </c>
    </row>
    <row r="339" ht="15.75" customHeight="1">
      <c r="A339" s="43">
        <v>45811.0</v>
      </c>
      <c r="B339" s="43">
        <v>45817.0</v>
      </c>
      <c r="C339" s="44" t="s">
        <v>191</v>
      </c>
      <c r="D339" s="6" t="s">
        <v>214</v>
      </c>
      <c r="E339" s="8" t="s">
        <v>196</v>
      </c>
      <c r="F339" s="8" t="s">
        <v>198</v>
      </c>
      <c r="G339" s="46">
        <v>0.35</v>
      </c>
    </row>
    <row r="340" ht="15.75" customHeight="1">
      <c r="A340" s="43">
        <v>45811.0</v>
      </c>
      <c r="B340" s="43">
        <v>45817.0</v>
      </c>
      <c r="C340" s="44" t="s">
        <v>191</v>
      </c>
      <c r="D340" s="6" t="s">
        <v>217</v>
      </c>
      <c r="E340" s="8" t="s">
        <v>196</v>
      </c>
      <c r="F340" s="8" t="s">
        <v>198</v>
      </c>
      <c r="G340" s="46">
        <v>0.35</v>
      </c>
    </row>
    <row r="341" ht="15.75" customHeight="1">
      <c r="A341" s="43">
        <v>45811.0</v>
      </c>
      <c r="B341" s="43">
        <v>45817.0</v>
      </c>
      <c r="C341" s="44" t="s">
        <v>191</v>
      </c>
      <c r="D341" s="6" t="s">
        <v>220</v>
      </c>
      <c r="E341" s="8" t="s">
        <v>196</v>
      </c>
      <c r="F341" s="8" t="s">
        <v>198</v>
      </c>
      <c r="G341" s="46">
        <v>0.35</v>
      </c>
    </row>
    <row r="342" ht="15.75" customHeight="1">
      <c r="A342" s="43">
        <v>45811.0</v>
      </c>
      <c r="B342" s="43">
        <v>45817.0</v>
      </c>
      <c r="C342" s="44" t="s">
        <v>191</v>
      </c>
      <c r="D342" s="6" t="s">
        <v>221</v>
      </c>
      <c r="E342" s="8" t="s">
        <v>196</v>
      </c>
      <c r="F342" s="8" t="s">
        <v>198</v>
      </c>
      <c r="G342" s="46">
        <v>0.35</v>
      </c>
    </row>
    <row r="343" ht="15.75" customHeight="1">
      <c r="A343" s="43">
        <v>45811.0</v>
      </c>
      <c r="B343" s="43">
        <v>45817.0</v>
      </c>
      <c r="C343" s="44" t="s">
        <v>191</v>
      </c>
      <c r="D343" s="6" t="s">
        <v>224</v>
      </c>
      <c r="E343" s="8" t="s">
        <v>131</v>
      </c>
      <c r="F343" s="8" t="s">
        <v>225</v>
      </c>
      <c r="G343" s="46">
        <v>0.3</v>
      </c>
    </row>
    <row r="344" ht="15.75" customHeight="1">
      <c r="A344" s="43">
        <v>45811.0</v>
      </c>
      <c r="B344" s="43">
        <v>45817.0</v>
      </c>
      <c r="C344" s="44" t="s">
        <v>191</v>
      </c>
      <c r="D344" s="6" t="s">
        <v>226</v>
      </c>
      <c r="E344" s="8" t="s">
        <v>196</v>
      </c>
      <c r="F344" s="8" t="s">
        <v>242</v>
      </c>
      <c r="G344" s="46">
        <v>0.25</v>
      </c>
    </row>
    <row r="345" ht="15.75" customHeight="1">
      <c r="A345" s="43">
        <v>45811.0</v>
      </c>
      <c r="B345" s="43">
        <v>45817.0</v>
      </c>
      <c r="C345" s="44" t="s">
        <v>191</v>
      </c>
      <c r="D345" s="6" t="s">
        <v>229</v>
      </c>
      <c r="E345" s="8" t="s">
        <v>196</v>
      </c>
      <c r="F345" s="8" t="s">
        <v>242</v>
      </c>
      <c r="G345" s="46">
        <v>0.2</v>
      </c>
    </row>
    <row r="346" ht="15.75" customHeight="1">
      <c r="A346" s="43">
        <v>45811.0</v>
      </c>
      <c r="B346" s="43">
        <v>45817.0</v>
      </c>
      <c r="C346" s="44" t="s">
        <v>191</v>
      </c>
      <c r="D346" s="6" t="s">
        <v>195</v>
      </c>
      <c r="E346" s="8" t="s">
        <v>196</v>
      </c>
      <c r="F346" s="8" t="s">
        <v>198</v>
      </c>
      <c r="G346" s="46">
        <v>0.35</v>
      </c>
    </row>
    <row r="347" ht="15.75" customHeight="1">
      <c r="A347" s="43">
        <v>45811.0</v>
      </c>
      <c r="B347" s="43">
        <v>45817.0</v>
      </c>
      <c r="C347" s="44" t="s">
        <v>191</v>
      </c>
      <c r="D347" s="6" t="s">
        <v>201</v>
      </c>
      <c r="E347" s="8" t="s">
        <v>196</v>
      </c>
      <c r="F347" s="8" t="s">
        <v>198</v>
      </c>
      <c r="G347" s="46">
        <v>0.35</v>
      </c>
    </row>
    <row r="348" ht="15.75" customHeight="1">
      <c r="A348" s="43">
        <v>45811.0</v>
      </c>
      <c r="B348" s="43">
        <v>45817.0</v>
      </c>
      <c r="C348" s="44" t="s">
        <v>191</v>
      </c>
      <c r="D348" s="6" t="s">
        <v>203</v>
      </c>
      <c r="E348" s="8" t="s">
        <v>196</v>
      </c>
      <c r="F348" s="8" t="s">
        <v>198</v>
      </c>
      <c r="G348" s="46">
        <v>0.35</v>
      </c>
    </row>
    <row r="349" ht="15.75" customHeight="1">
      <c r="A349" s="43">
        <v>45811.0</v>
      </c>
      <c r="B349" s="43">
        <v>45817.0</v>
      </c>
      <c r="C349" s="44" t="s">
        <v>191</v>
      </c>
      <c r="D349" s="6" t="s">
        <v>205</v>
      </c>
      <c r="E349" s="8" t="s">
        <v>131</v>
      </c>
      <c r="F349" s="8" t="s">
        <v>207</v>
      </c>
      <c r="G349" s="46">
        <v>0.35</v>
      </c>
    </row>
    <row r="350" ht="15.75" customHeight="1">
      <c r="A350" s="43">
        <v>45811.0</v>
      </c>
      <c r="B350" s="43">
        <v>45817.0</v>
      </c>
      <c r="C350" s="44" t="s">
        <v>191</v>
      </c>
      <c r="D350" s="6" t="s">
        <v>209</v>
      </c>
      <c r="E350" s="8" t="s">
        <v>196</v>
      </c>
      <c r="F350" s="8" t="s">
        <v>198</v>
      </c>
      <c r="G350" s="46">
        <v>0.35</v>
      </c>
    </row>
    <row r="351" ht="15.75" customHeight="1">
      <c r="A351" s="43">
        <v>45811.0</v>
      </c>
      <c r="B351" s="43">
        <v>45817.0</v>
      </c>
      <c r="C351" s="44" t="s">
        <v>191</v>
      </c>
      <c r="D351" s="6" t="s">
        <v>210</v>
      </c>
      <c r="E351" s="8" t="s">
        <v>196</v>
      </c>
      <c r="F351" s="8" t="s">
        <v>198</v>
      </c>
      <c r="G351" s="46">
        <v>0.35</v>
      </c>
    </row>
    <row r="352" ht="15.75" customHeight="1">
      <c r="A352" s="43">
        <v>45811.0</v>
      </c>
      <c r="B352" s="43">
        <v>45817.0</v>
      </c>
      <c r="C352" s="44" t="s">
        <v>191</v>
      </c>
      <c r="D352" s="6" t="s">
        <v>211</v>
      </c>
      <c r="E352" s="8" t="s">
        <v>196</v>
      </c>
      <c r="F352" s="8" t="s">
        <v>198</v>
      </c>
      <c r="G352" s="46">
        <v>0.35</v>
      </c>
    </row>
    <row r="353" ht="15.75" customHeight="1">
      <c r="A353" s="43">
        <v>45811.0</v>
      </c>
      <c r="B353" s="43">
        <v>45817.0</v>
      </c>
      <c r="C353" s="44" t="s">
        <v>191</v>
      </c>
      <c r="D353" s="6" t="s">
        <v>214</v>
      </c>
      <c r="E353" s="8" t="s">
        <v>196</v>
      </c>
      <c r="F353" s="8" t="s">
        <v>198</v>
      </c>
      <c r="G353" s="46">
        <v>0.35</v>
      </c>
    </row>
    <row r="354" ht="15.75" customHeight="1">
      <c r="A354" s="43">
        <v>45811.0</v>
      </c>
      <c r="B354" s="43">
        <v>45817.0</v>
      </c>
      <c r="C354" s="44" t="s">
        <v>191</v>
      </c>
      <c r="D354" s="6" t="s">
        <v>217</v>
      </c>
      <c r="E354" s="8" t="s">
        <v>196</v>
      </c>
      <c r="F354" s="8" t="s">
        <v>198</v>
      </c>
      <c r="G354" s="46">
        <v>0.35</v>
      </c>
    </row>
    <row r="355" ht="15.75" customHeight="1">
      <c r="A355" s="43">
        <v>45811.0</v>
      </c>
      <c r="B355" s="43">
        <v>45817.0</v>
      </c>
      <c r="C355" s="44" t="s">
        <v>191</v>
      </c>
      <c r="D355" s="6" t="s">
        <v>220</v>
      </c>
      <c r="E355" s="8" t="s">
        <v>196</v>
      </c>
      <c r="F355" s="8" t="s">
        <v>198</v>
      </c>
      <c r="G355" s="46">
        <v>0.35</v>
      </c>
    </row>
    <row r="356" ht="15.75" customHeight="1">
      <c r="A356" s="43">
        <v>45811.0</v>
      </c>
      <c r="B356" s="43">
        <v>45817.0</v>
      </c>
      <c r="C356" s="44" t="s">
        <v>191</v>
      </c>
      <c r="D356" s="6" t="s">
        <v>221</v>
      </c>
      <c r="E356" s="8" t="s">
        <v>196</v>
      </c>
      <c r="F356" s="8" t="s">
        <v>198</v>
      </c>
      <c r="G356" s="46">
        <v>0.35</v>
      </c>
    </row>
    <row r="357" ht="15.75" customHeight="1">
      <c r="A357" s="43">
        <v>45811.0</v>
      </c>
      <c r="B357" s="43">
        <v>45817.0</v>
      </c>
      <c r="C357" s="44" t="s">
        <v>191</v>
      </c>
      <c r="D357" s="6" t="s">
        <v>224</v>
      </c>
      <c r="E357" s="8" t="s">
        <v>240</v>
      </c>
      <c r="F357" s="8" t="s">
        <v>241</v>
      </c>
      <c r="G357" s="46">
        <v>0.3</v>
      </c>
    </row>
    <row r="358" ht="15.75" customHeight="1">
      <c r="A358" s="43">
        <v>45811.0</v>
      </c>
      <c r="B358" s="43">
        <v>45817.0</v>
      </c>
      <c r="C358" s="44" t="s">
        <v>191</v>
      </c>
      <c r="D358" s="6" t="s">
        <v>226</v>
      </c>
      <c r="E358" s="8" t="s">
        <v>196</v>
      </c>
      <c r="F358" s="8" t="s">
        <v>230</v>
      </c>
      <c r="G358" s="46">
        <v>0.25</v>
      </c>
    </row>
    <row r="359" ht="15.75" customHeight="1">
      <c r="A359" s="43">
        <v>45811.0</v>
      </c>
      <c r="B359" s="43">
        <v>45817.0</v>
      </c>
      <c r="C359" s="44" t="s">
        <v>191</v>
      </c>
      <c r="D359" s="6" t="s">
        <v>229</v>
      </c>
      <c r="E359" s="8" t="s">
        <v>196</v>
      </c>
      <c r="F359" s="8" t="s">
        <v>242</v>
      </c>
      <c r="G359" s="46">
        <v>0.2</v>
      </c>
    </row>
    <row r="360" ht="15.75" customHeight="1">
      <c r="A360" s="43">
        <v>45818.0</v>
      </c>
      <c r="B360" s="43">
        <v>45831.0</v>
      </c>
      <c r="C360" s="44" t="s">
        <v>125</v>
      </c>
      <c r="D360" s="6" t="s">
        <v>24</v>
      </c>
      <c r="E360" s="8" t="s">
        <v>88</v>
      </c>
      <c r="F360" s="8" t="s">
        <v>280</v>
      </c>
      <c r="G360" s="46">
        <v>0.6</v>
      </c>
    </row>
    <row r="361" ht="15.75" customHeight="1">
      <c r="A361" s="43">
        <v>45818.0</v>
      </c>
      <c r="B361" s="43">
        <v>45831.0</v>
      </c>
      <c r="C361" s="44" t="s">
        <v>125</v>
      </c>
      <c r="D361" s="6" t="s">
        <v>24</v>
      </c>
      <c r="E361" s="8" t="s">
        <v>89</v>
      </c>
      <c r="F361" s="8" t="s">
        <v>281</v>
      </c>
      <c r="G361" s="46">
        <v>0.5</v>
      </c>
    </row>
    <row r="362" ht="15.75" customHeight="1">
      <c r="A362" s="43">
        <v>45818.0</v>
      </c>
      <c r="B362" s="43">
        <v>45831.0</v>
      </c>
      <c r="C362" s="44" t="s">
        <v>125</v>
      </c>
      <c r="D362" s="6" t="s">
        <v>25</v>
      </c>
      <c r="E362" s="8" t="s">
        <v>183</v>
      </c>
      <c r="F362" s="8" t="s">
        <v>468</v>
      </c>
      <c r="G362" s="46">
        <v>0.5</v>
      </c>
    </row>
    <row r="363" ht="15.75" customHeight="1">
      <c r="A363" s="43">
        <v>45818.0</v>
      </c>
      <c r="B363" s="43">
        <v>45831.0</v>
      </c>
      <c r="C363" s="44" t="s">
        <v>125</v>
      </c>
      <c r="D363" s="6" t="s">
        <v>25</v>
      </c>
      <c r="E363" s="8" t="s">
        <v>474</v>
      </c>
      <c r="F363" s="8" t="s">
        <v>475</v>
      </c>
      <c r="G363" s="46">
        <v>0.4</v>
      </c>
    </row>
    <row r="364" ht="15.75" customHeight="1">
      <c r="A364" s="43">
        <v>45832.0</v>
      </c>
      <c r="B364" s="43">
        <v>45838.0</v>
      </c>
      <c r="C364" s="44" t="s">
        <v>126</v>
      </c>
      <c r="D364" s="6" t="s">
        <v>99</v>
      </c>
      <c r="E364" s="8" t="s">
        <v>244</v>
      </c>
      <c r="F364" s="8" t="s">
        <v>245</v>
      </c>
      <c r="G364" s="46">
        <v>0.35</v>
      </c>
    </row>
    <row r="365" ht="15.75" customHeight="1">
      <c r="A365" s="43">
        <v>45832.0</v>
      </c>
      <c r="B365" s="43">
        <v>45838.0</v>
      </c>
      <c r="C365" s="44" t="s">
        <v>126</v>
      </c>
      <c r="D365" s="6" t="s">
        <v>100</v>
      </c>
      <c r="E365" s="8" t="s">
        <v>244</v>
      </c>
      <c r="F365" s="8" t="s">
        <v>245</v>
      </c>
      <c r="G365" s="46">
        <v>0.35</v>
      </c>
    </row>
    <row r="366" ht="15.75" customHeight="1">
      <c r="A366" s="43">
        <v>45832.0</v>
      </c>
      <c r="B366" s="43">
        <v>45838.0</v>
      </c>
      <c r="C366" s="44" t="s">
        <v>126</v>
      </c>
      <c r="D366" s="6" t="s">
        <v>102</v>
      </c>
      <c r="E366" s="8" t="s">
        <v>244</v>
      </c>
      <c r="F366" s="8" t="s">
        <v>472</v>
      </c>
      <c r="G366" s="46">
        <v>0.25</v>
      </c>
    </row>
    <row r="367" ht="15.75" customHeight="1">
      <c r="A367" s="43">
        <v>45832.0</v>
      </c>
      <c r="B367" s="43">
        <v>45838.0</v>
      </c>
      <c r="C367" s="44" t="s">
        <v>126</v>
      </c>
      <c r="D367" s="6" t="s">
        <v>99</v>
      </c>
      <c r="E367" s="8" t="s">
        <v>244</v>
      </c>
      <c r="F367" s="8" t="s">
        <v>254</v>
      </c>
      <c r="G367" s="46">
        <v>0.3</v>
      </c>
    </row>
    <row r="368" ht="15.75" customHeight="1">
      <c r="A368" s="43">
        <v>45832.0</v>
      </c>
      <c r="B368" s="43">
        <v>45838.0</v>
      </c>
      <c r="C368" s="44" t="s">
        <v>126</v>
      </c>
      <c r="D368" s="6" t="s">
        <v>100</v>
      </c>
      <c r="E368" s="8" t="s">
        <v>244</v>
      </c>
      <c r="F368" s="8" t="s">
        <v>254</v>
      </c>
      <c r="G368" s="46">
        <v>0.3</v>
      </c>
    </row>
    <row r="369" ht="15.75" customHeight="1">
      <c r="A369" s="43">
        <v>45832.0</v>
      </c>
      <c r="B369" s="43">
        <v>45838.0</v>
      </c>
      <c r="C369" s="44" t="s">
        <v>126</v>
      </c>
      <c r="D369" s="6" t="s">
        <v>102</v>
      </c>
      <c r="E369" s="8" t="s">
        <v>244</v>
      </c>
      <c r="F369" s="8" t="s">
        <v>472</v>
      </c>
      <c r="G369" s="46">
        <v>0.25</v>
      </c>
    </row>
    <row r="370" ht="15.75" customHeight="1">
      <c r="A370" s="43">
        <v>45832.0</v>
      </c>
      <c r="B370" s="43">
        <v>45838.0</v>
      </c>
      <c r="C370" s="44" t="s">
        <v>92</v>
      </c>
      <c r="D370" s="6" t="s">
        <v>19</v>
      </c>
      <c r="E370" s="8" t="s">
        <v>269</v>
      </c>
      <c r="F370" s="8" t="s">
        <v>184</v>
      </c>
      <c r="G370" s="46">
        <v>0.5</v>
      </c>
    </row>
    <row r="371" ht="15.75" customHeight="1">
      <c r="A371" s="43">
        <v>45832.0</v>
      </c>
      <c r="B371" s="43">
        <v>45838.0</v>
      </c>
      <c r="C371" s="44" t="s">
        <v>92</v>
      </c>
      <c r="D371" s="6" t="s">
        <v>19</v>
      </c>
      <c r="E371" s="8" t="s">
        <v>269</v>
      </c>
      <c r="F371" s="8" t="s">
        <v>479</v>
      </c>
      <c r="G371" s="46">
        <v>0.4</v>
      </c>
    </row>
    <row r="372" ht="15.75" customHeight="1">
      <c r="A372" s="43">
        <v>45839.0</v>
      </c>
      <c r="B372" s="43">
        <v>45845.0</v>
      </c>
      <c r="C372" s="44" t="s">
        <v>92</v>
      </c>
      <c r="D372" s="6" t="s">
        <v>17</v>
      </c>
      <c r="E372" s="8" t="s">
        <v>95</v>
      </c>
      <c r="F372" s="46">
        <v>0.5</v>
      </c>
      <c r="G372" s="46" t="s">
        <v>305</v>
      </c>
    </row>
    <row r="373" ht="15.75" customHeight="1">
      <c r="A373" s="43">
        <v>45839.0</v>
      </c>
      <c r="B373" s="43">
        <v>45845.0</v>
      </c>
      <c r="C373" s="44" t="s">
        <v>92</v>
      </c>
      <c r="D373" s="6" t="s">
        <v>17</v>
      </c>
      <c r="E373" s="8" t="s">
        <v>88</v>
      </c>
      <c r="F373" s="46">
        <v>0.45</v>
      </c>
      <c r="G373" s="46" t="s">
        <v>473</v>
      </c>
    </row>
    <row r="374" ht="15.75" customHeight="1">
      <c r="A374" s="43">
        <v>45846.0</v>
      </c>
      <c r="B374" s="43">
        <v>45854.0</v>
      </c>
      <c r="C374" s="44" t="s">
        <v>86</v>
      </c>
      <c r="D374" s="6" t="s">
        <v>20</v>
      </c>
      <c r="E374" s="8" t="s">
        <v>453</v>
      </c>
      <c r="F374" s="46">
        <v>0.3</v>
      </c>
      <c r="G374" s="46" t="s">
        <v>469</v>
      </c>
    </row>
    <row r="375" ht="15.75" customHeight="1">
      <c r="A375" s="43">
        <v>45846.0</v>
      </c>
      <c r="B375" s="43">
        <v>45854.0</v>
      </c>
      <c r="C375" s="44" t="s">
        <v>86</v>
      </c>
      <c r="D375" s="6" t="s">
        <v>20</v>
      </c>
      <c r="E375" s="8" t="s">
        <v>470</v>
      </c>
      <c r="F375" s="46">
        <v>0.25</v>
      </c>
      <c r="G375" s="46" t="s">
        <v>471</v>
      </c>
    </row>
    <row r="376" ht="15.75" customHeight="1">
      <c r="A376" s="43">
        <v>45853.0</v>
      </c>
      <c r="B376" s="43">
        <v>45859.0</v>
      </c>
      <c r="C376" s="44" t="s">
        <v>191</v>
      </c>
      <c r="D376" s="6" t="s">
        <v>195</v>
      </c>
      <c r="E376" s="8" t="s">
        <v>196</v>
      </c>
      <c r="F376" s="46">
        <v>0.35</v>
      </c>
      <c r="G376" s="46" t="s">
        <v>198</v>
      </c>
    </row>
    <row r="377" ht="15.75" customHeight="1">
      <c r="A377" s="43">
        <v>45853.0</v>
      </c>
      <c r="B377" s="43">
        <v>45859.0</v>
      </c>
      <c r="C377" s="44" t="s">
        <v>191</v>
      </c>
      <c r="D377" s="6" t="s">
        <v>201</v>
      </c>
      <c r="E377" s="8" t="s">
        <v>196</v>
      </c>
      <c r="F377" s="46">
        <v>0.35</v>
      </c>
      <c r="G377" s="46" t="s">
        <v>198</v>
      </c>
    </row>
    <row r="378" ht="15.75" customHeight="1">
      <c r="A378" s="43">
        <v>45853.0</v>
      </c>
      <c r="B378" s="43">
        <v>45859.0</v>
      </c>
      <c r="C378" s="44" t="s">
        <v>191</v>
      </c>
      <c r="D378" s="6" t="s">
        <v>203</v>
      </c>
      <c r="E378" s="8" t="s">
        <v>196</v>
      </c>
      <c r="F378" s="46">
        <v>0.35</v>
      </c>
      <c r="G378" s="46" t="s">
        <v>198</v>
      </c>
    </row>
    <row r="379" ht="15.75" customHeight="1">
      <c r="A379" s="43">
        <v>45853.0</v>
      </c>
      <c r="B379" s="43">
        <v>45859.0</v>
      </c>
      <c r="C379" s="44" t="s">
        <v>191</v>
      </c>
      <c r="D379" s="6" t="s">
        <v>205</v>
      </c>
      <c r="E379" s="8" t="s">
        <v>131</v>
      </c>
      <c r="F379" s="46">
        <v>0.35</v>
      </c>
      <c r="G379" s="46" t="s">
        <v>207</v>
      </c>
    </row>
    <row r="380" ht="15.75" customHeight="1">
      <c r="A380" s="43">
        <v>45853.0</v>
      </c>
      <c r="B380" s="43">
        <v>45859.0</v>
      </c>
      <c r="C380" s="44" t="s">
        <v>191</v>
      </c>
      <c r="D380" s="6" t="s">
        <v>209</v>
      </c>
      <c r="E380" s="8" t="s">
        <v>196</v>
      </c>
      <c r="F380" s="46">
        <v>0.35</v>
      </c>
      <c r="G380" s="46" t="s">
        <v>198</v>
      </c>
    </row>
    <row r="381" ht="15.75" customHeight="1">
      <c r="A381" s="43">
        <v>45853.0</v>
      </c>
      <c r="B381" s="43">
        <v>45859.0</v>
      </c>
      <c r="C381" s="44" t="s">
        <v>191</v>
      </c>
      <c r="D381" s="6" t="s">
        <v>210</v>
      </c>
      <c r="E381" s="8" t="s">
        <v>196</v>
      </c>
      <c r="F381" s="46">
        <v>0.35</v>
      </c>
      <c r="G381" s="46" t="s">
        <v>198</v>
      </c>
    </row>
    <row r="382" ht="15.75" customHeight="1">
      <c r="A382" s="43">
        <v>45853.0</v>
      </c>
      <c r="B382" s="43">
        <v>45859.0</v>
      </c>
      <c r="C382" s="44" t="s">
        <v>191</v>
      </c>
      <c r="D382" s="6" t="s">
        <v>211</v>
      </c>
      <c r="E382" s="8" t="s">
        <v>196</v>
      </c>
      <c r="F382" s="46">
        <v>0.35</v>
      </c>
      <c r="G382" s="46" t="s">
        <v>198</v>
      </c>
    </row>
    <row r="383" ht="15.75" customHeight="1">
      <c r="A383" s="43">
        <v>45853.0</v>
      </c>
      <c r="B383" s="43">
        <v>45859.0</v>
      </c>
      <c r="C383" s="44" t="s">
        <v>191</v>
      </c>
      <c r="D383" s="6" t="s">
        <v>214</v>
      </c>
      <c r="E383" s="8" t="s">
        <v>196</v>
      </c>
      <c r="F383" s="46">
        <v>0.35</v>
      </c>
      <c r="G383" s="46" t="s">
        <v>198</v>
      </c>
    </row>
    <row r="384" ht="15.75" customHeight="1">
      <c r="A384" s="43">
        <v>45853.0</v>
      </c>
      <c r="B384" s="43">
        <v>45859.0</v>
      </c>
      <c r="C384" s="44" t="s">
        <v>191</v>
      </c>
      <c r="D384" s="6" t="s">
        <v>217</v>
      </c>
      <c r="E384" s="8" t="s">
        <v>196</v>
      </c>
      <c r="F384" s="46">
        <v>0.35</v>
      </c>
      <c r="G384" s="46" t="s">
        <v>198</v>
      </c>
    </row>
    <row r="385" ht="15.75" customHeight="1">
      <c r="A385" s="43">
        <v>45853.0</v>
      </c>
      <c r="B385" s="43">
        <v>45859.0</v>
      </c>
      <c r="C385" s="44" t="s">
        <v>191</v>
      </c>
      <c r="D385" s="6" t="s">
        <v>220</v>
      </c>
      <c r="E385" s="8" t="s">
        <v>196</v>
      </c>
      <c r="F385" s="46">
        <v>0.35</v>
      </c>
      <c r="G385" s="46" t="s">
        <v>198</v>
      </c>
    </row>
    <row r="386" ht="15.75" customHeight="1">
      <c r="A386" s="43">
        <v>45853.0</v>
      </c>
      <c r="B386" s="43">
        <v>45859.0</v>
      </c>
      <c r="C386" s="44" t="s">
        <v>191</v>
      </c>
      <c r="D386" s="6" t="s">
        <v>221</v>
      </c>
      <c r="E386" s="8" t="s">
        <v>196</v>
      </c>
      <c r="F386" s="46">
        <v>0.35</v>
      </c>
      <c r="G386" s="46" t="s">
        <v>198</v>
      </c>
    </row>
    <row r="387" ht="15.75" customHeight="1">
      <c r="A387" s="43">
        <v>45853.0</v>
      </c>
      <c r="B387" s="43">
        <v>45859.0</v>
      </c>
      <c r="C387" s="44" t="s">
        <v>191</v>
      </c>
      <c r="D387" s="6" t="s">
        <v>224</v>
      </c>
      <c r="E387" s="8" t="s">
        <v>131</v>
      </c>
      <c r="F387" s="46">
        <v>0.3</v>
      </c>
      <c r="G387" s="46" t="s">
        <v>225</v>
      </c>
    </row>
    <row r="388" ht="15.75" customHeight="1">
      <c r="A388" s="43">
        <v>45853.0</v>
      </c>
      <c r="B388" s="43">
        <v>45859.0</v>
      </c>
      <c r="C388" s="44" t="s">
        <v>191</v>
      </c>
      <c r="D388" s="6" t="s">
        <v>226</v>
      </c>
      <c r="E388" s="8" t="s">
        <v>196</v>
      </c>
      <c r="F388" s="46">
        <v>0.3</v>
      </c>
      <c r="G388" s="46" t="s">
        <v>228</v>
      </c>
    </row>
    <row r="389" ht="15.75" customHeight="1">
      <c r="A389" s="43">
        <v>45853.0</v>
      </c>
      <c r="B389" s="43">
        <v>45859.0</v>
      </c>
      <c r="C389" s="44" t="s">
        <v>191</v>
      </c>
      <c r="D389" s="6" t="s">
        <v>229</v>
      </c>
      <c r="E389" s="8" t="s">
        <v>196</v>
      </c>
      <c r="F389" s="46">
        <v>0.25</v>
      </c>
      <c r="G389" s="46" t="s">
        <v>230</v>
      </c>
    </row>
    <row r="390" ht="15.75" customHeight="1">
      <c r="A390" s="43">
        <v>45853.0</v>
      </c>
      <c r="B390" s="43">
        <v>45859.0</v>
      </c>
      <c r="C390" s="44" t="s">
        <v>191</v>
      </c>
      <c r="D390" s="6" t="s">
        <v>195</v>
      </c>
      <c r="E390" s="8" t="s">
        <v>196</v>
      </c>
      <c r="F390" s="46">
        <v>0.35</v>
      </c>
      <c r="G390" s="46" t="s">
        <v>198</v>
      </c>
    </row>
    <row r="391" ht="15.75" customHeight="1">
      <c r="A391" s="43">
        <v>45853.0</v>
      </c>
      <c r="B391" s="43">
        <v>45859.0</v>
      </c>
      <c r="C391" s="44" t="s">
        <v>191</v>
      </c>
      <c r="D391" s="6" t="s">
        <v>201</v>
      </c>
      <c r="E391" s="8" t="s">
        <v>196</v>
      </c>
      <c r="F391" s="46">
        <v>0.35</v>
      </c>
      <c r="G391" s="46" t="s">
        <v>198</v>
      </c>
    </row>
    <row r="392" ht="15.75" customHeight="1">
      <c r="A392" s="43">
        <v>45853.0</v>
      </c>
      <c r="B392" s="43">
        <v>45859.0</v>
      </c>
      <c r="C392" s="44" t="s">
        <v>191</v>
      </c>
      <c r="D392" s="6" t="s">
        <v>203</v>
      </c>
      <c r="E392" s="8" t="s">
        <v>196</v>
      </c>
      <c r="F392" s="46">
        <v>0.35</v>
      </c>
      <c r="G392" s="46" t="s">
        <v>198</v>
      </c>
    </row>
    <row r="393" ht="15.75" customHeight="1">
      <c r="A393" s="43">
        <v>45853.0</v>
      </c>
      <c r="B393" s="43">
        <v>45859.0</v>
      </c>
      <c r="C393" s="44" t="s">
        <v>191</v>
      </c>
      <c r="D393" s="6" t="s">
        <v>205</v>
      </c>
      <c r="E393" s="8" t="s">
        <v>131</v>
      </c>
      <c r="F393" s="46">
        <v>0.35</v>
      </c>
      <c r="G393" s="46" t="s">
        <v>207</v>
      </c>
    </row>
    <row r="394" ht="15.75" customHeight="1">
      <c r="A394" s="43">
        <v>45853.0</v>
      </c>
      <c r="B394" s="43">
        <v>45859.0</v>
      </c>
      <c r="C394" s="44" t="s">
        <v>191</v>
      </c>
      <c r="D394" s="6" t="s">
        <v>209</v>
      </c>
      <c r="E394" s="8" t="s">
        <v>196</v>
      </c>
      <c r="F394" s="46">
        <v>0.35</v>
      </c>
      <c r="G394" s="46" t="s">
        <v>198</v>
      </c>
    </row>
    <row r="395" ht="15.75" customHeight="1">
      <c r="A395" s="43">
        <v>45853.0</v>
      </c>
      <c r="B395" s="43">
        <v>45859.0</v>
      </c>
      <c r="C395" s="44" t="s">
        <v>191</v>
      </c>
      <c r="D395" s="6" t="s">
        <v>210</v>
      </c>
      <c r="E395" s="8" t="s">
        <v>196</v>
      </c>
      <c r="F395" s="46">
        <v>0.35</v>
      </c>
      <c r="G395" s="46" t="s">
        <v>198</v>
      </c>
    </row>
    <row r="396" ht="15.75" customHeight="1">
      <c r="A396" s="43">
        <v>45853.0</v>
      </c>
      <c r="B396" s="43">
        <v>45859.0</v>
      </c>
      <c r="C396" s="44" t="s">
        <v>191</v>
      </c>
      <c r="D396" s="6" t="s">
        <v>211</v>
      </c>
      <c r="E396" s="8" t="s">
        <v>196</v>
      </c>
      <c r="F396" s="46">
        <v>0.35</v>
      </c>
      <c r="G396" s="46" t="s">
        <v>198</v>
      </c>
    </row>
    <row r="397" ht="15.75" customHeight="1">
      <c r="A397" s="43">
        <v>45853.0</v>
      </c>
      <c r="B397" s="43">
        <v>45859.0</v>
      </c>
      <c r="C397" s="44" t="s">
        <v>191</v>
      </c>
      <c r="D397" s="6" t="s">
        <v>214</v>
      </c>
      <c r="E397" s="8" t="s">
        <v>196</v>
      </c>
      <c r="F397" s="46">
        <v>0.35</v>
      </c>
      <c r="G397" s="46" t="s">
        <v>198</v>
      </c>
    </row>
    <row r="398" ht="15.75" customHeight="1">
      <c r="A398" s="43">
        <v>45853.0</v>
      </c>
      <c r="B398" s="43">
        <v>45859.0</v>
      </c>
      <c r="C398" s="44" t="s">
        <v>191</v>
      </c>
      <c r="D398" s="6" t="s">
        <v>217</v>
      </c>
      <c r="E398" s="8" t="s">
        <v>196</v>
      </c>
      <c r="F398" s="46">
        <v>0.35</v>
      </c>
      <c r="G398" s="46" t="s">
        <v>198</v>
      </c>
    </row>
    <row r="399" ht="15.75" customHeight="1">
      <c r="A399" s="43">
        <v>45853.0</v>
      </c>
      <c r="B399" s="43">
        <v>45859.0</v>
      </c>
      <c r="C399" s="44" t="s">
        <v>191</v>
      </c>
      <c r="D399" s="6" t="s">
        <v>220</v>
      </c>
      <c r="E399" s="8" t="s">
        <v>196</v>
      </c>
      <c r="F399" s="46">
        <v>0.35</v>
      </c>
      <c r="G399" s="46" t="s">
        <v>198</v>
      </c>
    </row>
    <row r="400" ht="15.75" customHeight="1">
      <c r="A400" s="43">
        <v>45853.0</v>
      </c>
      <c r="B400" s="43">
        <v>45859.0</v>
      </c>
      <c r="C400" s="44" t="s">
        <v>191</v>
      </c>
      <c r="D400" s="6" t="s">
        <v>221</v>
      </c>
      <c r="E400" s="8" t="s">
        <v>196</v>
      </c>
      <c r="F400" s="46">
        <v>0.35</v>
      </c>
      <c r="G400" s="46" t="s">
        <v>198</v>
      </c>
    </row>
    <row r="401" ht="15.75" customHeight="1">
      <c r="A401" s="43">
        <v>45853.0</v>
      </c>
      <c r="B401" s="43">
        <v>45859.0</v>
      </c>
      <c r="C401" s="44" t="s">
        <v>191</v>
      </c>
      <c r="D401" s="6" t="s">
        <v>224</v>
      </c>
      <c r="E401" s="8" t="s">
        <v>240</v>
      </c>
      <c r="F401" s="46">
        <v>0.3</v>
      </c>
      <c r="G401" s="46" t="s">
        <v>241</v>
      </c>
    </row>
    <row r="402" ht="15.75" customHeight="1">
      <c r="A402" s="43">
        <v>45853.0</v>
      </c>
      <c r="B402" s="43">
        <v>45859.0</v>
      </c>
      <c r="C402" s="44" t="s">
        <v>191</v>
      </c>
      <c r="D402" s="6" t="s">
        <v>226</v>
      </c>
      <c r="E402" s="8" t="s">
        <v>196</v>
      </c>
      <c r="F402" s="46">
        <v>0.25</v>
      </c>
      <c r="G402" s="46" t="s">
        <v>230</v>
      </c>
    </row>
    <row r="403" ht="15.75" customHeight="1">
      <c r="A403" s="43">
        <v>45853.0</v>
      </c>
      <c r="B403" s="43">
        <v>45859.0</v>
      </c>
      <c r="C403" s="44" t="s">
        <v>191</v>
      </c>
      <c r="D403" s="6" t="s">
        <v>229</v>
      </c>
      <c r="E403" s="8" t="s">
        <v>196</v>
      </c>
      <c r="F403" s="46">
        <v>0.2</v>
      </c>
      <c r="G403" s="46" t="s">
        <v>242</v>
      </c>
    </row>
    <row r="404" ht="15.75" customHeight="1">
      <c r="A404" s="43">
        <v>45854.0</v>
      </c>
      <c r="B404" s="43">
        <v>45869.0</v>
      </c>
      <c r="C404" s="44" t="s">
        <v>465</v>
      </c>
      <c r="D404" s="6" t="s">
        <v>20</v>
      </c>
      <c r="E404" s="8" t="s">
        <v>453</v>
      </c>
      <c r="F404" s="46">
        <v>0.3</v>
      </c>
      <c r="G404" s="46" t="s">
        <v>469</v>
      </c>
    </row>
    <row r="405" ht="15.75" customHeight="1">
      <c r="A405" s="43">
        <v>45854.0</v>
      </c>
      <c r="B405" s="43">
        <v>45869.0</v>
      </c>
      <c r="C405" s="44" t="s">
        <v>465</v>
      </c>
      <c r="D405" s="6" t="s">
        <v>20</v>
      </c>
      <c r="E405" s="8" t="s">
        <v>470</v>
      </c>
      <c r="F405" s="46">
        <v>0.25</v>
      </c>
      <c r="G405" s="46" t="s">
        <v>471</v>
      </c>
    </row>
    <row r="406" ht="15.75" customHeight="1">
      <c r="A406" s="43">
        <v>45860.0</v>
      </c>
      <c r="B406" s="43">
        <v>45866.0</v>
      </c>
      <c r="C406" s="44" t="s">
        <v>92</v>
      </c>
      <c r="D406" s="6" t="s">
        <v>25</v>
      </c>
      <c r="E406" s="8" t="s">
        <v>183</v>
      </c>
      <c r="F406" s="46">
        <v>0.5</v>
      </c>
      <c r="G406" s="46" t="s">
        <v>468</v>
      </c>
    </row>
    <row r="407" ht="15.75" customHeight="1">
      <c r="A407" s="43">
        <v>45860.0</v>
      </c>
      <c r="B407" s="43">
        <v>45866.0</v>
      </c>
      <c r="C407" s="44" t="s">
        <v>92</v>
      </c>
      <c r="D407" s="6" t="s">
        <v>25</v>
      </c>
      <c r="E407" s="8" t="s">
        <v>474</v>
      </c>
      <c r="F407" s="46">
        <v>0.4</v>
      </c>
      <c r="G407" s="46" t="s">
        <v>475</v>
      </c>
    </row>
    <row r="408" ht="15.75" customHeight="1">
      <c r="A408" s="43">
        <v>45860.0</v>
      </c>
      <c r="B408" s="43">
        <v>45866.0</v>
      </c>
      <c r="C408" s="44" t="s">
        <v>191</v>
      </c>
      <c r="D408" s="6" t="s">
        <v>261</v>
      </c>
      <c r="E408" s="8" t="s">
        <v>88</v>
      </c>
      <c r="F408" s="46">
        <v>0.33</v>
      </c>
      <c r="G408" s="46" t="s">
        <v>262</v>
      </c>
    </row>
    <row r="409" ht="15.75" customHeight="1">
      <c r="A409" s="43">
        <v>45860.0</v>
      </c>
      <c r="B409" s="43">
        <v>45866.0</v>
      </c>
      <c r="C409" s="44" t="s">
        <v>191</v>
      </c>
      <c r="D409" s="6" t="s">
        <v>265</v>
      </c>
      <c r="E409" s="8" t="s">
        <v>132</v>
      </c>
      <c r="F409" s="46">
        <v>0.33</v>
      </c>
      <c r="G409" s="46" t="s">
        <v>267</v>
      </c>
    </row>
    <row r="410" ht="15.75" customHeight="1">
      <c r="A410" s="43">
        <v>45860.0</v>
      </c>
      <c r="B410" s="43">
        <v>45866.0</v>
      </c>
      <c r="C410" s="44" t="s">
        <v>191</v>
      </c>
      <c r="D410" s="6" t="s">
        <v>268</v>
      </c>
      <c r="E410" s="8" t="s">
        <v>269</v>
      </c>
      <c r="F410" s="46">
        <v>0.2</v>
      </c>
      <c r="G410" s="46" t="s">
        <v>273</v>
      </c>
    </row>
    <row r="411" ht="15.75" customHeight="1">
      <c r="A411" s="43">
        <v>45860.0</v>
      </c>
      <c r="B411" s="43">
        <v>45866.0</v>
      </c>
      <c r="C411" s="44" t="s">
        <v>191</v>
      </c>
      <c r="D411" s="6" t="s">
        <v>261</v>
      </c>
      <c r="E411" s="8" t="s">
        <v>88</v>
      </c>
      <c r="F411" s="46">
        <v>0.33</v>
      </c>
      <c r="G411" s="46" t="s">
        <v>262</v>
      </c>
    </row>
    <row r="412" ht="15.75" customHeight="1">
      <c r="A412" s="43">
        <v>45860.0</v>
      </c>
      <c r="B412" s="43">
        <v>45866.0</v>
      </c>
      <c r="C412" s="44" t="s">
        <v>191</v>
      </c>
      <c r="D412" s="6" t="s">
        <v>265</v>
      </c>
      <c r="E412" s="8" t="s">
        <v>132</v>
      </c>
      <c r="F412" s="46">
        <v>0.33</v>
      </c>
      <c r="G412" s="46" t="s">
        <v>267</v>
      </c>
    </row>
    <row r="413" ht="15.75" customHeight="1">
      <c r="A413" s="43">
        <v>45860.0</v>
      </c>
      <c r="B413" s="43">
        <v>45866.0</v>
      </c>
      <c r="C413" s="44" t="s">
        <v>191</v>
      </c>
      <c r="D413" s="6" t="s">
        <v>268</v>
      </c>
      <c r="E413" s="8" t="s">
        <v>269</v>
      </c>
      <c r="F413" s="46">
        <v>0.2</v>
      </c>
      <c r="G413" s="46" t="s">
        <v>273</v>
      </c>
    </row>
    <row r="414" ht="15.75" customHeight="1">
      <c r="A414" s="43">
        <v>45867.0</v>
      </c>
      <c r="B414" s="43">
        <v>45873.0</v>
      </c>
      <c r="C414" s="44" t="s">
        <v>92</v>
      </c>
      <c r="D414" s="6" t="s">
        <v>24</v>
      </c>
      <c r="E414" s="8" t="s">
        <v>88</v>
      </c>
      <c r="F414" s="46">
        <v>0.6</v>
      </c>
      <c r="G414" s="46" t="s">
        <v>280</v>
      </c>
    </row>
    <row r="415" ht="15.75" customHeight="1">
      <c r="A415" s="43">
        <v>45867.0</v>
      </c>
      <c r="B415" s="43">
        <v>45873.0</v>
      </c>
      <c r="C415" s="44" t="s">
        <v>92</v>
      </c>
      <c r="D415" s="6" t="s">
        <v>24</v>
      </c>
      <c r="E415" s="8" t="s">
        <v>89</v>
      </c>
      <c r="F415" s="46">
        <v>0.5</v>
      </c>
      <c r="G415" s="46" t="s">
        <v>281</v>
      </c>
    </row>
    <row r="416" ht="15.75" customHeight="1">
      <c r="A416" s="43">
        <v>45870.0</v>
      </c>
      <c r="B416" s="43">
        <v>45880.0</v>
      </c>
      <c r="C416" s="44" t="s">
        <v>135</v>
      </c>
      <c r="D416" s="6" t="s">
        <v>99</v>
      </c>
      <c r="E416" s="8" t="s">
        <v>244</v>
      </c>
      <c r="F416" s="46">
        <v>0.35</v>
      </c>
      <c r="G416" s="46" t="s">
        <v>245</v>
      </c>
    </row>
    <row r="417" ht="15.75" customHeight="1">
      <c r="A417" s="43">
        <v>45870.0</v>
      </c>
      <c r="B417" s="43">
        <v>45880.0</v>
      </c>
      <c r="C417" s="44" t="s">
        <v>135</v>
      </c>
      <c r="D417" s="6" t="s">
        <v>100</v>
      </c>
      <c r="E417" s="8" t="s">
        <v>244</v>
      </c>
      <c r="F417" s="46">
        <v>0.35</v>
      </c>
      <c r="G417" s="46" t="s">
        <v>245</v>
      </c>
    </row>
    <row r="418" ht="15.75" customHeight="1">
      <c r="A418" s="43">
        <v>45870.0</v>
      </c>
      <c r="B418" s="43">
        <v>45880.0</v>
      </c>
      <c r="C418" s="44" t="s">
        <v>135</v>
      </c>
      <c r="D418" s="6" t="s">
        <v>102</v>
      </c>
      <c r="E418" s="8" t="s">
        <v>244</v>
      </c>
      <c r="F418" s="46">
        <v>0.25</v>
      </c>
      <c r="G418" s="46" t="s">
        <v>472</v>
      </c>
    </row>
    <row r="419" ht="15.75" customHeight="1">
      <c r="A419" s="43">
        <v>45870.0</v>
      </c>
      <c r="B419" s="43">
        <v>45880.0</v>
      </c>
      <c r="C419" s="44" t="s">
        <v>135</v>
      </c>
      <c r="D419" s="6" t="s">
        <v>99</v>
      </c>
      <c r="E419" s="8" t="s">
        <v>244</v>
      </c>
      <c r="F419" s="46">
        <v>0.3</v>
      </c>
      <c r="G419" s="46" t="s">
        <v>254</v>
      </c>
    </row>
    <row r="420" ht="15.75" customHeight="1">
      <c r="A420" s="43">
        <v>45870.0</v>
      </c>
      <c r="B420" s="43">
        <v>45880.0</v>
      </c>
      <c r="C420" s="44" t="s">
        <v>135</v>
      </c>
      <c r="D420" s="6" t="s">
        <v>100</v>
      </c>
      <c r="E420" s="8" t="s">
        <v>244</v>
      </c>
      <c r="F420" s="46">
        <v>0.3</v>
      </c>
      <c r="G420" s="46" t="s">
        <v>254</v>
      </c>
    </row>
    <row r="421" ht="15.75" customHeight="1">
      <c r="A421" s="43">
        <v>45870.0</v>
      </c>
      <c r="B421" s="43">
        <v>45880.0</v>
      </c>
      <c r="C421" s="44" t="s">
        <v>135</v>
      </c>
      <c r="D421" s="6" t="s">
        <v>102</v>
      </c>
      <c r="E421" s="8" t="s">
        <v>244</v>
      </c>
      <c r="F421" s="46">
        <v>0.25</v>
      </c>
      <c r="G421" s="46" t="s">
        <v>472</v>
      </c>
    </row>
    <row r="422" ht="15.75" customHeight="1">
      <c r="A422" s="43">
        <v>45874.0</v>
      </c>
      <c r="B422" s="43">
        <v>45880.0</v>
      </c>
      <c r="C422" s="44" t="s">
        <v>92</v>
      </c>
      <c r="D422" s="6" t="s">
        <v>19</v>
      </c>
      <c r="E422" s="8" t="s">
        <v>269</v>
      </c>
      <c r="F422" s="46">
        <v>0.5</v>
      </c>
      <c r="G422" s="46" t="s">
        <v>184</v>
      </c>
    </row>
    <row r="423" ht="15.75" customHeight="1">
      <c r="A423" s="43">
        <v>45874.0</v>
      </c>
      <c r="B423" s="43">
        <v>45880.0</v>
      </c>
      <c r="C423" s="44" t="s">
        <v>92</v>
      </c>
      <c r="D423" s="6" t="s">
        <v>19</v>
      </c>
      <c r="E423" s="8" t="s">
        <v>269</v>
      </c>
      <c r="F423" s="46">
        <v>0.4</v>
      </c>
      <c r="G423" s="46" t="s">
        <v>479</v>
      </c>
    </row>
    <row r="424" ht="15.75" customHeight="1">
      <c r="A424" s="43">
        <v>45881.0</v>
      </c>
      <c r="B424" s="43">
        <v>45887.0</v>
      </c>
      <c r="C424" s="44" t="s">
        <v>497</v>
      </c>
      <c r="D424" s="6" t="s">
        <v>17</v>
      </c>
      <c r="E424" s="8" t="s">
        <v>95</v>
      </c>
      <c r="F424" s="46">
        <v>0.5</v>
      </c>
      <c r="G424" s="46" t="s">
        <v>305</v>
      </c>
    </row>
    <row r="425" ht="15.75" customHeight="1">
      <c r="A425" s="43">
        <v>45881.0</v>
      </c>
      <c r="B425" s="43">
        <v>45887.0</v>
      </c>
      <c r="C425" s="44" t="s">
        <v>497</v>
      </c>
      <c r="D425" s="6" t="s">
        <v>17</v>
      </c>
      <c r="E425" s="8" t="s">
        <v>88</v>
      </c>
      <c r="F425" s="46">
        <v>0.45</v>
      </c>
      <c r="G425" s="46" t="s">
        <v>473</v>
      </c>
    </row>
    <row r="426" ht="15.75" customHeight="1">
      <c r="A426" s="43">
        <v>45895.0</v>
      </c>
      <c r="B426" s="43">
        <v>45909.0</v>
      </c>
      <c r="C426" s="44" t="s">
        <v>498</v>
      </c>
      <c r="D426" s="6" t="s">
        <v>25</v>
      </c>
      <c r="E426" s="8" t="s">
        <v>183</v>
      </c>
      <c r="F426" s="46">
        <v>0.5</v>
      </c>
      <c r="G426" s="46" t="s">
        <v>468</v>
      </c>
    </row>
    <row r="427" ht="15.75" customHeight="1">
      <c r="A427" s="43">
        <v>45895.0</v>
      </c>
      <c r="B427" s="43">
        <v>45909.0</v>
      </c>
      <c r="C427" s="44" t="s">
        <v>498</v>
      </c>
      <c r="D427" s="6" t="s">
        <v>25</v>
      </c>
      <c r="E427" s="8" t="s">
        <v>474</v>
      </c>
      <c r="F427" s="46">
        <v>0.4</v>
      </c>
      <c r="G427" s="46" t="s">
        <v>475</v>
      </c>
    </row>
    <row r="428" ht="15.75" customHeight="1">
      <c r="A428" s="43">
        <v>45895.0</v>
      </c>
      <c r="B428" s="43">
        <v>45901.0</v>
      </c>
      <c r="C428" s="44" t="s">
        <v>191</v>
      </c>
      <c r="D428" s="6" t="s">
        <v>195</v>
      </c>
      <c r="E428" s="8" t="s">
        <v>196</v>
      </c>
      <c r="F428" s="46">
        <v>0.35</v>
      </c>
      <c r="G428" s="46" t="s">
        <v>198</v>
      </c>
    </row>
    <row r="429" ht="15.75" customHeight="1">
      <c r="A429" s="43">
        <v>45895.0</v>
      </c>
      <c r="B429" s="43">
        <v>45901.0</v>
      </c>
      <c r="C429" s="44" t="s">
        <v>191</v>
      </c>
      <c r="D429" s="6" t="s">
        <v>201</v>
      </c>
      <c r="E429" s="8" t="s">
        <v>196</v>
      </c>
      <c r="F429" s="46">
        <v>0.35</v>
      </c>
      <c r="G429" s="46" t="s">
        <v>198</v>
      </c>
    </row>
    <row r="430" ht="15.75" customHeight="1">
      <c r="A430" s="43">
        <v>45895.0</v>
      </c>
      <c r="B430" s="43">
        <v>45901.0</v>
      </c>
      <c r="C430" s="44" t="s">
        <v>191</v>
      </c>
      <c r="D430" s="6" t="s">
        <v>203</v>
      </c>
      <c r="E430" s="8" t="s">
        <v>196</v>
      </c>
      <c r="F430" s="46">
        <v>0.35</v>
      </c>
      <c r="G430" s="46" t="s">
        <v>198</v>
      </c>
    </row>
    <row r="431" ht="15.75" customHeight="1">
      <c r="A431" s="43">
        <v>45895.0</v>
      </c>
      <c r="B431" s="43">
        <v>45901.0</v>
      </c>
      <c r="C431" s="44" t="s">
        <v>191</v>
      </c>
      <c r="D431" s="6" t="s">
        <v>205</v>
      </c>
      <c r="E431" s="8" t="s">
        <v>131</v>
      </c>
      <c r="F431" s="46">
        <v>0.35</v>
      </c>
      <c r="G431" s="46" t="s">
        <v>207</v>
      </c>
    </row>
    <row r="432" ht="15.75" customHeight="1">
      <c r="A432" s="43">
        <v>45895.0</v>
      </c>
      <c r="B432" s="43">
        <v>45901.0</v>
      </c>
      <c r="C432" s="44" t="s">
        <v>191</v>
      </c>
      <c r="D432" s="6" t="s">
        <v>209</v>
      </c>
      <c r="E432" s="8" t="s">
        <v>196</v>
      </c>
      <c r="F432" s="46">
        <v>0.35</v>
      </c>
      <c r="G432" s="46" t="s">
        <v>198</v>
      </c>
    </row>
    <row r="433" ht="15.75" customHeight="1">
      <c r="A433" s="43">
        <v>45895.0</v>
      </c>
      <c r="B433" s="43">
        <v>45901.0</v>
      </c>
      <c r="C433" s="44" t="s">
        <v>191</v>
      </c>
      <c r="D433" s="6" t="s">
        <v>210</v>
      </c>
      <c r="E433" s="8" t="s">
        <v>196</v>
      </c>
      <c r="F433" s="46">
        <v>0.35</v>
      </c>
      <c r="G433" s="46" t="s">
        <v>198</v>
      </c>
    </row>
    <row r="434" ht="15.75" customHeight="1">
      <c r="A434" s="43">
        <v>45895.0</v>
      </c>
      <c r="B434" s="43">
        <v>45901.0</v>
      </c>
      <c r="C434" s="44" t="s">
        <v>191</v>
      </c>
      <c r="D434" s="6" t="s">
        <v>211</v>
      </c>
      <c r="E434" s="8" t="s">
        <v>196</v>
      </c>
      <c r="F434" s="46">
        <v>0.35</v>
      </c>
      <c r="G434" s="46" t="s">
        <v>198</v>
      </c>
    </row>
    <row r="435" ht="15.75" customHeight="1">
      <c r="A435" s="43">
        <v>45895.0</v>
      </c>
      <c r="B435" s="43">
        <v>45901.0</v>
      </c>
      <c r="C435" s="44" t="s">
        <v>191</v>
      </c>
      <c r="D435" s="6" t="s">
        <v>214</v>
      </c>
      <c r="E435" s="8" t="s">
        <v>196</v>
      </c>
      <c r="F435" s="46">
        <v>0.35</v>
      </c>
      <c r="G435" s="46" t="s">
        <v>198</v>
      </c>
    </row>
    <row r="436" ht="15.75" customHeight="1">
      <c r="A436" s="43">
        <v>45895.0</v>
      </c>
      <c r="B436" s="43">
        <v>45901.0</v>
      </c>
      <c r="C436" s="44" t="s">
        <v>191</v>
      </c>
      <c r="D436" s="6" t="s">
        <v>217</v>
      </c>
      <c r="E436" s="8" t="s">
        <v>196</v>
      </c>
      <c r="F436" s="46">
        <v>0.35</v>
      </c>
      <c r="G436" s="46" t="s">
        <v>198</v>
      </c>
    </row>
    <row r="437" ht="15.75" customHeight="1">
      <c r="A437" s="43">
        <v>45895.0</v>
      </c>
      <c r="B437" s="43">
        <v>45901.0</v>
      </c>
      <c r="C437" s="44" t="s">
        <v>191</v>
      </c>
      <c r="D437" s="6" t="s">
        <v>220</v>
      </c>
      <c r="E437" s="8" t="s">
        <v>196</v>
      </c>
      <c r="F437" s="46">
        <v>0.35</v>
      </c>
      <c r="G437" s="46" t="s">
        <v>198</v>
      </c>
    </row>
    <row r="438" ht="15.75" customHeight="1">
      <c r="A438" s="43">
        <v>45895.0</v>
      </c>
      <c r="B438" s="43">
        <v>45901.0</v>
      </c>
      <c r="C438" s="44" t="s">
        <v>191</v>
      </c>
      <c r="D438" s="6" t="s">
        <v>221</v>
      </c>
      <c r="E438" s="8" t="s">
        <v>196</v>
      </c>
      <c r="F438" s="46">
        <v>0.35</v>
      </c>
      <c r="G438" s="46" t="s">
        <v>198</v>
      </c>
    </row>
    <row r="439" ht="15.75" customHeight="1">
      <c r="A439" s="43">
        <v>45895.0</v>
      </c>
      <c r="B439" s="43">
        <v>45901.0</v>
      </c>
      <c r="C439" s="44" t="s">
        <v>191</v>
      </c>
      <c r="D439" s="6" t="s">
        <v>224</v>
      </c>
      <c r="E439" s="8" t="s">
        <v>131</v>
      </c>
      <c r="F439" s="46">
        <v>0.3</v>
      </c>
      <c r="G439" s="46" t="s">
        <v>225</v>
      </c>
    </row>
    <row r="440" ht="15.75" customHeight="1">
      <c r="A440" s="43">
        <v>45895.0</v>
      </c>
      <c r="B440" s="43">
        <v>45901.0</v>
      </c>
      <c r="C440" s="44" t="s">
        <v>191</v>
      </c>
      <c r="D440" s="6" t="s">
        <v>226</v>
      </c>
      <c r="E440" s="8" t="s">
        <v>196</v>
      </c>
      <c r="F440" s="46">
        <v>0.3</v>
      </c>
      <c r="G440" s="46" t="s">
        <v>228</v>
      </c>
    </row>
    <row r="441" ht="15.75" customHeight="1">
      <c r="A441" s="43">
        <v>45895.0</v>
      </c>
      <c r="B441" s="43">
        <v>45901.0</v>
      </c>
      <c r="C441" s="44" t="s">
        <v>191</v>
      </c>
      <c r="D441" s="6" t="s">
        <v>229</v>
      </c>
      <c r="E441" s="8" t="s">
        <v>196</v>
      </c>
      <c r="F441" s="46">
        <v>0.25</v>
      </c>
      <c r="G441" s="46" t="s">
        <v>230</v>
      </c>
    </row>
    <row r="442" ht="15.75" customHeight="1">
      <c r="A442" s="43">
        <v>45895.0</v>
      </c>
      <c r="B442" s="43">
        <v>45901.0</v>
      </c>
      <c r="C442" s="44" t="s">
        <v>191</v>
      </c>
      <c r="D442" s="6" t="s">
        <v>195</v>
      </c>
      <c r="E442" s="8" t="s">
        <v>196</v>
      </c>
      <c r="F442" s="46">
        <v>0.35</v>
      </c>
      <c r="G442" s="46" t="s">
        <v>198</v>
      </c>
    </row>
    <row r="443" ht="15.75" customHeight="1">
      <c r="A443" s="43">
        <v>45895.0</v>
      </c>
      <c r="B443" s="43">
        <v>45901.0</v>
      </c>
      <c r="C443" s="44" t="s">
        <v>191</v>
      </c>
      <c r="D443" s="6" t="s">
        <v>201</v>
      </c>
      <c r="E443" s="8" t="s">
        <v>196</v>
      </c>
      <c r="F443" s="46">
        <v>0.35</v>
      </c>
      <c r="G443" s="46" t="s">
        <v>198</v>
      </c>
    </row>
    <row r="444" ht="15.75" customHeight="1">
      <c r="A444" s="43">
        <v>45895.0</v>
      </c>
      <c r="B444" s="43">
        <v>45901.0</v>
      </c>
      <c r="C444" s="44" t="s">
        <v>191</v>
      </c>
      <c r="D444" s="6" t="s">
        <v>203</v>
      </c>
      <c r="E444" s="8" t="s">
        <v>196</v>
      </c>
      <c r="F444" s="46">
        <v>0.35</v>
      </c>
      <c r="G444" s="46" t="s">
        <v>198</v>
      </c>
    </row>
    <row r="445" ht="15.75" customHeight="1">
      <c r="A445" s="43">
        <v>45895.0</v>
      </c>
      <c r="B445" s="43">
        <v>45901.0</v>
      </c>
      <c r="C445" s="44" t="s">
        <v>191</v>
      </c>
      <c r="D445" s="6" t="s">
        <v>205</v>
      </c>
      <c r="E445" s="8" t="s">
        <v>131</v>
      </c>
      <c r="F445" s="46">
        <v>0.35</v>
      </c>
      <c r="G445" s="46" t="s">
        <v>207</v>
      </c>
    </row>
    <row r="446" ht="15.75" customHeight="1">
      <c r="A446" s="43">
        <v>45895.0</v>
      </c>
      <c r="B446" s="43">
        <v>45901.0</v>
      </c>
      <c r="C446" s="44" t="s">
        <v>191</v>
      </c>
      <c r="D446" s="6" t="s">
        <v>209</v>
      </c>
      <c r="E446" s="8" t="s">
        <v>196</v>
      </c>
      <c r="F446" s="46">
        <v>0.35</v>
      </c>
      <c r="G446" s="46" t="s">
        <v>198</v>
      </c>
    </row>
    <row r="447" ht="15.75" customHeight="1">
      <c r="A447" s="43">
        <v>45895.0</v>
      </c>
      <c r="B447" s="43">
        <v>45901.0</v>
      </c>
      <c r="C447" s="44" t="s">
        <v>191</v>
      </c>
      <c r="D447" s="6" t="s">
        <v>210</v>
      </c>
      <c r="E447" s="8" t="s">
        <v>196</v>
      </c>
      <c r="F447" s="46">
        <v>0.35</v>
      </c>
      <c r="G447" s="46" t="s">
        <v>198</v>
      </c>
    </row>
    <row r="448" ht="15.75" customHeight="1">
      <c r="A448" s="43">
        <v>45895.0</v>
      </c>
      <c r="B448" s="43">
        <v>45901.0</v>
      </c>
      <c r="C448" s="44" t="s">
        <v>191</v>
      </c>
      <c r="D448" s="6" t="s">
        <v>211</v>
      </c>
      <c r="E448" s="8" t="s">
        <v>196</v>
      </c>
      <c r="F448" s="46">
        <v>0.35</v>
      </c>
      <c r="G448" s="46" t="s">
        <v>198</v>
      </c>
    </row>
    <row r="449" ht="15.75" customHeight="1">
      <c r="A449" s="43">
        <v>45895.0</v>
      </c>
      <c r="B449" s="43">
        <v>45901.0</v>
      </c>
      <c r="C449" s="44" t="s">
        <v>191</v>
      </c>
      <c r="D449" s="6" t="s">
        <v>214</v>
      </c>
      <c r="E449" s="8" t="s">
        <v>196</v>
      </c>
      <c r="F449" s="46">
        <v>0.35</v>
      </c>
      <c r="G449" s="46" t="s">
        <v>198</v>
      </c>
    </row>
    <row r="450" ht="15.75" customHeight="1">
      <c r="A450" s="43">
        <v>45895.0</v>
      </c>
      <c r="B450" s="43">
        <v>45901.0</v>
      </c>
      <c r="C450" s="44" t="s">
        <v>191</v>
      </c>
      <c r="D450" s="6" t="s">
        <v>217</v>
      </c>
      <c r="E450" s="8" t="s">
        <v>196</v>
      </c>
      <c r="F450" s="46">
        <v>0.35</v>
      </c>
      <c r="G450" s="46" t="s">
        <v>198</v>
      </c>
    </row>
    <row r="451" ht="15.75" customHeight="1">
      <c r="A451" s="43">
        <v>45895.0</v>
      </c>
      <c r="B451" s="43">
        <v>45901.0</v>
      </c>
      <c r="C451" s="44" t="s">
        <v>191</v>
      </c>
      <c r="D451" s="6" t="s">
        <v>220</v>
      </c>
      <c r="E451" s="8" t="s">
        <v>196</v>
      </c>
      <c r="F451" s="46">
        <v>0.35</v>
      </c>
      <c r="G451" s="46" t="s">
        <v>198</v>
      </c>
    </row>
    <row r="452" ht="15.75" customHeight="1">
      <c r="A452" s="43">
        <v>45895.0</v>
      </c>
      <c r="B452" s="43">
        <v>45901.0</v>
      </c>
      <c r="C452" s="44" t="s">
        <v>191</v>
      </c>
      <c r="D452" s="6" t="s">
        <v>221</v>
      </c>
      <c r="E452" s="8" t="s">
        <v>196</v>
      </c>
      <c r="F452" s="46">
        <v>0.35</v>
      </c>
      <c r="G452" s="46" t="s">
        <v>198</v>
      </c>
    </row>
    <row r="453" ht="15.75" customHeight="1">
      <c r="A453" s="43">
        <v>45895.0</v>
      </c>
      <c r="B453" s="43">
        <v>45901.0</v>
      </c>
      <c r="C453" s="44" t="s">
        <v>191</v>
      </c>
      <c r="D453" s="6" t="s">
        <v>224</v>
      </c>
      <c r="E453" s="8" t="s">
        <v>240</v>
      </c>
      <c r="F453" s="46">
        <v>0.3</v>
      </c>
      <c r="G453" s="46" t="s">
        <v>241</v>
      </c>
    </row>
    <row r="454" ht="15.75" customHeight="1">
      <c r="A454" s="43">
        <v>45895.0</v>
      </c>
      <c r="B454" s="43">
        <v>45901.0</v>
      </c>
      <c r="C454" s="44" t="s">
        <v>191</v>
      </c>
      <c r="D454" s="6" t="s">
        <v>226</v>
      </c>
      <c r="E454" s="8" t="s">
        <v>196</v>
      </c>
      <c r="F454" s="46">
        <v>0.25</v>
      </c>
      <c r="G454" s="46" t="s">
        <v>230</v>
      </c>
    </row>
    <row r="455" ht="15.75" customHeight="1">
      <c r="A455" s="43">
        <v>45895.0</v>
      </c>
      <c r="B455" s="43">
        <v>45901.0</v>
      </c>
      <c r="C455" s="44" t="s">
        <v>191</v>
      </c>
      <c r="D455" s="6" t="s">
        <v>229</v>
      </c>
      <c r="E455" s="8" t="s">
        <v>196</v>
      </c>
      <c r="F455" s="46">
        <v>0.2</v>
      </c>
      <c r="G455" s="46" t="s">
        <v>242</v>
      </c>
    </row>
    <row r="456" ht="15.75" customHeight="1">
      <c r="A456" s="43">
        <v>45902.0</v>
      </c>
      <c r="B456" s="43">
        <v>45908.0</v>
      </c>
      <c r="C456" s="44" t="s">
        <v>92</v>
      </c>
      <c r="D456" s="6" t="s">
        <v>20</v>
      </c>
      <c r="E456" s="8" t="s">
        <v>453</v>
      </c>
      <c r="F456" s="46">
        <v>0.3</v>
      </c>
      <c r="G456" s="46" t="s">
        <v>469</v>
      </c>
    </row>
    <row r="457" ht="15.75" customHeight="1">
      <c r="A457" s="43">
        <v>45902.0</v>
      </c>
      <c r="B457" s="43">
        <v>45908.0</v>
      </c>
      <c r="C457" s="44" t="s">
        <v>92</v>
      </c>
      <c r="D457" s="6" t="s">
        <v>20</v>
      </c>
      <c r="E457" s="8" t="s">
        <v>470</v>
      </c>
      <c r="F457" s="46">
        <v>0.25</v>
      </c>
      <c r="G457" s="46" t="s">
        <v>471</v>
      </c>
    </row>
    <row r="458" ht="15.75" customHeight="1">
      <c r="A458" s="43">
        <v>45902.0</v>
      </c>
      <c r="B458" s="43">
        <v>45908.0</v>
      </c>
      <c r="C458" s="44" t="s">
        <v>191</v>
      </c>
      <c r="D458" s="6" t="s">
        <v>261</v>
      </c>
      <c r="E458" s="8" t="s">
        <v>88</v>
      </c>
      <c r="F458" s="46">
        <v>0.33</v>
      </c>
      <c r="G458" s="46" t="s">
        <v>262</v>
      </c>
    </row>
    <row r="459" ht="15.75" customHeight="1">
      <c r="A459" s="43">
        <v>45902.0</v>
      </c>
      <c r="B459" s="43">
        <v>45908.0</v>
      </c>
      <c r="C459" s="44" t="s">
        <v>191</v>
      </c>
      <c r="D459" s="6" t="s">
        <v>265</v>
      </c>
      <c r="E459" s="8" t="s">
        <v>132</v>
      </c>
      <c r="F459" s="46">
        <v>0.33</v>
      </c>
      <c r="G459" s="46" t="s">
        <v>267</v>
      </c>
    </row>
    <row r="460" ht="15.75" customHeight="1">
      <c r="A460" s="43">
        <v>45902.0</v>
      </c>
      <c r="B460" s="43">
        <v>45908.0</v>
      </c>
      <c r="C460" s="44" t="s">
        <v>191</v>
      </c>
      <c r="D460" s="6" t="s">
        <v>268</v>
      </c>
      <c r="E460" s="8" t="s">
        <v>269</v>
      </c>
      <c r="F460" s="46">
        <v>0.2</v>
      </c>
      <c r="G460" s="46" t="s">
        <v>273</v>
      </c>
    </row>
    <row r="461" ht="15.75" customHeight="1">
      <c r="A461" s="43">
        <v>45902.0</v>
      </c>
      <c r="B461" s="43">
        <v>45908.0</v>
      </c>
      <c r="C461" s="44" t="s">
        <v>191</v>
      </c>
      <c r="D461" s="6" t="s">
        <v>261</v>
      </c>
      <c r="E461" s="8" t="s">
        <v>88</v>
      </c>
      <c r="F461" s="46">
        <v>0.33</v>
      </c>
      <c r="G461" s="46" t="s">
        <v>262</v>
      </c>
    </row>
    <row r="462" ht="15.75" customHeight="1">
      <c r="A462" s="43">
        <v>45902.0</v>
      </c>
      <c r="B462" s="43">
        <v>45908.0</v>
      </c>
      <c r="C462" s="44" t="s">
        <v>191</v>
      </c>
      <c r="D462" s="6" t="s">
        <v>265</v>
      </c>
      <c r="E462" s="8" t="s">
        <v>132</v>
      </c>
      <c r="F462" s="46">
        <v>0.33</v>
      </c>
      <c r="G462" s="46" t="s">
        <v>267</v>
      </c>
    </row>
    <row r="463" ht="15.75" customHeight="1">
      <c r="A463" s="43">
        <v>45902.0</v>
      </c>
      <c r="B463" s="43">
        <v>45908.0</v>
      </c>
      <c r="C463" s="44" t="s">
        <v>191</v>
      </c>
      <c r="D463" s="6" t="s">
        <v>268</v>
      </c>
      <c r="E463" s="8" t="s">
        <v>269</v>
      </c>
      <c r="F463" s="46">
        <v>0.2</v>
      </c>
      <c r="G463" s="46" t="s">
        <v>273</v>
      </c>
    </row>
    <row r="464" ht="15.75" customHeight="1">
      <c r="A464" s="43">
        <v>45909.0</v>
      </c>
      <c r="B464" s="43">
        <v>45915.0</v>
      </c>
      <c r="C464" s="44" t="s">
        <v>92</v>
      </c>
      <c r="D464" s="6" t="s">
        <v>24</v>
      </c>
      <c r="E464" s="8" t="s">
        <v>88</v>
      </c>
      <c r="F464" s="46">
        <v>0.6</v>
      </c>
      <c r="G464" s="46" t="s">
        <v>280</v>
      </c>
    </row>
    <row r="465" ht="15.75" customHeight="1">
      <c r="A465" s="43">
        <v>45909.0</v>
      </c>
      <c r="B465" s="43">
        <v>45915.0</v>
      </c>
      <c r="C465" s="44" t="s">
        <v>92</v>
      </c>
      <c r="D465" s="6" t="s">
        <v>24</v>
      </c>
      <c r="E465" s="8" t="s">
        <v>89</v>
      </c>
      <c r="F465" s="46">
        <v>0.5</v>
      </c>
      <c r="G465" s="46" t="s">
        <v>281</v>
      </c>
    </row>
    <row r="466" ht="15.75" customHeight="1">
      <c r="A466" s="43">
        <v>45916.0</v>
      </c>
      <c r="B466" s="43">
        <v>45922.0</v>
      </c>
      <c r="C466" s="44" t="s">
        <v>92</v>
      </c>
      <c r="D466" s="6" t="s">
        <v>19</v>
      </c>
      <c r="E466" s="8" t="s">
        <v>269</v>
      </c>
      <c r="F466" s="46">
        <v>0.5</v>
      </c>
      <c r="G466" s="46" t="s">
        <v>184</v>
      </c>
    </row>
    <row r="467" ht="15.75" customHeight="1">
      <c r="A467" s="43">
        <v>45916.0</v>
      </c>
      <c r="B467" s="43">
        <v>45922.0</v>
      </c>
      <c r="C467" s="44" t="s">
        <v>92</v>
      </c>
      <c r="D467" s="6" t="s">
        <v>19</v>
      </c>
      <c r="E467" s="8" t="s">
        <v>269</v>
      </c>
      <c r="F467" s="46">
        <v>0.4</v>
      </c>
      <c r="G467" s="46" t="s">
        <v>479</v>
      </c>
    </row>
    <row r="468" ht="15.75" customHeight="1">
      <c r="A468" s="43">
        <v>45916.0</v>
      </c>
      <c r="B468" s="43">
        <v>45922.0</v>
      </c>
      <c r="C468" s="44" t="s">
        <v>191</v>
      </c>
      <c r="D468" s="6" t="s">
        <v>99</v>
      </c>
      <c r="E468" s="8" t="s">
        <v>244</v>
      </c>
      <c r="F468" s="46">
        <v>0.35</v>
      </c>
      <c r="G468" s="46" t="s">
        <v>245</v>
      </c>
    </row>
    <row r="469" ht="15.75" customHeight="1">
      <c r="A469" s="43">
        <v>45916.0</v>
      </c>
      <c r="B469" s="43">
        <v>45922.0</v>
      </c>
      <c r="C469" s="44" t="s">
        <v>191</v>
      </c>
      <c r="D469" s="6" t="s">
        <v>100</v>
      </c>
      <c r="E469" s="8" t="s">
        <v>244</v>
      </c>
      <c r="F469" s="46">
        <v>0.35</v>
      </c>
      <c r="G469" s="46" t="s">
        <v>245</v>
      </c>
    </row>
    <row r="470" ht="15.75" customHeight="1">
      <c r="A470" s="43">
        <v>45916.0</v>
      </c>
      <c r="B470" s="43">
        <v>45922.0</v>
      </c>
      <c r="C470" s="44" t="s">
        <v>191</v>
      </c>
      <c r="D470" s="6" t="s">
        <v>102</v>
      </c>
      <c r="E470" s="8" t="s">
        <v>244</v>
      </c>
      <c r="F470" s="46">
        <v>0.25</v>
      </c>
      <c r="G470" s="46" t="s">
        <v>472</v>
      </c>
    </row>
    <row r="471" ht="15.75" customHeight="1">
      <c r="A471" s="43">
        <v>45916.0</v>
      </c>
      <c r="B471" s="43">
        <v>45922.0</v>
      </c>
      <c r="C471" s="44" t="s">
        <v>191</v>
      </c>
      <c r="D471" s="6" t="s">
        <v>99</v>
      </c>
      <c r="E471" s="8" t="s">
        <v>244</v>
      </c>
      <c r="F471" s="46">
        <v>0.3</v>
      </c>
      <c r="G471" s="46" t="s">
        <v>254</v>
      </c>
    </row>
    <row r="472" ht="15.75" customHeight="1">
      <c r="A472" s="43">
        <v>45916.0</v>
      </c>
      <c r="B472" s="43">
        <v>45922.0</v>
      </c>
      <c r="C472" s="44" t="s">
        <v>191</v>
      </c>
      <c r="D472" s="6" t="s">
        <v>100</v>
      </c>
      <c r="E472" s="8" t="s">
        <v>244</v>
      </c>
      <c r="F472" s="46">
        <v>0.3</v>
      </c>
      <c r="G472" s="46" t="s">
        <v>254</v>
      </c>
    </row>
    <row r="473" ht="15.75" customHeight="1">
      <c r="A473" s="43">
        <v>45916.0</v>
      </c>
      <c r="B473" s="43">
        <v>45922.0</v>
      </c>
      <c r="C473" s="44" t="s">
        <v>191</v>
      </c>
      <c r="D473" s="6" t="s">
        <v>102</v>
      </c>
      <c r="E473" s="8" t="s">
        <v>244</v>
      </c>
      <c r="F473" s="46">
        <v>0.25</v>
      </c>
      <c r="G473" s="46" t="s">
        <v>472</v>
      </c>
    </row>
    <row r="474" ht="15.75" customHeight="1">
      <c r="A474" s="43">
        <v>45923.0</v>
      </c>
      <c r="B474" s="43">
        <v>45929.0</v>
      </c>
      <c r="C474" s="44" t="s">
        <v>92</v>
      </c>
      <c r="D474" s="6" t="s">
        <v>17</v>
      </c>
      <c r="E474" s="8" t="s">
        <v>95</v>
      </c>
      <c r="F474" s="46">
        <v>0.5</v>
      </c>
      <c r="G474" s="46" t="s">
        <v>305</v>
      </c>
    </row>
    <row r="475" ht="15.75" customHeight="1">
      <c r="A475" s="43">
        <v>45923.0</v>
      </c>
      <c r="B475" s="43">
        <v>45929.0</v>
      </c>
      <c r="C475" s="44" t="s">
        <v>92</v>
      </c>
      <c r="D475" s="6" t="s">
        <v>17</v>
      </c>
      <c r="E475" s="8" t="s">
        <v>88</v>
      </c>
      <c r="F475" s="46">
        <v>0.45</v>
      </c>
      <c r="G475" s="46" t="s">
        <v>473</v>
      </c>
    </row>
    <row r="476" ht="15.75" customHeight="1">
      <c r="A476" s="43">
        <v>46302.0</v>
      </c>
      <c r="B476" s="43">
        <v>46308.0</v>
      </c>
      <c r="C476" s="44" t="s">
        <v>191</v>
      </c>
      <c r="D476" s="6" t="s">
        <v>195</v>
      </c>
      <c r="E476" s="8" t="s">
        <v>196</v>
      </c>
      <c r="F476" s="46">
        <v>0.35</v>
      </c>
      <c r="G476" s="13" t="s">
        <v>198</v>
      </c>
    </row>
    <row r="477" ht="15.75" customHeight="1">
      <c r="A477" s="43">
        <v>46302.0</v>
      </c>
      <c r="B477" s="43">
        <v>46308.0</v>
      </c>
      <c r="C477" s="44" t="s">
        <v>191</v>
      </c>
      <c r="D477" s="6" t="s">
        <v>201</v>
      </c>
      <c r="E477" s="8" t="s">
        <v>196</v>
      </c>
      <c r="F477" s="46">
        <v>0.35</v>
      </c>
      <c r="G477" s="13" t="s">
        <v>198</v>
      </c>
    </row>
    <row r="478" ht="15.75" customHeight="1">
      <c r="A478" s="43">
        <v>46302.0</v>
      </c>
      <c r="B478" s="43">
        <v>46308.0</v>
      </c>
      <c r="C478" s="44" t="s">
        <v>191</v>
      </c>
      <c r="D478" s="6" t="s">
        <v>203</v>
      </c>
      <c r="E478" s="8" t="s">
        <v>196</v>
      </c>
      <c r="F478" s="46">
        <v>0.35</v>
      </c>
      <c r="G478" s="13" t="s">
        <v>198</v>
      </c>
    </row>
    <row r="479" ht="15.75" customHeight="1">
      <c r="A479" s="43">
        <v>46302.0</v>
      </c>
      <c r="B479" s="43">
        <v>46308.0</v>
      </c>
      <c r="C479" s="44" t="s">
        <v>191</v>
      </c>
      <c r="D479" s="6" t="s">
        <v>205</v>
      </c>
      <c r="E479" s="8" t="s">
        <v>131</v>
      </c>
      <c r="F479" s="46">
        <v>0.35</v>
      </c>
      <c r="G479" s="13" t="s">
        <v>207</v>
      </c>
    </row>
    <row r="480" ht="15.75" customHeight="1">
      <c r="A480" s="43">
        <v>46302.0</v>
      </c>
      <c r="B480" s="43">
        <v>46308.0</v>
      </c>
      <c r="C480" s="44" t="s">
        <v>191</v>
      </c>
      <c r="D480" s="6" t="s">
        <v>209</v>
      </c>
      <c r="E480" s="8" t="s">
        <v>196</v>
      </c>
      <c r="F480" s="46">
        <v>0.35</v>
      </c>
      <c r="G480" s="13" t="s">
        <v>198</v>
      </c>
    </row>
    <row r="481" ht="15.75" customHeight="1">
      <c r="A481" s="43">
        <v>46302.0</v>
      </c>
      <c r="B481" s="43">
        <v>46308.0</v>
      </c>
      <c r="C481" s="44" t="s">
        <v>191</v>
      </c>
      <c r="D481" s="6" t="s">
        <v>210</v>
      </c>
      <c r="E481" s="8" t="s">
        <v>196</v>
      </c>
      <c r="F481" s="46">
        <v>0.35</v>
      </c>
      <c r="G481" s="13" t="s">
        <v>198</v>
      </c>
    </row>
    <row r="482" ht="15.75" customHeight="1">
      <c r="A482" s="43">
        <v>46302.0</v>
      </c>
      <c r="B482" s="43">
        <v>46308.0</v>
      </c>
      <c r="C482" s="44" t="s">
        <v>191</v>
      </c>
      <c r="D482" s="6" t="s">
        <v>211</v>
      </c>
      <c r="E482" s="8" t="s">
        <v>196</v>
      </c>
      <c r="F482" s="46">
        <v>0.35</v>
      </c>
      <c r="G482" s="13" t="s">
        <v>198</v>
      </c>
    </row>
    <row r="483" ht="15.75" customHeight="1">
      <c r="A483" s="43">
        <v>46302.0</v>
      </c>
      <c r="B483" s="43">
        <v>46308.0</v>
      </c>
      <c r="C483" s="44" t="s">
        <v>191</v>
      </c>
      <c r="D483" s="6" t="s">
        <v>214</v>
      </c>
      <c r="E483" s="8" t="s">
        <v>196</v>
      </c>
      <c r="F483" s="46">
        <v>0.35</v>
      </c>
      <c r="G483" s="13" t="s">
        <v>198</v>
      </c>
    </row>
    <row r="484" ht="15.75" customHeight="1">
      <c r="A484" s="43">
        <v>46302.0</v>
      </c>
      <c r="B484" s="43">
        <v>46308.0</v>
      </c>
      <c r="C484" s="44" t="s">
        <v>191</v>
      </c>
      <c r="D484" s="6" t="s">
        <v>217</v>
      </c>
      <c r="E484" s="8" t="s">
        <v>196</v>
      </c>
      <c r="F484" s="46">
        <v>0.35</v>
      </c>
      <c r="G484" s="13" t="s">
        <v>198</v>
      </c>
    </row>
    <row r="485" ht="15.75" customHeight="1">
      <c r="A485" s="43">
        <v>46302.0</v>
      </c>
      <c r="B485" s="43">
        <v>46308.0</v>
      </c>
      <c r="C485" s="44" t="s">
        <v>191</v>
      </c>
      <c r="D485" s="6" t="s">
        <v>220</v>
      </c>
      <c r="E485" s="8" t="s">
        <v>196</v>
      </c>
      <c r="F485" s="46">
        <v>0.35</v>
      </c>
      <c r="G485" s="13" t="s">
        <v>198</v>
      </c>
    </row>
    <row r="486" ht="15.75" customHeight="1">
      <c r="A486" s="43">
        <v>46302.0</v>
      </c>
      <c r="B486" s="43">
        <v>46308.0</v>
      </c>
      <c r="C486" s="44" t="s">
        <v>191</v>
      </c>
      <c r="D486" s="6" t="s">
        <v>221</v>
      </c>
      <c r="E486" s="8" t="s">
        <v>196</v>
      </c>
      <c r="F486" s="46">
        <v>0.35</v>
      </c>
      <c r="G486" s="13" t="s">
        <v>198</v>
      </c>
    </row>
    <row r="487" ht="15.75" customHeight="1">
      <c r="A487" s="43">
        <v>46302.0</v>
      </c>
      <c r="B487" s="43">
        <v>46308.0</v>
      </c>
      <c r="C487" s="44" t="s">
        <v>191</v>
      </c>
      <c r="D487" s="6" t="s">
        <v>224</v>
      </c>
      <c r="E487" s="8" t="s">
        <v>131</v>
      </c>
      <c r="F487" s="46">
        <v>0.3</v>
      </c>
      <c r="G487" s="13" t="s">
        <v>225</v>
      </c>
    </row>
    <row r="488" ht="15.75" customHeight="1">
      <c r="A488" s="43">
        <v>46302.0</v>
      </c>
      <c r="B488" s="43">
        <v>46308.0</v>
      </c>
      <c r="C488" s="44" t="s">
        <v>191</v>
      </c>
      <c r="D488" s="6" t="s">
        <v>226</v>
      </c>
      <c r="E488" s="8" t="s">
        <v>196</v>
      </c>
      <c r="F488" s="46">
        <v>0.3</v>
      </c>
      <c r="G488" s="13" t="s">
        <v>228</v>
      </c>
    </row>
    <row r="489" ht="15.75" customHeight="1">
      <c r="A489" s="43">
        <v>46302.0</v>
      </c>
      <c r="B489" s="43">
        <v>46308.0</v>
      </c>
      <c r="C489" s="44" t="s">
        <v>191</v>
      </c>
      <c r="D489" s="6" t="s">
        <v>229</v>
      </c>
      <c r="E489" s="8" t="s">
        <v>196</v>
      </c>
      <c r="F489" s="46">
        <v>0.25</v>
      </c>
      <c r="G489" s="13" t="s">
        <v>230</v>
      </c>
    </row>
    <row r="490" ht="15.75" customHeight="1">
      <c r="A490" s="43">
        <v>46302.0</v>
      </c>
      <c r="B490" s="43">
        <v>46308.0</v>
      </c>
      <c r="C490" s="44" t="s">
        <v>191</v>
      </c>
      <c r="D490" s="6" t="s">
        <v>195</v>
      </c>
      <c r="E490" s="8" t="s">
        <v>196</v>
      </c>
      <c r="F490" s="46">
        <v>0.35</v>
      </c>
      <c r="G490" s="13" t="s">
        <v>198</v>
      </c>
    </row>
    <row r="491" ht="15.75" customHeight="1">
      <c r="A491" s="43">
        <v>46302.0</v>
      </c>
      <c r="B491" s="43">
        <v>46308.0</v>
      </c>
      <c r="C491" s="44" t="s">
        <v>191</v>
      </c>
      <c r="D491" s="6" t="s">
        <v>201</v>
      </c>
      <c r="E491" s="8" t="s">
        <v>196</v>
      </c>
      <c r="F491" s="46">
        <v>0.35</v>
      </c>
      <c r="G491" s="13" t="s">
        <v>198</v>
      </c>
    </row>
    <row r="492" ht="15.75" customHeight="1">
      <c r="A492" s="43">
        <v>46302.0</v>
      </c>
      <c r="B492" s="43">
        <v>46308.0</v>
      </c>
      <c r="C492" s="44" t="s">
        <v>191</v>
      </c>
      <c r="D492" s="6" t="s">
        <v>203</v>
      </c>
      <c r="E492" s="8" t="s">
        <v>196</v>
      </c>
      <c r="F492" s="46">
        <v>0.35</v>
      </c>
      <c r="G492" s="13" t="s">
        <v>198</v>
      </c>
    </row>
    <row r="493" ht="15.75" customHeight="1">
      <c r="A493" s="43">
        <v>46302.0</v>
      </c>
      <c r="B493" s="43">
        <v>46308.0</v>
      </c>
      <c r="C493" s="44" t="s">
        <v>191</v>
      </c>
      <c r="D493" s="6" t="s">
        <v>205</v>
      </c>
      <c r="E493" s="8" t="s">
        <v>131</v>
      </c>
      <c r="F493" s="46">
        <v>0.35</v>
      </c>
      <c r="G493" s="13" t="s">
        <v>207</v>
      </c>
    </row>
    <row r="494" ht="15.75" customHeight="1">
      <c r="A494" s="43">
        <v>46302.0</v>
      </c>
      <c r="B494" s="43">
        <v>46308.0</v>
      </c>
      <c r="C494" s="44" t="s">
        <v>191</v>
      </c>
      <c r="D494" s="6" t="s">
        <v>209</v>
      </c>
      <c r="E494" s="8" t="s">
        <v>196</v>
      </c>
      <c r="F494" s="46">
        <v>0.35</v>
      </c>
      <c r="G494" s="13" t="s">
        <v>198</v>
      </c>
    </row>
    <row r="495" ht="15.75" customHeight="1">
      <c r="A495" s="43">
        <v>46302.0</v>
      </c>
      <c r="B495" s="43">
        <v>46308.0</v>
      </c>
      <c r="C495" s="44" t="s">
        <v>191</v>
      </c>
      <c r="D495" s="6" t="s">
        <v>210</v>
      </c>
      <c r="E495" s="8" t="s">
        <v>196</v>
      </c>
      <c r="F495" s="46">
        <v>0.35</v>
      </c>
      <c r="G495" s="13" t="s">
        <v>198</v>
      </c>
    </row>
    <row r="496" ht="15.75" customHeight="1">
      <c r="A496" s="43">
        <v>46302.0</v>
      </c>
      <c r="B496" s="43">
        <v>46308.0</v>
      </c>
      <c r="C496" s="44" t="s">
        <v>191</v>
      </c>
      <c r="D496" s="6" t="s">
        <v>211</v>
      </c>
      <c r="E496" s="8" t="s">
        <v>196</v>
      </c>
      <c r="F496" s="46">
        <v>0.35</v>
      </c>
      <c r="G496" s="13" t="s">
        <v>198</v>
      </c>
    </row>
    <row r="497" ht="15.75" customHeight="1">
      <c r="A497" s="43">
        <v>46302.0</v>
      </c>
      <c r="B497" s="43">
        <v>46308.0</v>
      </c>
      <c r="C497" s="44" t="s">
        <v>191</v>
      </c>
      <c r="D497" s="6" t="s">
        <v>214</v>
      </c>
      <c r="E497" s="8" t="s">
        <v>196</v>
      </c>
      <c r="F497" s="46">
        <v>0.35</v>
      </c>
      <c r="G497" s="13" t="s">
        <v>198</v>
      </c>
    </row>
    <row r="498" ht="15.75" customHeight="1">
      <c r="A498" s="43">
        <v>46302.0</v>
      </c>
      <c r="B498" s="43">
        <v>46308.0</v>
      </c>
      <c r="C498" s="44" t="s">
        <v>191</v>
      </c>
      <c r="D498" s="6" t="s">
        <v>217</v>
      </c>
      <c r="E498" s="8" t="s">
        <v>196</v>
      </c>
      <c r="F498" s="46">
        <v>0.35</v>
      </c>
      <c r="G498" s="13" t="s">
        <v>198</v>
      </c>
    </row>
    <row r="499" ht="15.75" customHeight="1">
      <c r="A499" s="43">
        <v>46302.0</v>
      </c>
      <c r="B499" s="43">
        <v>46308.0</v>
      </c>
      <c r="C499" s="44" t="s">
        <v>191</v>
      </c>
      <c r="D499" s="6" t="s">
        <v>220</v>
      </c>
      <c r="E499" s="8" t="s">
        <v>196</v>
      </c>
      <c r="F499" s="46">
        <v>0.35</v>
      </c>
      <c r="G499" s="13" t="s">
        <v>198</v>
      </c>
    </row>
    <row r="500" ht="15.75" customHeight="1">
      <c r="A500" s="43">
        <v>46302.0</v>
      </c>
      <c r="B500" s="43">
        <v>46308.0</v>
      </c>
      <c r="C500" s="44" t="s">
        <v>191</v>
      </c>
      <c r="D500" s="6" t="s">
        <v>221</v>
      </c>
      <c r="E500" s="8" t="s">
        <v>196</v>
      </c>
      <c r="F500" s="46">
        <v>0.35</v>
      </c>
      <c r="G500" s="13" t="s">
        <v>198</v>
      </c>
    </row>
    <row r="501" ht="15.75" customHeight="1">
      <c r="A501" s="43">
        <v>46302.0</v>
      </c>
      <c r="B501" s="43">
        <v>46308.0</v>
      </c>
      <c r="C501" s="44" t="s">
        <v>191</v>
      </c>
      <c r="D501" s="6" t="s">
        <v>224</v>
      </c>
      <c r="E501" s="8" t="s">
        <v>240</v>
      </c>
      <c r="F501" s="46">
        <v>0.3</v>
      </c>
      <c r="G501" s="13" t="s">
        <v>241</v>
      </c>
    </row>
    <row r="502" ht="15.75" customHeight="1">
      <c r="A502" s="43">
        <v>46302.0</v>
      </c>
      <c r="B502" s="43">
        <v>46308.0</v>
      </c>
      <c r="C502" s="44" t="s">
        <v>191</v>
      </c>
      <c r="D502" s="6" t="s">
        <v>226</v>
      </c>
      <c r="E502" s="8" t="s">
        <v>196</v>
      </c>
      <c r="F502" s="46">
        <v>0.25</v>
      </c>
      <c r="G502" s="13" t="s">
        <v>230</v>
      </c>
    </row>
    <row r="503" ht="15.75" customHeight="1">
      <c r="A503" s="43">
        <v>46302.0</v>
      </c>
      <c r="B503" s="43">
        <v>46308.0</v>
      </c>
      <c r="C503" s="44" t="s">
        <v>191</v>
      </c>
      <c r="D503" s="6" t="s">
        <v>229</v>
      </c>
      <c r="E503" s="8" t="s">
        <v>196</v>
      </c>
      <c r="F503" s="46">
        <v>0.2</v>
      </c>
      <c r="G503" s="13" t="s">
        <v>242</v>
      </c>
    </row>
    <row r="504" ht="15.75" customHeight="1">
      <c r="A504" s="43">
        <v>46309.0</v>
      </c>
      <c r="B504" s="43">
        <v>46315.0</v>
      </c>
      <c r="C504" s="44" t="s">
        <v>191</v>
      </c>
      <c r="D504" s="6" t="s">
        <v>261</v>
      </c>
      <c r="E504" s="8" t="s">
        <v>88</v>
      </c>
      <c r="F504" s="46">
        <v>0.33</v>
      </c>
      <c r="G504" s="13" t="s">
        <v>262</v>
      </c>
    </row>
    <row r="505" ht="15.75" customHeight="1">
      <c r="A505" s="43">
        <v>46309.0</v>
      </c>
      <c r="B505" s="43">
        <v>46315.0</v>
      </c>
      <c r="C505" s="44" t="s">
        <v>191</v>
      </c>
      <c r="D505" s="6" t="s">
        <v>265</v>
      </c>
      <c r="E505" s="8" t="s">
        <v>132</v>
      </c>
      <c r="F505" s="46">
        <v>0.33</v>
      </c>
      <c r="G505" s="13" t="s">
        <v>267</v>
      </c>
    </row>
    <row r="506" ht="15.75" customHeight="1">
      <c r="A506" s="43">
        <v>46309.0</v>
      </c>
      <c r="B506" s="43">
        <v>46315.0</v>
      </c>
      <c r="C506" s="44" t="s">
        <v>191</v>
      </c>
      <c r="D506" s="6" t="s">
        <v>268</v>
      </c>
      <c r="E506" s="8" t="s">
        <v>269</v>
      </c>
      <c r="F506" s="46">
        <v>0.25</v>
      </c>
      <c r="G506" s="13" t="s">
        <v>132</v>
      </c>
    </row>
    <row r="507" ht="15.75" customHeight="1">
      <c r="A507" s="43">
        <v>46309.0</v>
      </c>
      <c r="B507" s="43">
        <v>46315.0</v>
      </c>
      <c r="C507" s="44" t="s">
        <v>191</v>
      </c>
      <c r="D507" s="6" t="s">
        <v>261</v>
      </c>
      <c r="E507" s="8" t="s">
        <v>88</v>
      </c>
      <c r="F507" s="46">
        <v>0.33</v>
      </c>
      <c r="G507" s="13" t="s">
        <v>262</v>
      </c>
    </row>
    <row r="508" ht="15.75" customHeight="1">
      <c r="A508" s="43">
        <v>46309.0</v>
      </c>
      <c r="B508" s="43">
        <v>46315.0</v>
      </c>
      <c r="C508" s="44" t="s">
        <v>191</v>
      </c>
      <c r="D508" s="6" t="s">
        <v>265</v>
      </c>
      <c r="E508" s="8" t="s">
        <v>132</v>
      </c>
      <c r="F508" s="46">
        <v>0.33</v>
      </c>
      <c r="G508" s="13" t="s">
        <v>267</v>
      </c>
    </row>
    <row r="509" ht="15.75" customHeight="1">
      <c r="A509" s="43">
        <v>46309.0</v>
      </c>
      <c r="B509" s="43">
        <v>46315.0</v>
      </c>
      <c r="C509" s="44" t="s">
        <v>191</v>
      </c>
      <c r="D509" s="6" t="s">
        <v>268</v>
      </c>
      <c r="E509" s="8" t="s">
        <v>269</v>
      </c>
      <c r="F509" s="46">
        <v>0.2</v>
      </c>
      <c r="G509" s="13" t="s">
        <v>273</v>
      </c>
    </row>
    <row r="510" ht="15.75" customHeight="1">
      <c r="A510" s="43">
        <v>46323.0</v>
      </c>
      <c r="B510" s="43">
        <v>46329.0</v>
      </c>
      <c r="C510" s="44" t="s">
        <v>92</v>
      </c>
      <c r="D510" s="6" t="s">
        <v>17</v>
      </c>
      <c r="E510" s="8" t="s">
        <v>95</v>
      </c>
      <c r="F510" s="46">
        <v>0.5</v>
      </c>
      <c r="G510" s="13" t="s">
        <v>305</v>
      </c>
    </row>
    <row r="511" ht="15.75" customHeight="1">
      <c r="A511" s="43">
        <v>46323.0</v>
      </c>
      <c r="B511" s="43">
        <v>46329.0</v>
      </c>
      <c r="C511" s="44" t="s">
        <v>92</v>
      </c>
      <c r="D511" s="6" t="s">
        <v>17</v>
      </c>
      <c r="E511" s="8" t="s">
        <v>88</v>
      </c>
      <c r="F511" s="46">
        <v>0.45</v>
      </c>
      <c r="G511" s="13" t="s">
        <v>473</v>
      </c>
    </row>
    <row r="512" ht="15.75" customHeight="1">
      <c r="A512" s="43">
        <v>46323.0</v>
      </c>
      <c r="B512" s="43">
        <v>46329.0</v>
      </c>
      <c r="C512" s="44" t="s">
        <v>191</v>
      </c>
      <c r="D512" s="6" t="s">
        <v>99</v>
      </c>
      <c r="E512" s="8" t="s">
        <v>244</v>
      </c>
      <c r="F512" s="46">
        <v>0.35</v>
      </c>
      <c r="G512" s="13" t="s">
        <v>245</v>
      </c>
    </row>
    <row r="513" ht="15.75" customHeight="1">
      <c r="A513" s="43">
        <v>46323.0</v>
      </c>
      <c r="B513" s="43">
        <v>46329.0</v>
      </c>
      <c r="C513" s="44" t="s">
        <v>191</v>
      </c>
      <c r="D513" s="6" t="s">
        <v>100</v>
      </c>
      <c r="E513" s="8" t="s">
        <v>244</v>
      </c>
      <c r="F513" s="46">
        <v>0.35</v>
      </c>
      <c r="G513" s="13" t="s">
        <v>245</v>
      </c>
    </row>
    <row r="514" ht="15.75" customHeight="1">
      <c r="A514" s="43">
        <v>46323.0</v>
      </c>
      <c r="B514" s="43">
        <v>46329.0</v>
      </c>
      <c r="C514" s="44" t="s">
        <v>191</v>
      </c>
      <c r="D514" s="6" t="s">
        <v>102</v>
      </c>
      <c r="E514" s="8" t="s">
        <v>244</v>
      </c>
      <c r="F514" s="46">
        <v>0.33</v>
      </c>
      <c r="G514" s="13" t="s">
        <v>250</v>
      </c>
    </row>
    <row r="515" ht="15.75" customHeight="1">
      <c r="A515" s="43">
        <v>46323.0</v>
      </c>
      <c r="B515" s="43">
        <v>46329.0</v>
      </c>
      <c r="C515" s="44" t="s">
        <v>191</v>
      </c>
      <c r="D515" s="6" t="s">
        <v>251</v>
      </c>
      <c r="E515" s="8" t="s">
        <v>244</v>
      </c>
      <c r="F515" s="46">
        <v>0.2</v>
      </c>
      <c r="G515" s="13" t="s">
        <v>252</v>
      </c>
    </row>
    <row r="516" ht="15.75" customHeight="1">
      <c r="A516" s="43">
        <v>46323.0</v>
      </c>
      <c r="B516" s="43">
        <v>46329.0</v>
      </c>
      <c r="C516" s="44" t="s">
        <v>191</v>
      </c>
      <c r="D516" s="6" t="s">
        <v>99</v>
      </c>
      <c r="E516" s="8" t="s">
        <v>244</v>
      </c>
      <c r="F516" s="46">
        <v>0.3</v>
      </c>
      <c r="G516" s="13" t="s">
        <v>254</v>
      </c>
    </row>
    <row r="517" ht="15.75" customHeight="1">
      <c r="A517" s="43">
        <v>46323.0</v>
      </c>
      <c r="B517" s="43">
        <v>46329.0</v>
      </c>
      <c r="C517" s="44" t="s">
        <v>191</v>
      </c>
      <c r="D517" s="6" t="s">
        <v>100</v>
      </c>
      <c r="E517" s="8" t="s">
        <v>244</v>
      </c>
      <c r="F517" s="46">
        <v>0.3</v>
      </c>
      <c r="G517" s="13" t="s">
        <v>254</v>
      </c>
    </row>
    <row r="518" ht="15.75" customHeight="1">
      <c r="A518" s="43">
        <v>46323.0</v>
      </c>
      <c r="B518" s="43">
        <v>46329.0</v>
      </c>
      <c r="C518" s="44" t="s">
        <v>191</v>
      </c>
      <c r="D518" s="6" t="s">
        <v>102</v>
      </c>
      <c r="E518" s="8" t="s">
        <v>244</v>
      </c>
      <c r="F518" s="46">
        <v>0.3</v>
      </c>
      <c r="G518" s="13" t="s">
        <v>254</v>
      </c>
    </row>
    <row r="519" ht="15.75" customHeight="1">
      <c r="A519" s="43">
        <v>46323.0</v>
      </c>
      <c r="B519" s="43">
        <v>46329.0</v>
      </c>
      <c r="C519" s="44" t="s">
        <v>191</v>
      </c>
      <c r="D519" s="6" t="s">
        <v>251</v>
      </c>
      <c r="E519" s="8" t="s">
        <v>244</v>
      </c>
      <c r="F519" s="46">
        <v>0.2</v>
      </c>
      <c r="G519" s="13" t="s">
        <v>252</v>
      </c>
    </row>
    <row r="520" ht="15.75" customHeight="1">
      <c r="A520" s="43">
        <v>46330.0</v>
      </c>
      <c r="B520" s="43">
        <v>46336.0</v>
      </c>
      <c r="C520" s="44" t="s">
        <v>92</v>
      </c>
      <c r="D520" s="6" t="s">
        <v>282</v>
      </c>
      <c r="E520" s="8" t="s">
        <v>188</v>
      </c>
      <c r="F520" s="46">
        <v>0.3</v>
      </c>
      <c r="G520" s="13" t="s">
        <v>283</v>
      </c>
    </row>
    <row r="521" ht="15.75" customHeight="1">
      <c r="A521" s="43">
        <v>46330.0</v>
      </c>
      <c r="B521" s="43">
        <v>46336.0</v>
      </c>
      <c r="C521" s="44" t="s">
        <v>92</v>
      </c>
      <c r="D521" s="6" t="s">
        <v>282</v>
      </c>
      <c r="E521" s="8" t="s">
        <v>284</v>
      </c>
      <c r="F521" s="46">
        <v>0.3</v>
      </c>
      <c r="G521" s="13" t="s">
        <v>285</v>
      </c>
    </row>
    <row r="522" ht="15.75" customHeight="1">
      <c r="A522" s="43">
        <v>46344.0</v>
      </c>
      <c r="B522" s="43">
        <v>46350.0</v>
      </c>
      <c r="C522" s="44" t="s">
        <v>191</v>
      </c>
      <c r="D522" s="6" t="s">
        <v>508</v>
      </c>
      <c r="E522" s="8" t="s">
        <v>183</v>
      </c>
      <c r="F522" s="46">
        <v>0.25</v>
      </c>
      <c r="G522" s="13" t="s">
        <v>276</v>
      </c>
    </row>
    <row r="523" ht="15.75" customHeight="1">
      <c r="A523" s="43">
        <v>46344.0</v>
      </c>
      <c r="B523" s="43">
        <v>46350.0</v>
      </c>
      <c r="C523" s="44" t="s">
        <v>191</v>
      </c>
      <c r="D523" s="6" t="s">
        <v>508</v>
      </c>
      <c r="E523" s="8" t="s">
        <v>183</v>
      </c>
      <c r="F523" s="46">
        <v>0.25</v>
      </c>
      <c r="G523" s="13" t="s">
        <v>276</v>
      </c>
    </row>
    <row r="524" ht="15.75" customHeight="1">
      <c r="A524" s="43">
        <v>46346.0</v>
      </c>
      <c r="B524" s="43">
        <v>46359.0</v>
      </c>
      <c r="C524" s="44" t="s">
        <v>103</v>
      </c>
      <c r="D524" s="6" t="s">
        <v>24</v>
      </c>
      <c r="E524" s="8" t="s">
        <v>88</v>
      </c>
      <c r="F524" s="46">
        <v>0.6</v>
      </c>
      <c r="G524" s="13" t="s">
        <v>280</v>
      </c>
    </row>
    <row r="525" ht="15.75" customHeight="1">
      <c r="A525" s="43">
        <v>46346.0</v>
      </c>
      <c r="B525" s="43">
        <v>46359.0</v>
      </c>
      <c r="C525" s="44" t="s">
        <v>103</v>
      </c>
      <c r="D525" s="6" t="s">
        <v>24</v>
      </c>
      <c r="E525" s="8" t="s">
        <v>89</v>
      </c>
      <c r="F525" s="46">
        <v>0.5</v>
      </c>
      <c r="G525" s="13" t="s">
        <v>281</v>
      </c>
    </row>
    <row r="526" ht="15.75" customHeight="1">
      <c r="A526" s="43">
        <v>46360.0</v>
      </c>
      <c r="B526" s="43">
        <v>46373.0</v>
      </c>
      <c r="C526" s="44" t="s">
        <v>138</v>
      </c>
      <c r="D526" s="6" t="s">
        <v>195</v>
      </c>
      <c r="E526" s="8" t="s">
        <v>196</v>
      </c>
      <c r="F526" s="46">
        <v>0.35</v>
      </c>
      <c r="G526" s="13" t="s">
        <v>198</v>
      </c>
    </row>
    <row r="527" ht="15.75" customHeight="1">
      <c r="A527" s="43">
        <v>46360.0</v>
      </c>
      <c r="B527" s="43">
        <v>46373.0</v>
      </c>
      <c r="C527" s="44" t="s">
        <v>138</v>
      </c>
      <c r="D527" s="6" t="s">
        <v>201</v>
      </c>
      <c r="E527" s="8" t="s">
        <v>196</v>
      </c>
      <c r="F527" s="46">
        <v>0.35</v>
      </c>
      <c r="G527" s="13" t="s">
        <v>198</v>
      </c>
    </row>
    <row r="528" ht="15.75" customHeight="1">
      <c r="A528" s="43">
        <v>46360.0</v>
      </c>
      <c r="B528" s="43">
        <v>46373.0</v>
      </c>
      <c r="C528" s="44" t="s">
        <v>138</v>
      </c>
      <c r="D528" s="6" t="s">
        <v>203</v>
      </c>
      <c r="E528" s="8" t="s">
        <v>196</v>
      </c>
      <c r="F528" s="46">
        <v>0.35</v>
      </c>
      <c r="G528" s="13" t="s">
        <v>198</v>
      </c>
    </row>
    <row r="529" ht="15.75" customHeight="1">
      <c r="A529" s="43">
        <v>46360.0</v>
      </c>
      <c r="B529" s="43">
        <v>46373.0</v>
      </c>
      <c r="C529" s="44" t="s">
        <v>138</v>
      </c>
      <c r="D529" s="6" t="s">
        <v>205</v>
      </c>
      <c r="E529" s="8" t="s">
        <v>131</v>
      </c>
      <c r="F529" s="46">
        <v>0.35</v>
      </c>
      <c r="G529" s="13" t="s">
        <v>207</v>
      </c>
    </row>
    <row r="530" ht="15.75" customHeight="1">
      <c r="A530" s="43">
        <v>46360.0</v>
      </c>
      <c r="B530" s="43">
        <v>46373.0</v>
      </c>
      <c r="C530" s="44" t="s">
        <v>138</v>
      </c>
      <c r="D530" s="6" t="s">
        <v>209</v>
      </c>
      <c r="E530" s="8" t="s">
        <v>196</v>
      </c>
      <c r="F530" s="46">
        <v>0.35</v>
      </c>
      <c r="G530" s="13" t="s">
        <v>198</v>
      </c>
    </row>
    <row r="531" ht="15.75" customHeight="1">
      <c r="A531" s="43">
        <v>46360.0</v>
      </c>
      <c r="B531" s="43">
        <v>46373.0</v>
      </c>
      <c r="C531" s="44" t="s">
        <v>138</v>
      </c>
      <c r="D531" s="6" t="s">
        <v>210</v>
      </c>
      <c r="E531" s="8" t="s">
        <v>196</v>
      </c>
      <c r="F531" s="46">
        <v>0.35</v>
      </c>
      <c r="G531" s="13" t="s">
        <v>198</v>
      </c>
    </row>
    <row r="532" ht="15.75" customHeight="1">
      <c r="A532" s="43">
        <v>46360.0</v>
      </c>
      <c r="B532" s="43">
        <v>46373.0</v>
      </c>
      <c r="C532" s="44" t="s">
        <v>138</v>
      </c>
      <c r="D532" s="6" t="s">
        <v>211</v>
      </c>
      <c r="E532" s="8" t="s">
        <v>196</v>
      </c>
      <c r="F532" s="46">
        <v>0.35</v>
      </c>
      <c r="G532" s="13" t="s">
        <v>198</v>
      </c>
    </row>
    <row r="533" ht="15.75" customHeight="1">
      <c r="A533" s="43">
        <v>46360.0</v>
      </c>
      <c r="B533" s="43">
        <v>46373.0</v>
      </c>
      <c r="C533" s="44" t="s">
        <v>138</v>
      </c>
      <c r="D533" s="6" t="s">
        <v>214</v>
      </c>
      <c r="E533" s="8" t="s">
        <v>196</v>
      </c>
      <c r="F533" s="46">
        <v>0.35</v>
      </c>
      <c r="G533" s="13" t="s">
        <v>198</v>
      </c>
    </row>
    <row r="534" ht="15.75" customHeight="1">
      <c r="A534" s="43">
        <v>46360.0</v>
      </c>
      <c r="B534" s="43">
        <v>46373.0</v>
      </c>
      <c r="C534" s="44" t="s">
        <v>138</v>
      </c>
      <c r="D534" s="6" t="s">
        <v>217</v>
      </c>
      <c r="E534" s="8" t="s">
        <v>196</v>
      </c>
      <c r="F534" s="46">
        <v>0.35</v>
      </c>
      <c r="G534" s="13" t="s">
        <v>198</v>
      </c>
    </row>
    <row r="535" ht="15.75" customHeight="1">
      <c r="A535" s="43">
        <v>46360.0</v>
      </c>
      <c r="B535" s="43">
        <v>46373.0</v>
      </c>
      <c r="C535" s="44" t="s">
        <v>138</v>
      </c>
      <c r="D535" s="6" t="s">
        <v>220</v>
      </c>
      <c r="E535" s="8" t="s">
        <v>196</v>
      </c>
      <c r="F535" s="46">
        <v>0.35</v>
      </c>
      <c r="G535" s="13" t="s">
        <v>198</v>
      </c>
    </row>
    <row r="536" ht="15.75" customHeight="1">
      <c r="A536" s="43">
        <v>46360.0</v>
      </c>
      <c r="B536" s="43">
        <v>46373.0</v>
      </c>
      <c r="C536" s="44" t="s">
        <v>138</v>
      </c>
      <c r="D536" s="6" t="s">
        <v>221</v>
      </c>
      <c r="E536" s="8" t="s">
        <v>196</v>
      </c>
      <c r="F536" s="46">
        <v>0.35</v>
      </c>
      <c r="G536" s="13" t="s">
        <v>198</v>
      </c>
    </row>
    <row r="537" ht="15.75" customHeight="1">
      <c r="A537" s="43">
        <v>46360.0</v>
      </c>
      <c r="B537" s="43">
        <v>46373.0</v>
      </c>
      <c r="C537" s="44" t="s">
        <v>138</v>
      </c>
      <c r="D537" s="6" t="s">
        <v>224</v>
      </c>
      <c r="E537" s="8" t="s">
        <v>131</v>
      </c>
      <c r="F537" s="46">
        <v>0.3</v>
      </c>
      <c r="G537" s="13" t="s">
        <v>225</v>
      </c>
    </row>
    <row r="538" ht="15.75" customHeight="1">
      <c r="A538" s="43">
        <v>46360.0</v>
      </c>
      <c r="B538" s="43">
        <v>46373.0</v>
      </c>
      <c r="C538" s="44" t="s">
        <v>138</v>
      </c>
      <c r="D538" s="6" t="s">
        <v>226</v>
      </c>
      <c r="E538" s="8" t="s">
        <v>196</v>
      </c>
      <c r="F538" s="46">
        <v>0.3</v>
      </c>
      <c r="G538" s="13" t="s">
        <v>228</v>
      </c>
    </row>
    <row r="539" ht="15.75" customHeight="1">
      <c r="A539" s="43">
        <v>46360.0</v>
      </c>
      <c r="B539" s="43">
        <v>46373.0</v>
      </c>
      <c r="C539" s="44" t="s">
        <v>138</v>
      </c>
      <c r="D539" s="6" t="s">
        <v>229</v>
      </c>
      <c r="E539" s="8" t="s">
        <v>196</v>
      </c>
      <c r="F539" s="46">
        <v>0.25</v>
      </c>
      <c r="G539" s="13" t="s">
        <v>230</v>
      </c>
    </row>
    <row r="540" ht="15.75" customHeight="1">
      <c r="A540" s="43">
        <v>46360.0</v>
      </c>
      <c r="B540" s="43">
        <v>46373.0</v>
      </c>
      <c r="C540" s="44" t="s">
        <v>138</v>
      </c>
      <c r="D540" s="6" t="s">
        <v>195</v>
      </c>
      <c r="E540" s="8" t="s">
        <v>196</v>
      </c>
      <c r="F540" s="46">
        <v>0.35</v>
      </c>
      <c r="G540" s="13" t="s">
        <v>198</v>
      </c>
    </row>
    <row r="541" ht="15.75" customHeight="1">
      <c r="A541" s="43">
        <v>46360.0</v>
      </c>
      <c r="B541" s="43">
        <v>46373.0</v>
      </c>
      <c r="C541" s="44" t="s">
        <v>138</v>
      </c>
      <c r="D541" s="6" t="s">
        <v>201</v>
      </c>
      <c r="E541" s="8" t="s">
        <v>196</v>
      </c>
      <c r="F541" s="46">
        <v>0.35</v>
      </c>
      <c r="G541" s="13" t="s">
        <v>198</v>
      </c>
    </row>
    <row r="542" ht="15.75" customHeight="1">
      <c r="A542" s="43">
        <v>46360.0</v>
      </c>
      <c r="B542" s="43">
        <v>46373.0</v>
      </c>
      <c r="C542" s="44" t="s">
        <v>138</v>
      </c>
      <c r="D542" s="6" t="s">
        <v>203</v>
      </c>
      <c r="E542" s="8" t="s">
        <v>196</v>
      </c>
      <c r="F542" s="46">
        <v>0.35</v>
      </c>
      <c r="G542" s="13" t="s">
        <v>198</v>
      </c>
    </row>
    <row r="543" ht="15.75" customHeight="1">
      <c r="A543" s="43">
        <v>46360.0</v>
      </c>
      <c r="B543" s="43">
        <v>46373.0</v>
      </c>
      <c r="C543" s="44" t="s">
        <v>138</v>
      </c>
      <c r="D543" s="6" t="s">
        <v>205</v>
      </c>
      <c r="E543" s="8" t="s">
        <v>131</v>
      </c>
      <c r="F543" s="46">
        <v>0.35</v>
      </c>
      <c r="G543" s="13" t="s">
        <v>207</v>
      </c>
    </row>
    <row r="544" ht="15.75" customHeight="1">
      <c r="A544" s="43">
        <v>46360.0</v>
      </c>
      <c r="B544" s="43">
        <v>46373.0</v>
      </c>
      <c r="C544" s="44" t="s">
        <v>138</v>
      </c>
      <c r="D544" s="6" t="s">
        <v>209</v>
      </c>
      <c r="E544" s="8" t="s">
        <v>196</v>
      </c>
      <c r="F544" s="46">
        <v>0.35</v>
      </c>
      <c r="G544" s="13" t="s">
        <v>198</v>
      </c>
    </row>
    <row r="545" ht="15.75" customHeight="1">
      <c r="A545" s="43">
        <v>46360.0</v>
      </c>
      <c r="B545" s="43">
        <v>46373.0</v>
      </c>
      <c r="C545" s="44" t="s">
        <v>138</v>
      </c>
      <c r="D545" s="6" t="s">
        <v>210</v>
      </c>
      <c r="E545" s="8" t="s">
        <v>196</v>
      </c>
      <c r="F545" s="46">
        <v>0.35</v>
      </c>
      <c r="G545" s="13" t="s">
        <v>198</v>
      </c>
    </row>
    <row r="546" ht="15.75" customHeight="1">
      <c r="A546" s="43">
        <v>46360.0</v>
      </c>
      <c r="B546" s="43">
        <v>46373.0</v>
      </c>
      <c r="C546" s="44" t="s">
        <v>138</v>
      </c>
      <c r="D546" s="6" t="s">
        <v>211</v>
      </c>
      <c r="E546" s="8" t="s">
        <v>196</v>
      </c>
      <c r="F546" s="46">
        <v>0.35</v>
      </c>
      <c r="G546" s="13" t="s">
        <v>198</v>
      </c>
    </row>
    <row r="547" ht="15.75" customHeight="1">
      <c r="A547" s="43">
        <v>46360.0</v>
      </c>
      <c r="B547" s="43">
        <v>46373.0</v>
      </c>
      <c r="C547" s="44" t="s">
        <v>138</v>
      </c>
      <c r="D547" s="6" t="s">
        <v>214</v>
      </c>
      <c r="E547" s="8" t="s">
        <v>196</v>
      </c>
      <c r="F547" s="46">
        <v>0.35</v>
      </c>
      <c r="G547" s="13" t="s">
        <v>198</v>
      </c>
    </row>
    <row r="548" ht="15.75" customHeight="1">
      <c r="A548" s="43">
        <v>46360.0</v>
      </c>
      <c r="B548" s="43">
        <v>46373.0</v>
      </c>
      <c r="C548" s="44" t="s">
        <v>138</v>
      </c>
      <c r="D548" s="6" t="s">
        <v>217</v>
      </c>
      <c r="E548" s="8" t="s">
        <v>196</v>
      </c>
      <c r="F548" s="46">
        <v>0.35</v>
      </c>
      <c r="G548" s="13" t="s">
        <v>198</v>
      </c>
    </row>
    <row r="549" ht="15.75" customHeight="1">
      <c r="A549" s="43">
        <v>46360.0</v>
      </c>
      <c r="B549" s="43">
        <v>46373.0</v>
      </c>
      <c r="C549" s="44" t="s">
        <v>138</v>
      </c>
      <c r="D549" s="6" t="s">
        <v>220</v>
      </c>
      <c r="E549" s="8" t="s">
        <v>196</v>
      </c>
      <c r="F549" s="46">
        <v>0.35</v>
      </c>
      <c r="G549" s="13" t="s">
        <v>198</v>
      </c>
    </row>
    <row r="550" ht="15.75" customHeight="1">
      <c r="A550" s="43">
        <v>46360.0</v>
      </c>
      <c r="B550" s="43">
        <v>46373.0</v>
      </c>
      <c r="C550" s="44" t="s">
        <v>138</v>
      </c>
      <c r="D550" s="6" t="s">
        <v>221</v>
      </c>
      <c r="E550" s="8" t="s">
        <v>196</v>
      </c>
      <c r="F550" s="46">
        <v>0.35</v>
      </c>
      <c r="G550" s="13" t="s">
        <v>198</v>
      </c>
    </row>
    <row r="551" ht="15.75" customHeight="1">
      <c r="A551" s="43">
        <v>46360.0</v>
      </c>
      <c r="B551" s="43">
        <v>46373.0</v>
      </c>
      <c r="C551" s="44" t="s">
        <v>138</v>
      </c>
      <c r="D551" s="6" t="s">
        <v>224</v>
      </c>
      <c r="E551" s="8" t="s">
        <v>240</v>
      </c>
      <c r="F551" s="46">
        <v>0.3</v>
      </c>
      <c r="G551" s="13" t="s">
        <v>241</v>
      </c>
    </row>
    <row r="552" ht="15.75" customHeight="1">
      <c r="A552" s="43">
        <v>46360.0</v>
      </c>
      <c r="B552" s="43">
        <v>46373.0</v>
      </c>
      <c r="C552" s="44" t="s">
        <v>138</v>
      </c>
      <c r="D552" s="6" t="s">
        <v>226</v>
      </c>
      <c r="E552" s="8" t="s">
        <v>196</v>
      </c>
      <c r="F552" s="46">
        <v>0.25</v>
      </c>
      <c r="G552" s="13" t="s">
        <v>230</v>
      </c>
    </row>
    <row r="553" ht="15.75" customHeight="1">
      <c r="A553" s="43">
        <v>46360.0</v>
      </c>
      <c r="B553" s="43">
        <v>46373.0</v>
      </c>
      <c r="C553" s="44" t="s">
        <v>138</v>
      </c>
      <c r="D553" s="6" t="s">
        <v>229</v>
      </c>
      <c r="E553" s="8" t="s">
        <v>196</v>
      </c>
      <c r="F553" s="46">
        <v>0.2</v>
      </c>
      <c r="G553" s="13" t="s">
        <v>242</v>
      </c>
    </row>
    <row r="554" ht="15.75" customHeight="1">
      <c r="A554" s="43">
        <v>46360.0</v>
      </c>
      <c r="B554" s="43">
        <v>46373.0</v>
      </c>
      <c r="C554" s="44" t="s">
        <v>138</v>
      </c>
      <c r="D554" s="6" t="s">
        <v>99</v>
      </c>
      <c r="E554" s="8" t="s">
        <v>244</v>
      </c>
      <c r="F554" s="46">
        <v>0.35</v>
      </c>
      <c r="G554" s="13" t="s">
        <v>245</v>
      </c>
    </row>
    <row r="555" ht="15.75" customHeight="1">
      <c r="A555" s="43">
        <v>46360.0</v>
      </c>
      <c r="B555" s="43">
        <v>46373.0</v>
      </c>
      <c r="C555" s="44" t="s">
        <v>138</v>
      </c>
      <c r="D555" s="6" t="s">
        <v>100</v>
      </c>
      <c r="E555" s="8" t="s">
        <v>244</v>
      </c>
      <c r="F555" s="46">
        <v>0.35</v>
      </c>
      <c r="G555" s="13" t="s">
        <v>245</v>
      </c>
    </row>
    <row r="556" ht="15.75" customHeight="1">
      <c r="A556" s="43">
        <v>46360.0</v>
      </c>
      <c r="B556" s="43">
        <v>46373.0</v>
      </c>
      <c r="C556" s="44" t="s">
        <v>138</v>
      </c>
      <c r="D556" s="6" t="s">
        <v>102</v>
      </c>
      <c r="E556" s="8" t="s">
        <v>244</v>
      </c>
      <c r="F556" s="46">
        <v>0.33</v>
      </c>
      <c r="G556" s="13" t="s">
        <v>250</v>
      </c>
    </row>
    <row r="557" ht="15.75" customHeight="1">
      <c r="A557" s="43">
        <v>46360.0</v>
      </c>
      <c r="B557" s="43">
        <v>46373.0</v>
      </c>
      <c r="C557" s="44" t="s">
        <v>138</v>
      </c>
      <c r="D557" s="6" t="s">
        <v>251</v>
      </c>
      <c r="E557" s="8" t="s">
        <v>244</v>
      </c>
      <c r="F557" s="46">
        <v>0.2</v>
      </c>
      <c r="G557" s="13" t="s">
        <v>252</v>
      </c>
    </row>
    <row r="558" ht="15.75" customHeight="1">
      <c r="A558" s="43">
        <v>46360.0</v>
      </c>
      <c r="B558" s="43">
        <v>46373.0</v>
      </c>
      <c r="C558" s="44" t="s">
        <v>138</v>
      </c>
      <c r="D558" s="6" t="s">
        <v>99</v>
      </c>
      <c r="E558" s="8" t="s">
        <v>244</v>
      </c>
      <c r="F558" s="46">
        <v>0.3</v>
      </c>
      <c r="G558" s="13" t="s">
        <v>254</v>
      </c>
    </row>
    <row r="559" ht="15.75" customHeight="1">
      <c r="A559" s="43">
        <v>46360.0</v>
      </c>
      <c r="B559" s="43">
        <v>46373.0</v>
      </c>
      <c r="C559" s="44" t="s">
        <v>138</v>
      </c>
      <c r="D559" s="6" t="s">
        <v>100</v>
      </c>
      <c r="E559" s="8" t="s">
        <v>244</v>
      </c>
      <c r="F559" s="46">
        <v>0.3</v>
      </c>
      <c r="G559" s="13" t="s">
        <v>254</v>
      </c>
    </row>
    <row r="560" ht="15.75" customHeight="1">
      <c r="A560" s="43">
        <v>46360.0</v>
      </c>
      <c r="B560" s="43">
        <v>46373.0</v>
      </c>
      <c r="C560" s="44" t="s">
        <v>138</v>
      </c>
      <c r="D560" s="6" t="s">
        <v>102</v>
      </c>
      <c r="E560" s="8" t="s">
        <v>244</v>
      </c>
      <c r="F560" s="46">
        <v>0.3</v>
      </c>
      <c r="G560" s="13" t="s">
        <v>254</v>
      </c>
    </row>
    <row r="561" ht="15.75" customHeight="1">
      <c r="A561" s="43">
        <v>46360.0</v>
      </c>
      <c r="B561" s="43">
        <v>46373.0</v>
      </c>
      <c r="C561" s="44" t="s">
        <v>138</v>
      </c>
      <c r="D561" s="6" t="s">
        <v>251</v>
      </c>
      <c r="E561" s="8" t="s">
        <v>244</v>
      </c>
      <c r="F561" s="46">
        <v>0.2</v>
      </c>
      <c r="G561" s="13" t="s">
        <v>252</v>
      </c>
    </row>
    <row r="562" ht="15.75" customHeight="1">
      <c r="A562" s="43">
        <v>46360.0</v>
      </c>
      <c r="B562" s="43">
        <v>46373.0</v>
      </c>
      <c r="C562" s="44" t="s">
        <v>417</v>
      </c>
      <c r="D562" s="6" t="s">
        <v>17</v>
      </c>
      <c r="E562" s="8" t="s">
        <v>95</v>
      </c>
      <c r="F562" s="46">
        <v>0.6</v>
      </c>
      <c r="G562" s="13" t="s">
        <v>137</v>
      </c>
    </row>
    <row r="563" ht="15.75" customHeight="1">
      <c r="A563" s="43">
        <v>46360.0</v>
      </c>
      <c r="B563" s="43">
        <v>46373.0</v>
      </c>
      <c r="C563" s="44" t="s">
        <v>417</v>
      </c>
      <c r="D563" s="6" t="s">
        <v>17</v>
      </c>
      <c r="E563" s="8" t="s">
        <v>88</v>
      </c>
      <c r="F563" s="46">
        <v>0.5</v>
      </c>
      <c r="G563" s="13" t="s">
        <v>137</v>
      </c>
    </row>
    <row r="564" ht="15.75" customHeight="1">
      <c r="A564" s="43">
        <v>46372.0</v>
      </c>
      <c r="B564" s="43">
        <v>46378.0</v>
      </c>
      <c r="C564" s="44" t="s">
        <v>191</v>
      </c>
      <c r="D564" s="6" t="s">
        <v>261</v>
      </c>
      <c r="E564" s="8" t="s">
        <v>88</v>
      </c>
      <c r="F564" s="46">
        <v>0.33</v>
      </c>
      <c r="G564" s="13" t="s">
        <v>262</v>
      </c>
    </row>
    <row r="565" ht="15.75" customHeight="1">
      <c r="A565" s="43">
        <v>46372.0</v>
      </c>
      <c r="B565" s="43">
        <v>46378.0</v>
      </c>
      <c r="C565" s="44" t="s">
        <v>191</v>
      </c>
      <c r="D565" s="6" t="s">
        <v>265</v>
      </c>
      <c r="E565" s="8" t="s">
        <v>132</v>
      </c>
      <c r="F565" s="46">
        <v>0.33</v>
      </c>
      <c r="G565" s="13" t="s">
        <v>267</v>
      </c>
    </row>
    <row r="566" ht="15.75" customHeight="1">
      <c r="A566" s="43">
        <v>46372.0</v>
      </c>
      <c r="B566" s="43">
        <v>46378.0</v>
      </c>
      <c r="C566" s="44" t="s">
        <v>191</v>
      </c>
      <c r="D566" s="6" t="s">
        <v>268</v>
      </c>
      <c r="E566" s="8" t="s">
        <v>269</v>
      </c>
      <c r="F566" s="46">
        <v>0.25</v>
      </c>
      <c r="G566" s="13" t="s">
        <v>132</v>
      </c>
    </row>
    <row r="567" ht="15.75" customHeight="1">
      <c r="A567" s="43">
        <v>46372.0</v>
      </c>
      <c r="B567" s="43">
        <v>46378.0</v>
      </c>
      <c r="C567" s="44" t="s">
        <v>191</v>
      </c>
      <c r="D567" s="6" t="s">
        <v>261</v>
      </c>
      <c r="E567" s="8" t="s">
        <v>88</v>
      </c>
      <c r="F567" s="46">
        <v>0.33</v>
      </c>
      <c r="G567" s="13" t="s">
        <v>262</v>
      </c>
    </row>
    <row r="568" ht="15.75" customHeight="1">
      <c r="A568" s="43">
        <v>46372.0</v>
      </c>
      <c r="B568" s="43">
        <v>46378.0</v>
      </c>
      <c r="C568" s="44" t="s">
        <v>191</v>
      </c>
      <c r="D568" s="6" t="s">
        <v>265</v>
      </c>
      <c r="E568" s="8" t="s">
        <v>132</v>
      </c>
      <c r="F568" s="46">
        <v>0.33</v>
      </c>
      <c r="G568" s="13" t="s">
        <v>267</v>
      </c>
    </row>
    <row r="569" ht="15.75" customHeight="1">
      <c r="A569" s="43">
        <v>46372.0</v>
      </c>
      <c r="B569" s="43">
        <v>46378.0</v>
      </c>
      <c r="C569" s="44" t="s">
        <v>191</v>
      </c>
      <c r="D569" s="6" t="s">
        <v>268</v>
      </c>
      <c r="E569" s="8" t="s">
        <v>269</v>
      </c>
      <c r="F569" s="46">
        <v>0.2</v>
      </c>
      <c r="G569" s="13" t="s">
        <v>273</v>
      </c>
    </row>
    <row r="570" ht="15.75" customHeight="1">
      <c r="A570" s="43">
        <v>46374.0</v>
      </c>
      <c r="B570" s="43">
        <v>46029.0</v>
      </c>
      <c r="C570" s="44" t="s">
        <v>106</v>
      </c>
      <c r="D570" s="6" t="s">
        <v>24</v>
      </c>
      <c r="E570" s="8" t="s">
        <v>88</v>
      </c>
      <c r="F570" s="46">
        <v>0.6</v>
      </c>
      <c r="G570" s="13" t="s">
        <v>280</v>
      </c>
    </row>
    <row r="571" ht="15.75" customHeight="1">
      <c r="A571" s="43">
        <v>46374.0</v>
      </c>
      <c r="B571" s="43">
        <v>46029.0</v>
      </c>
      <c r="C571" s="44" t="s">
        <v>106</v>
      </c>
      <c r="D571" s="6" t="s">
        <v>24</v>
      </c>
      <c r="E571" s="8" t="s">
        <v>89</v>
      </c>
      <c r="F571" s="46">
        <v>0.5</v>
      </c>
      <c r="G571" s="13" t="s">
        <v>281</v>
      </c>
    </row>
    <row r="572" ht="15.75" customHeight="1">
      <c r="A572" s="43">
        <v>46374.0</v>
      </c>
      <c r="B572" s="43">
        <v>46029.0</v>
      </c>
      <c r="C572" s="44" t="s">
        <v>106</v>
      </c>
      <c r="D572" s="6" t="s">
        <v>282</v>
      </c>
      <c r="E572" s="8" t="s">
        <v>188</v>
      </c>
      <c r="F572" s="46">
        <v>0.3</v>
      </c>
      <c r="G572" s="13" t="s">
        <v>283</v>
      </c>
    </row>
    <row r="573" ht="15.75" customHeight="1">
      <c r="A573" s="43">
        <v>46374.0</v>
      </c>
      <c r="B573" s="43">
        <v>46029.0</v>
      </c>
      <c r="C573" s="44" t="s">
        <v>106</v>
      </c>
      <c r="D573" s="6" t="s">
        <v>282</v>
      </c>
      <c r="E573" s="8" t="s">
        <v>284</v>
      </c>
      <c r="F573" s="46">
        <v>0.3</v>
      </c>
      <c r="G573" s="13" t="s">
        <v>285</v>
      </c>
    </row>
    <row r="574" ht="15.75" customHeight="1">
      <c r="A574" s="43">
        <v>46344.0</v>
      </c>
      <c r="B574" s="43">
        <v>46350.0</v>
      </c>
      <c r="C574" s="44" t="s">
        <v>191</v>
      </c>
      <c r="D574" s="6" t="s">
        <v>508</v>
      </c>
      <c r="E574" s="8" t="s">
        <v>183</v>
      </c>
      <c r="F574" s="46">
        <v>0.25</v>
      </c>
      <c r="G574" s="13" t="s">
        <v>276</v>
      </c>
    </row>
    <row r="575" ht="15.75" customHeight="1">
      <c r="A575" s="43">
        <v>46344.0</v>
      </c>
      <c r="B575" s="43">
        <v>46350.0</v>
      </c>
      <c r="C575" s="44" t="s">
        <v>191</v>
      </c>
      <c r="D575" s="6" t="s">
        <v>508</v>
      </c>
      <c r="E575" s="8" t="s">
        <v>183</v>
      </c>
      <c r="F575" s="46">
        <v>0.25</v>
      </c>
      <c r="G575" s="13" t="s">
        <v>276</v>
      </c>
    </row>
    <row r="576" ht="15.75" customHeight="1"/>
    <row r="577" ht="15.75" customHeight="1">
      <c r="A577" s="42" t="s">
        <v>107</v>
      </c>
    </row>
    <row r="578" ht="15.75" customHeight="1">
      <c r="A578" s="12">
        <v>45672.0</v>
      </c>
      <c r="B578" s="12">
        <v>45685.0</v>
      </c>
      <c r="C578" s="1" t="s">
        <v>520</v>
      </c>
      <c r="D578" s="1" t="s">
        <v>17</v>
      </c>
      <c r="E578" s="10">
        <v>39.99</v>
      </c>
      <c r="F578" s="10">
        <f t="shared" ref="F578:F941" si="13">IFERROR(E578*(1-G578),"-")</f>
        <v>19.995</v>
      </c>
      <c r="G578" s="31">
        <v>0.5</v>
      </c>
    </row>
    <row r="579" ht="15.75" customHeight="1">
      <c r="A579" s="12"/>
      <c r="B579" s="12"/>
      <c r="C579" s="1"/>
      <c r="D579" s="1" t="s">
        <v>18</v>
      </c>
      <c r="E579" s="10">
        <v>24.99</v>
      </c>
      <c r="F579" s="10">
        <f t="shared" si="13"/>
        <v>16.7433</v>
      </c>
      <c r="G579" s="31">
        <v>0.33</v>
      </c>
    </row>
    <row r="580" ht="15.75" customHeight="1">
      <c r="A580" s="12">
        <v>45686.0</v>
      </c>
      <c r="B580" s="12">
        <v>45700.0</v>
      </c>
      <c r="C580" s="1" t="s">
        <v>476</v>
      </c>
      <c r="D580" s="1" t="s">
        <v>19</v>
      </c>
      <c r="E580" s="10">
        <v>69.99</v>
      </c>
      <c r="F580" s="10">
        <f t="shared" si="13"/>
        <v>34.995</v>
      </c>
      <c r="G580" s="31">
        <v>0.5</v>
      </c>
    </row>
    <row r="581" ht="15.75" customHeight="1">
      <c r="A581" s="12"/>
      <c r="B581" s="12"/>
      <c r="C581" s="1"/>
      <c r="D581" s="1" t="s">
        <v>20</v>
      </c>
      <c r="E581" s="10">
        <v>109.99</v>
      </c>
      <c r="F581" s="10">
        <f t="shared" si="13"/>
        <v>76.993</v>
      </c>
      <c r="G581" s="31">
        <v>0.3</v>
      </c>
    </row>
    <row r="582" ht="15.75" customHeight="1">
      <c r="A582" s="12"/>
      <c r="B582" s="12"/>
      <c r="C582" s="1"/>
      <c r="D582" s="1" t="s">
        <v>21</v>
      </c>
      <c r="E582" s="10">
        <v>39.99</v>
      </c>
      <c r="F582" s="10">
        <f t="shared" si="13"/>
        <v>26.7933</v>
      </c>
      <c r="G582" s="31">
        <v>0.33</v>
      </c>
    </row>
    <row r="583" ht="15.75" customHeight="1">
      <c r="A583" s="12"/>
      <c r="B583" s="12"/>
      <c r="C583" s="1"/>
      <c r="D583" s="1" t="s">
        <v>22</v>
      </c>
      <c r="E583" s="10">
        <v>59.99</v>
      </c>
      <c r="F583" s="10">
        <f t="shared" si="13"/>
        <v>40.1933</v>
      </c>
      <c r="G583" s="31">
        <v>0.33</v>
      </c>
    </row>
    <row r="584" ht="15.75" customHeight="1">
      <c r="A584" s="12"/>
      <c r="B584" s="12"/>
      <c r="C584" s="1"/>
      <c r="D584" s="1" t="s">
        <v>23</v>
      </c>
      <c r="E584" s="10">
        <v>79.99</v>
      </c>
      <c r="F584" s="10">
        <f t="shared" si="13"/>
        <v>59.9925</v>
      </c>
      <c r="G584" s="31">
        <v>0.25</v>
      </c>
    </row>
    <row r="585" ht="15.75" customHeight="1">
      <c r="A585" s="12">
        <v>45700.0</v>
      </c>
      <c r="B585" s="12">
        <v>45714.0</v>
      </c>
      <c r="C585" s="1" t="s">
        <v>424</v>
      </c>
      <c r="D585" s="1" t="s">
        <v>24</v>
      </c>
      <c r="E585" s="10">
        <v>29.99</v>
      </c>
      <c r="F585" s="10">
        <f t="shared" si="13"/>
        <v>14.995</v>
      </c>
      <c r="G585" s="31">
        <v>0.5</v>
      </c>
    </row>
    <row r="586" ht="15.75" customHeight="1">
      <c r="A586" s="12"/>
      <c r="B586" s="12"/>
      <c r="C586" s="1"/>
      <c r="D586" s="1" t="s">
        <v>25</v>
      </c>
      <c r="E586" s="10">
        <v>79.99</v>
      </c>
      <c r="F586" s="10">
        <f t="shared" si="13"/>
        <v>47.994</v>
      </c>
      <c r="G586" s="31">
        <v>0.4</v>
      </c>
    </row>
    <row r="587" ht="15.75" customHeight="1">
      <c r="A587" s="12"/>
      <c r="B587" s="12"/>
      <c r="C587" s="1"/>
      <c r="D587" s="1" t="s">
        <v>26</v>
      </c>
      <c r="E587" s="10" t="s">
        <v>4</v>
      </c>
      <c r="F587" s="10" t="str">
        <f t="shared" si="13"/>
        <v>-</v>
      </c>
      <c r="G587" s="31">
        <v>0.35</v>
      </c>
    </row>
    <row r="588" ht="15.75" customHeight="1">
      <c r="A588" s="12"/>
      <c r="B588" s="12"/>
      <c r="C588" s="1"/>
      <c r="D588" s="1" t="s">
        <v>28</v>
      </c>
      <c r="E588" s="10" t="s">
        <v>4</v>
      </c>
      <c r="F588" s="10" t="str">
        <f t="shared" si="13"/>
        <v>-</v>
      </c>
      <c r="G588" s="31">
        <v>0.35</v>
      </c>
    </row>
    <row r="589" ht="15.75" customHeight="1">
      <c r="A589" s="12"/>
      <c r="B589" s="12"/>
      <c r="C589" s="1"/>
      <c r="D589" s="1" t="s">
        <v>29</v>
      </c>
      <c r="E589" s="10">
        <v>6.99</v>
      </c>
      <c r="F589" s="10">
        <f t="shared" si="13"/>
        <v>4.893</v>
      </c>
      <c r="G589" s="31">
        <v>0.3</v>
      </c>
    </row>
    <row r="590" ht="15.75" customHeight="1">
      <c r="A590" s="12"/>
      <c r="B590" s="12"/>
      <c r="C590" s="1"/>
      <c r="D590" s="1" t="s">
        <v>30</v>
      </c>
      <c r="E590" s="10">
        <v>6.99</v>
      </c>
      <c r="F590" s="10">
        <f t="shared" si="13"/>
        <v>5.2425</v>
      </c>
      <c r="G590" s="31">
        <v>0.25</v>
      </c>
    </row>
    <row r="591" ht="15.75" customHeight="1">
      <c r="A591" s="12"/>
      <c r="B591" s="12"/>
      <c r="C591" s="1"/>
      <c r="D591" s="1" t="s">
        <v>32</v>
      </c>
      <c r="E591" s="10">
        <v>24.99</v>
      </c>
      <c r="F591" s="10">
        <f t="shared" si="13"/>
        <v>16.7433</v>
      </c>
      <c r="G591" s="31">
        <v>0.33</v>
      </c>
    </row>
    <row r="592" ht="15.75" customHeight="1">
      <c r="A592" s="12"/>
      <c r="B592" s="12"/>
      <c r="C592" s="1"/>
      <c r="D592" s="1" t="s">
        <v>34</v>
      </c>
      <c r="E592" s="10">
        <v>24.99</v>
      </c>
      <c r="F592" s="10">
        <f t="shared" si="13"/>
        <v>18.7425</v>
      </c>
      <c r="G592" s="31">
        <v>0.25</v>
      </c>
    </row>
    <row r="593" ht="15.75" customHeight="1">
      <c r="A593" s="12">
        <v>45714.0</v>
      </c>
      <c r="B593" s="12">
        <v>45728.0</v>
      </c>
      <c r="C593" s="1" t="s">
        <v>144</v>
      </c>
      <c r="D593" s="1" t="s">
        <v>17</v>
      </c>
      <c r="E593" s="10">
        <v>39.99</v>
      </c>
      <c r="F593" s="10">
        <f t="shared" si="13"/>
        <v>19.995</v>
      </c>
      <c r="G593" s="31">
        <v>0.5</v>
      </c>
    </row>
    <row r="594" ht="15.75" customHeight="1">
      <c r="A594" s="12"/>
      <c r="B594" s="12"/>
      <c r="C594" s="1"/>
      <c r="D594" s="1" t="s">
        <v>18</v>
      </c>
      <c r="E594" s="10">
        <v>24.99</v>
      </c>
      <c r="F594" s="10">
        <f t="shared" si="13"/>
        <v>16.7433</v>
      </c>
      <c r="G594" s="31">
        <v>0.33</v>
      </c>
    </row>
    <row r="595" ht="15.75" customHeight="1">
      <c r="A595" s="12">
        <v>45728.0</v>
      </c>
      <c r="B595" s="12">
        <v>45742.0</v>
      </c>
      <c r="C595" s="1" t="s">
        <v>523</v>
      </c>
      <c r="D595" s="1" t="s">
        <v>19</v>
      </c>
      <c r="E595" s="10">
        <v>69.99</v>
      </c>
      <c r="F595" s="10">
        <f t="shared" si="13"/>
        <v>34.995</v>
      </c>
      <c r="G595" s="31">
        <v>0.5</v>
      </c>
    </row>
    <row r="596" ht="15.75" customHeight="1">
      <c r="A596" s="12"/>
      <c r="B596" s="12"/>
      <c r="C596" s="1"/>
      <c r="D596" s="1" t="s">
        <v>20</v>
      </c>
      <c r="E596" s="10">
        <v>109.99</v>
      </c>
      <c r="F596" s="10">
        <f t="shared" si="13"/>
        <v>76.993</v>
      </c>
      <c r="G596" s="31">
        <v>0.3</v>
      </c>
    </row>
    <row r="597" ht="15.75" customHeight="1">
      <c r="A597" s="12"/>
      <c r="B597" s="12"/>
      <c r="C597" s="1"/>
      <c r="D597" s="1" t="s">
        <v>21</v>
      </c>
      <c r="E597" s="10">
        <v>39.99</v>
      </c>
      <c r="F597" s="10">
        <f t="shared" si="13"/>
        <v>26.7933</v>
      </c>
      <c r="G597" s="31">
        <v>0.33</v>
      </c>
    </row>
    <row r="598" ht="15.75" customHeight="1">
      <c r="A598" s="12"/>
      <c r="B598" s="12"/>
      <c r="C598" s="1"/>
      <c r="D598" s="1" t="s">
        <v>22</v>
      </c>
      <c r="E598" s="10">
        <v>59.99</v>
      </c>
      <c r="F598" s="10">
        <f t="shared" si="13"/>
        <v>40.1933</v>
      </c>
      <c r="G598" s="31">
        <v>0.33</v>
      </c>
    </row>
    <row r="599" ht="15.75" customHeight="1">
      <c r="A599" s="12"/>
      <c r="B599" s="12"/>
      <c r="C599" s="1"/>
      <c r="D599" s="1" t="s">
        <v>23</v>
      </c>
      <c r="E599" s="10">
        <v>79.99</v>
      </c>
      <c r="F599" s="10">
        <f t="shared" si="13"/>
        <v>59.9925</v>
      </c>
      <c r="G599" s="31">
        <v>0.25</v>
      </c>
    </row>
    <row r="600" ht="15.75" customHeight="1">
      <c r="A600" s="12">
        <v>45742.0</v>
      </c>
      <c r="B600" s="100">
        <v>45757.0</v>
      </c>
      <c r="C600" s="1" t="s">
        <v>519</v>
      </c>
      <c r="D600" s="1" t="s">
        <v>24</v>
      </c>
      <c r="E600" s="10">
        <v>29.99</v>
      </c>
      <c r="F600" s="10">
        <f t="shared" si="13"/>
        <v>14.995</v>
      </c>
      <c r="G600" s="31">
        <v>0.5</v>
      </c>
    </row>
    <row r="601" ht="15.75" customHeight="1">
      <c r="A601" s="12"/>
      <c r="B601" s="12"/>
      <c r="C601" s="1"/>
      <c r="D601" s="1" t="s">
        <v>25</v>
      </c>
      <c r="E601" s="10">
        <v>79.99</v>
      </c>
      <c r="F601" s="10">
        <f t="shared" si="13"/>
        <v>47.994</v>
      </c>
      <c r="G601" s="31">
        <v>0.4</v>
      </c>
    </row>
    <row r="602" ht="15.75" customHeight="1">
      <c r="A602" s="12"/>
      <c r="B602" s="12"/>
      <c r="C602" s="1"/>
      <c r="D602" s="1" t="s">
        <v>26</v>
      </c>
      <c r="E602" s="10" t="s">
        <v>4</v>
      </c>
      <c r="F602" s="10" t="str">
        <f t="shared" si="13"/>
        <v>-</v>
      </c>
      <c r="G602" s="31">
        <v>0.35</v>
      </c>
    </row>
    <row r="603" ht="15.75" customHeight="1">
      <c r="A603" s="12"/>
      <c r="B603" s="12"/>
      <c r="C603" s="1"/>
      <c r="D603" s="1" t="s">
        <v>28</v>
      </c>
      <c r="E603" s="10" t="s">
        <v>4</v>
      </c>
      <c r="F603" s="10" t="str">
        <f t="shared" si="13"/>
        <v>-</v>
      </c>
      <c r="G603" s="31">
        <v>0.35</v>
      </c>
    </row>
    <row r="604" ht="15.75" customHeight="1">
      <c r="A604" s="12"/>
      <c r="B604" s="12"/>
      <c r="C604" s="1"/>
      <c r="D604" s="1" t="s">
        <v>29</v>
      </c>
      <c r="E604" s="10">
        <v>6.99</v>
      </c>
      <c r="F604" s="10">
        <f t="shared" si="13"/>
        <v>4.893</v>
      </c>
      <c r="G604" s="31">
        <v>0.3</v>
      </c>
    </row>
    <row r="605" ht="15.75" customHeight="1">
      <c r="A605" s="12"/>
      <c r="B605" s="12"/>
      <c r="C605" s="1"/>
      <c r="D605" s="1" t="s">
        <v>30</v>
      </c>
      <c r="E605" s="10">
        <v>6.99</v>
      </c>
      <c r="F605" s="10">
        <f t="shared" si="13"/>
        <v>5.2425</v>
      </c>
      <c r="G605" s="31">
        <v>0.25</v>
      </c>
    </row>
    <row r="606" ht="15.75" customHeight="1">
      <c r="A606" s="100">
        <v>45756.0</v>
      </c>
      <c r="B606" s="12">
        <v>45770.0</v>
      </c>
      <c r="C606" s="1" t="s">
        <v>521</v>
      </c>
      <c r="D606" s="1" t="s">
        <v>17</v>
      </c>
      <c r="E606" s="10">
        <v>39.99</v>
      </c>
      <c r="F606" s="10">
        <f t="shared" si="13"/>
        <v>19.995</v>
      </c>
      <c r="G606" s="31">
        <v>0.5</v>
      </c>
    </row>
    <row r="607" ht="15.75" customHeight="1">
      <c r="A607" s="12"/>
      <c r="B607" s="12"/>
      <c r="C607" s="1"/>
      <c r="D607" s="1" t="s">
        <v>18</v>
      </c>
      <c r="E607" s="10">
        <v>24.99</v>
      </c>
      <c r="F607" s="10">
        <f t="shared" si="13"/>
        <v>16.7433</v>
      </c>
      <c r="G607" s="31">
        <v>0.33</v>
      </c>
    </row>
    <row r="608" ht="15.75" customHeight="1">
      <c r="A608" s="12"/>
      <c r="B608" s="12"/>
      <c r="C608" s="1"/>
      <c r="D608" s="1" t="s">
        <v>32</v>
      </c>
      <c r="E608" s="10">
        <v>24.99</v>
      </c>
      <c r="F608" s="10">
        <f t="shared" si="13"/>
        <v>16.7433</v>
      </c>
      <c r="G608" s="31">
        <v>0.33</v>
      </c>
    </row>
    <row r="609" ht="15.75" customHeight="1">
      <c r="A609" s="12"/>
      <c r="B609" s="12"/>
      <c r="C609" s="1"/>
      <c r="D609" s="1" t="s">
        <v>34</v>
      </c>
      <c r="E609" s="10">
        <v>24.99</v>
      </c>
      <c r="F609" s="10">
        <f t="shared" si="13"/>
        <v>18.7425</v>
      </c>
      <c r="G609" s="31">
        <v>0.25</v>
      </c>
    </row>
    <row r="610" ht="15.75" customHeight="1">
      <c r="A610" s="100">
        <v>45770.0</v>
      </c>
      <c r="B610" s="100">
        <v>45784.0</v>
      </c>
      <c r="C610" s="1" t="s">
        <v>525</v>
      </c>
      <c r="D610" s="1" t="s">
        <v>19</v>
      </c>
      <c r="E610" s="10">
        <v>69.99</v>
      </c>
      <c r="F610" s="10">
        <f t="shared" si="13"/>
        <v>34.995</v>
      </c>
      <c r="G610" s="31">
        <v>0.5</v>
      </c>
    </row>
    <row r="611" ht="15.75" customHeight="1">
      <c r="A611" s="12"/>
      <c r="B611" s="12"/>
      <c r="C611" s="1"/>
      <c r="D611" s="1" t="s">
        <v>20</v>
      </c>
      <c r="E611" s="10">
        <v>109.99</v>
      </c>
      <c r="F611" s="10">
        <f t="shared" si="13"/>
        <v>76.993</v>
      </c>
      <c r="G611" s="31">
        <v>0.3</v>
      </c>
    </row>
    <row r="612" ht="15.75" customHeight="1">
      <c r="A612" s="12"/>
      <c r="B612" s="12"/>
      <c r="C612" s="1"/>
      <c r="D612" s="1" t="s">
        <v>21</v>
      </c>
      <c r="E612" s="10">
        <v>39.99</v>
      </c>
      <c r="F612" s="10">
        <f t="shared" si="13"/>
        <v>26.7933</v>
      </c>
      <c r="G612" s="31">
        <v>0.33</v>
      </c>
    </row>
    <row r="613" ht="15.75" customHeight="1">
      <c r="A613" s="12"/>
      <c r="B613" s="12"/>
      <c r="C613" s="1"/>
      <c r="D613" s="1" t="s">
        <v>22</v>
      </c>
      <c r="E613" s="10">
        <v>59.99</v>
      </c>
      <c r="F613" s="10">
        <f t="shared" si="13"/>
        <v>40.1933</v>
      </c>
      <c r="G613" s="31">
        <v>0.33</v>
      </c>
    </row>
    <row r="614" ht="15.75" customHeight="1">
      <c r="A614" s="12"/>
      <c r="B614" s="12"/>
      <c r="C614" s="1"/>
      <c r="D614" s="1" t="s">
        <v>23</v>
      </c>
      <c r="E614" s="10">
        <v>79.99</v>
      </c>
      <c r="F614" s="10">
        <f t="shared" si="13"/>
        <v>59.9925</v>
      </c>
      <c r="G614" s="31">
        <v>0.25</v>
      </c>
    </row>
    <row r="615" ht="15.75" customHeight="1">
      <c r="A615" s="86">
        <v>45784.0</v>
      </c>
      <c r="B615" s="86">
        <v>45799.0</v>
      </c>
      <c r="C615" s="87" t="s">
        <v>148</v>
      </c>
      <c r="D615" s="87" t="s">
        <v>25</v>
      </c>
      <c r="E615" s="65">
        <f t="array" ref="E615">_xlfn.XLOOKUP(D615,Prices!A:A,Prices!B:B,"-")</f>
        <v>79.99</v>
      </c>
      <c r="F615" s="88">
        <f t="shared" si="13"/>
        <v>47.994</v>
      </c>
      <c r="G615" s="89">
        <v>0.4</v>
      </c>
    </row>
    <row r="616" ht="15.75" customHeight="1">
      <c r="A616" s="86">
        <v>45784.0</v>
      </c>
      <c r="B616" s="86">
        <v>45799.0</v>
      </c>
      <c r="C616" s="87" t="s">
        <v>148</v>
      </c>
      <c r="D616" s="87" t="s">
        <v>353</v>
      </c>
      <c r="E616" s="65" t="str">
        <f t="array" ref="E616">_xlfn.XLOOKUP(D616,Prices!A:A,Prices!B:B,"-")</f>
        <v>-</v>
      </c>
      <c r="F616" s="88" t="str">
        <f t="shared" si="13"/>
        <v>-</v>
      </c>
      <c r="G616" s="89">
        <v>0.35</v>
      </c>
    </row>
    <row r="617" ht="15.75" customHeight="1">
      <c r="A617" s="86">
        <v>45784.0</v>
      </c>
      <c r="B617" s="86">
        <v>45799.0</v>
      </c>
      <c r="C617" s="87" t="s">
        <v>148</v>
      </c>
      <c r="D617" s="87" t="s">
        <v>332</v>
      </c>
      <c r="E617" s="65" t="str">
        <f t="array" ref="E617">_xlfn.XLOOKUP(D617,Prices!A:A,Prices!B:B,"-")</f>
        <v>-</v>
      </c>
      <c r="F617" s="88" t="str">
        <f t="shared" si="13"/>
        <v>-</v>
      </c>
      <c r="G617" s="89">
        <v>0.35</v>
      </c>
    </row>
    <row r="618" ht="15.75" customHeight="1">
      <c r="A618" s="86">
        <v>45784.0</v>
      </c>
      <c r="B618" s="86">
        <v>45799.0</v>
      </c>
      <c r="C618" s="87" t="s">
        <v>148</v>
      </c>
      <c r="D618" s="87" t="s">
        <v>343</v>
      </c>
      <c r="E618" s="65" t="str">
        <f t="array" ref="E618">_xlfn.XLOOKUP(D618,Prices!A:A,Prices!B:B,"-")</f>
        <v>-</v>
      </c>
      <c r="F618" s="88" t="str">
        <f t="shared" si="13"/>
        <v>-</v>
      </c>
      <c r="G618" s="89">
        <v>0.35</v>
      </c>
    </row>
    <row r="619" ht="15.75" customHeight="1">
      <c r="A619" s="86">
        <v>45784.0</v>
      </c>
      <c r="B619" s="86">
        <v>45799.0</v>
      </c>
      <c r="C619" s="87" t="s">
        <v>148</v>
      </c>
      <c r="D619" s="87" t="s">
        <v>407</v>
      </c>
      <c r="E619" s="65" t="str">
        <f t="array" ref="E619">_xlfn.XLOOKUP(D619,Prices!A:A,Prices!B:B,"-")</f>
        <v>-</v>
      </c>
      <c r="F619" s="88" t="str">
        <f t="shared" si="13"/>
        <v>-</v>
      </c>
      <c r="G619" s="89">
        <v>0.35</v>
      </c>
    </row>
    <row r="620" ht="15.75" customHeight="1">
      <c r="A620" s="86">
        <v>45784.0</v>
      </c>
      <c r="B620" s="86">
        <v>45799.0</v>
      </c>
      <c r="C620" s="87" t="s">
        <v>148</v>
      </c>
      <c r="D620" s="87" t="s">
        <v>340</v>
      </c>
      <c r="E620" s="65" t="str">
        <f t="array" ref="E620">_xlfn.XLOOKUP(D620,Prices!A:A,Prices!B:B,"-")</f>
        <v>-</v>
      </c>
      <c r="F620" s="88" t="str">
        <f t="shared" si="13"/>
        <v>-</v>
      </c>
      <c r="G620" s="89">
        <v>0.35</v>
      </c>
    </row>
    <row r="621" ht="15.75" customHeight="1">
      <c r="A621" s="86">
        <v>45784.0</v>
      </c>
      <c r="B621" s="86">
        <v>45799.0</v>
      </c>
      <c r="C621" s="87" t="s">
        <v>148</v>
      </c>
      <c r="D621" s="87" t="s">
        <v>446</v>
      </c>
      <c r="E621" s="65" t="str">
        <f t="array" ref="E621">_xlfn.XLOOKUP(D621,Prices!A:A,Prices!B:B,"-")</f>
        <v>-</v>
      </c>
      <c r="F621" s="88" t="str">
        <f t="shared" si="13"/>
        <v>-</v>
      </c>
      <c r="G621" s="89">
        <v>0.35</v>
      </c>
    </row>
    <row r="622" ht="15.75" customHeight="1">
      <c r="A622" s="86">
        <v>45784.0</v>
      </c>
      <c r="B622" s="86">
        <v>45799.0</v>
      </c>
      <c r="C622" s="87" t="s">
        <v>148</v>
      </c>
      <c r="D622" s="87" t="s">
        <v>331</v>
      </c>
      <c r="E622" s="65" t="str">
        <f t="array" ref="E622">_xlfn.XLOOKUP(D622,Prices!A:A,Prices!B:B,"-")</f>
        <v>-</v>
      </c>
      <c r="F622" s="88" t="str">
        <f t="shared" si="13"/>
        <v>-</v>
      </c>
      <c r="G622" s="89">
        <v>0.35</v>
      </c>
    </row>
    <row r="623" ht="15.75" customHeight="1">
      <c r="A623" s="86">
        <v>45784.0</v>
      </c>
      <c r="B623" s="86">
        <v>45799.0</v>
      </c>
      <c r="C623" s="87" t="s">
        <v>148</v>
      </c>
      <c r="D623" s="87" t="s">
        <v>335</v>
      </c>
      <c r="E623" s="65" t="str">
        <f t="array" ref="E623">_xlfn.XLOOKUP(D623,Prices!A:A,Prices!B:B,"-")</f>
        <v>-</v>
      </c>
      <c r="F623" s="88" t="str">
        <f t="shared" si="13"/>
        <v>-</v>
      </c>
      <c r="G623" s="89">
        <v>0.35</v>
      </c>
    </row>
    <row r="624" ht="15.75" customHeight="1">
      <c r="A624" s="86">
        <v>45784.0</v>
      </c>
      <c r="B624" s="86">
        <v>45799.0</v>
      </c>
      <c r="C624" s="87" t="s">
        <v>148</v>
      </c>
      <c r="D624" s="87" t="s">
        <v>347</v>
      </c>
      <c r="E624" s="65" t="str">
        <f t="array" ref="E624">_xlfn.XLOOKUP(D624,Prices!A:A,Prices!B:B,"-")</f>
        <v>-</v>
      </c>
      <c r="F624" s="88" t="str">
        <f t="shared" si="13"/>
        <v>-</v>
      </c>
      <c r="G624" s="89">
        <v>0.35</v>
      </c>
    </row>
    <row r="625" ht="15.75" customHeight="1">
      <c r="A625" s="86">
        <v>45784.0</v>
      </c>
      <c r="B625" s="86">
        <v>45799.0</v>
      </c>
      <c r="C625" s="87" t="s">
        <v>148</v>
      </c>
      <c r="D625" s="87" t="s">
        <v>447</v>
      </c>
      <c r="E625" s="65" t="str">
        <f t="array" ref="E625">_xlfn.XLOOKUP(D625,Prices!A:A,Prices!B:B,"-")</f>
        <v>-</v>
      </c>
      <c r="F625" s="88" t="str">
        <f t="shared" si="13"/>
        <v>-</v>
      </c>
      <c r="G625" s="89">
        <v>0.35</v>
      </c>
    </row>
    <row r="626" ht="15.75" customHeight="1">
      <c r="A626" s="86">
        <v>45784.0</v>
      </c>
      <c r="B626" s="86">
        <v>45799.0</v>
      </c>
      <c r="C626" s="87" t="s">
        <v>148</v>
      </c>
      <c r="D626" s="87" t="s">
        <v>409</v>
      </c>
      <c r="E626" s="65" t="str">
        <f t="array" ref="E626">_xlfn.XLOOKUP(D626,Prices!A:A,Prices!B:B,"-")</f>
        <v>-</v>
      </c>
      <c r="F626" s="88" t="str">
        <f t="shared" si="13"/>
        <v>-</v>
      </c>
      <c r="G626" s="89">
        <v>0.35</v>
      </c>
    </row>
    <row r="627" ht="15.75" customHeight="1">
      <c r="A627" s="86">
        <v>45784.0</v>
      </c>
      <c r="B627" s="86">
        <v>45799.0</v>
      </c>
      <c r="C627" s="87" t="s">
        <v>148</v>
      </c>
      <c r="D627" s="87" t="s">
        <v>342</v>
      </c>
      <c r="E627" s="65" t="str">
        <f t="array" ref="E627">_xlfn.XLOOKUP(D627,Prices!A:A,Prices!B:B,"-")</f>
        <v>-</v>
      </c>
      <c r="F627" s="88" t="str">
        <f t="shared" si="13"/>
        <v>-</v>
      </c>
      <c r="G627" s="89">
        <v>0.35</v>
      </c>
    </row>
    <row r="628" ht="15.75" customHeight="1">
      <c r="A628" s="86">
        <v>45784.0</v>
      </c>
      <c r="B628" s="86">
        <v>45799.0</v>
      </c>
      <c r="C628" s="87" t="s">
        <v>148</v>
      </c>
      <c r="D628" s="87" t="s">
        <v>341</v>
      </c>
      <c r="E628" s="65" t="str">
        <f t="array" ref="E628">_xlfn.XLOOKUP(D628,Prices!A:A,Prices!B:B,"-")</f>
        <v>-</v>
      </c>
      <c r="F628" s="88" t="str">
        <f t="shared" si="13"/>
        <v>-</v>
      </c>
      <c r="G628" s="89">
        <v>0.2</v>
      </c>
    </row>
    <row r="629" ht="15.75" customHeight="1">
      <c r="A629" s="86">
        <v>45784.0</v>
      </c>
      <c r="B629" s="86">
        <v>45799.0</v>
      </c>
      <c r="C629" s="87" t="s">
        <v>148</v>
      </c>
      <c r="D629" s="87" t="s">
        <v>411</v>
      </c>
      <c r="E629" s="65" t="str">
        <f t="array" ref="E629">_xlfn.XLOOKUP(D629,Prices!A:A,Prices!B:B,"-")</f>
        <v>-</v>
      </c>
      <c r="F629" s="88" t="str">
        <f t="shared" si="13"/>
        <v>-</v>
      </c>
      <c r="G629" s="89">
        <v>0.35</v>
      </c>
    </row>
    <row r="630" ht="15.75" customHeight="1">
      <c r="A630" s="86">
        <v>45784.0</v>
      </c>
      <c r="B630" s="86">
        <v>45799.0</v>
      </c>
      <c r="C630" s="87" t="s">
        <v>148</v>
      </c>
      <c r="D630" s="87" t="s">
        <v>448</v>
      </c>
      <c r="E630" s="65" t="str">
        <f t="array" ref="E630">_xlfn.XLOOKUP(D630,Prices!A:A,Prices!B:B,"-")</f>
        <v>-</v>
      </c>
      <c r="F630" s="88" t="str">
        <f t="shared" si="13"/>
        <v>-</v>
      </c>
      <c r="G630" s="89">
        <v>0.35</v>
      </c>
    </row>
    <row r="631" ht="15.75" customHeight="1">
      <c r="A631" s="86">
        <v>45784.0</v>
      </c>
      <c r="B631" s="86">
        <v>45799.0</v>
      </c>
      <c r="C631" s="87" t="s">
        <v>148</v>
      </c>
      <c r="D631" s="87" t="s">
        <v>449</v>
      </c>
      <c r="E631" s="65" t="str">
        <f t="array" ref="E631">_xlfn.XLOOKUP(D631,Prices!A:A,Prices!B:B,"-")</f>
        <v>-</v>
      </c>
      <c r="F631" s="88" t="str">
        <f t="shared" si="13"/>
        <v>-</v>
      </c>
      <c r="G631" s="89">
        <v>0.35</v>
      </c>
    </row>
    <row r="632" ht="15.75" customHeight="1">
      <c r="A632" s="86">
        <v>45784.0</v>
      </c>
      <c r="B632" s="86">
        <v>45799.0</v>
      </c>
      <c r="C632" s="87" t="s">
        <v>148</v>
      </c>
      <c r="D632" s="87" t="s">
        <v>195</v>
      </c>
      <c r="E632" s="65" t="str">
        <f t="array" ref="E632">_xlfn.XLOOKUP(D632,Prices!A:A,Prices!B:B,"-")</f>
        <v>-</v>
      </c>
      <c r="F632" s="88" t="str">
        <f t="shared" si="13"/>
        <v>-</v>
      </c>
      <c r="G632" s="89">
        <v>0.35</v>
      </c>
    </row>
    <row r="633" ht="15.75" customHeight="1">
      <c r="A633" s="86">
        <v>45784.0</v>
      </c>
      <c r="B633" s="86">
        <v>45799.0</v>
      </c>
      <c r="C633" s="87" t="s">
        <v>148</v>
      </c>
      <c r="D633" s="87" t="s">
        <v>296</v>
      </c>
      <c r="E633" s="65" t="str">
        <f t="array" ref="E633">_xlfn.XLOOKUP(D633,Prices!A:A,Prices!B:B,"-")</f>
        <v>-</v>
      </c>
      <c r="F633" s="88" t="str">
        <f t="shared" si="13"/>
        <v>-</v>
      </c>
      <c r="G633" s="89">
        <v>0.35</v>
      </c>
    </row>
    <row r="634" ht="15.75" customHeight="1">
      <c r="A634" s="86">
        <v>45784.0</v>
      </c>
      <c r="B634" s="86">
        <v>45799.0</v>
      </c>
      <c r="C634" s="87" t="s">
        <v>148</v>
      </c>
      <c r="D634" s="87" t="s">
        <v>221</v>
      </c>
      <c r="E634" s="65" t="str">
        <f t="array" ref="E634">_xlfn.XLOOKUP(D634,Prices!A:A,Prices!B:B,"-")</f>
        <v>-</v>
      </c>
      <c r="F634" s="88" t="str">
        <f t="shared" si="13"/>
        <v>-</v>
      </c>
      <c r="G634" s="89">
        <v>0.35</v>
      </c>
    </row>
    <row r="635" ht="15.75" customHeight="1">
      <c r="A635" s="86">
        <v>45784.0</v>
      </c>
      <c r="B635" s="86">
        <v>45799.0</v>
      </c>
      <c r="C635" s="87" t="s">
        <v>148</v>
      </c>
      <c r="D635" s="87" t="s">
        <v>224</v>
      </c>
      <c r="E635" s="65" t="str">
        <f t="array" ref="E635">_xlfn.XLOOKUP(D635,Prices!A:A,Prices!B:B,"-")</f>
        <v>-</v>
      </c>
      <c r="F635" s="88" t="str">
        <f t="shared" si="13"/>
        <v>-</v>
      </c>
      <c r="G635" s="89">
        <v>0.35</v>
      </c>
    </row>
    <row r="636" ht="15.75" customHeight="1">
      <c r="A636" s="86">
        <v>45784.0</v>
      </c>
      <c r="B636" s="86">
        <v>45799.0</v>
      </c>
      <c r="C636" s="87" t="s">
        <v>148</v>
      </c>
      <c r="D636" s="87" t="s">
        <v>226</v>
      </c>
      <c r="E636" s="65" t="str">
        <f t="array" ref="E636">_xlfn.XLOOKUP(D636,Prices!A:A,Prices!B:B,"-")</f>
        <v>-</v>
      </c>
      <c r="F636" s="88" t="str">
        <f t="shared" si="13"/>
        <v>-</v>
      </c>
      <c r="G636" s="89">
        <v>0.3</v>
      </c>
    </row>
    <row r="637" ht="15.75" customHeight="1">
      <c r="A637" s="86">
        <v>45784.0</v>
      </c>
      <c r="B637" s="86">
        <v>45799.0</v>
      </c>
      <c r="C637" s="87" t="s">
        <v>148</v>
      </c>
      <c r="D637" s="87" t="s">
        <v>229</v>
      </c>
      <c r="E637" s="65" t="str">
        <f t="array" ref="E637">_xlfn.XLOOKUP(D637,Prices!A:A,Prices!B:B,"-")</f>
        <v>-</v>
      </c>
      <c r="F637" s="88" t="str">
        <f t="shared" si="13"/>
        <v>-</v>
      </c>
      <c r="G637" s="89">
        <v>0.25</v>
      </c>
    </row>
    <row r="638" ht="15.75" customHeight="1">
      <c r="A638" s="86">
        <v>45784.0</v>
      </c>
      <c r="B638" s="86">
        <v>45799.0</v>
      </c>
      <c r="C638" s="87" t="s">
        <v>148</v>
      </c>
      <c r="D638" s="87" t="s">
        <v>201</v>
      </c>
      <c r="E638" s="65" t="str">
        <f t="array" ref="E638">_xlfn.XLOOKUP(D638,Prices!A:A,Prices!B:B,"-")</f>
        <v>-</v>
      </c>
      <c r="F638" s="88" t="str">
        <f t="shared" si="13"/>
        <v>-</v>
      </c>
      <c r="G638" s="89">
        <v>0.35</v>
      </c>
    </row>
    <row r="639" ht="15.75" customHeight="1">
      <c r="A639" s="86">
        <v>45784.0</v>
      </c>
      <c r="B639" s="86">
        <v>45799.0</v>
      </c>
      <c r="C639" s="87" t="s">
        <v>148</v>
      </c>
      <c r="D639" s="87" t="s">
        <v>203</v>
      </c>
      <c r="E639" s="65" t="str">
        <f t="array" ref="E639">_xlfn.XLOOKUP(D639,Prices!A:A,Prices!B:B,"-")</f>
        <v>-</v>
      </c>
      <c r="F639" s="88" t="str">
        <f t="shared" si="13"/>
        <v>-</v>
      </c>
      <c r="G639" s="89">
        <v>0.35</v>
      </c>
    </row>
    <row r="640" ht="15.75" customHeight="1">
      <c r="A640" s="86">
        <v>45784.0</v>
      </c>
      <c r="B640" s="86">
        <v>45799.0</v>
      </c>
      <c r="C640" s="87" t="s">
        <v>148</v>
      </c>
      <c r="D640" s="87" t="s">
        <v>205</v>
      </c>
      <c r="E640" s="65" t="str">
        <f t="array" ref="E640">_xlfn.XLOOKUP(D640,Prices!A:A,Prices!B:B,"-")</f>
        <v>-</v>
      </c>
      <c r="F640" s="88" t="str">
        <f t="shared" si="13"/>
        <v>-</v>
      </c>
      <c r="G640" s="89">
        <v>0.35</v>
      </c>
    </row>
    <row r="641" ht="15.75" customHeight="1">
      <c r="A641" s="86">
        <v>45784.0</v>
      </c>
      <c r="B641" s="86">
        <v>45799.0</v>
      </c>
      <c r="C641" s="87" t="s">
        <v>148</v>
      </c>
      <c r="D641" s="87" t="s">
        <v>209</v>
      </c>
      <c r="E641" s="65" t="str">
        <f t="array" ref="E641">_xlfn.XLOOKUP(D641,Prices!A:A,Prices!B:B,"-")</f>
        <v>-</v>
      </c>
      <c r="F641" s="88" t="str">
        <f t="shared" si="13"/>
        <v>-</v>
      </c>
      <c r="G641" s="89">
        <v>0.35</v>
      </c>
    </row>
    <row r="642" ht="15.75" customHeight="1">
      <c r="A642" s="86">
        <v>45784.0</v>
      </c>
      <c r="B642" s="86">
        <v>45799.0</v>
      </c>
      <c r="C642" s="87" t="s">
        <v>148</v>
      </c>
      <c r="D642" s="87" t="s">
        <v>291</v>
      </c>
      <c r="E642" s="65" t="str">
        <f t="array" ref="E642">_xlfn.XLOOKUP(D642,Prices!A:A,Prices!B:B,"-")</f>
        <v>-</v>
      </c>
      <c r="F642" s="88" t="str">
        <f t="shared" si="13"/>
        <v>-</v>
      </c>
      <c r="G642" s="89">
        <v>0.35</v>
      </c>
    </row>
    <row r="643" ht="15.75" customHeight="1">
      <c r="A643" s="86">
        <v>45784.0</v>
      </c>
      <c r="B643" s="86">
        <v>45799.0</v>
      </c>
      <c r="C643" s="87" t="s">
        <v>148</v>
      </c>
      <c r="D643" s="87" t="s">
        <v>292</v>
      </c>
      <c r="E643" s="65" t="str">
        <f t="array" ref="E643">_xlfn.XLOOKUP(D643,Prices!A:A,Prices!B:B,"-")</f>
        <v>-</v>
      </c>
      <c r="F643" s="88" t="str">
        <f t="shared" si="13"/>
        <v>-</v>
      </c>
      <c r="G643" s="89">
        <v>0.35</v>
      </c>
    </row>
    <row r="644" ht="15.75" customHeight="1">
      <c r="A644" s="86">
        <v>45784.0</v>
      </c>
      <c r="B644" s="86">
        <v>45799.0</v>
      </c>
      <c r="C644" s="87" t="s">
        <v>148</v>
      </c>
      <c r="D644" s="87" t="s">
        <v>293</v>
      </c>
      <c r="E644" s="65" t="str">
        <f t="array" ref="E644">_xlfn.XLOOKUP(D644,Prices!A:A,Prices!B:B,"-")</f>
        <v>-</v>
      </c>
      <c r="F644" s="88" t="str">
        <f t="shared" si="13"/>
        <v>-</v>
      </c>
      <c r="G644" s="89">
        <v>0.35</v>
      </c>
    </row>
    <row r="645" ht="15.75" customHeight="1">
      <c r="A645" s="86">
        <v>45784.0</v>
      </c>
      <c r="B645" s="86">
        <v>45799.0</v>
      </c>
      <c r="C645" s="87" t="s">
        <v>148</v>
      </c>
      <c r="D645" s="87" t="s">
        <v>295</v>
      </c>
      <c r="E645" s="65" t="str">
        <f t="array" ref="E645">_xlfn.XLOOKUP(D645,Prices!A:A,Prices!B:B,"-")</f>
        <v>-</v>
      </c>
      <c r="F645" s="88" t="str">
        <f t="shared" si="13"/>
        <v>-</v>
      </c>
      <c r="G645" s="89">
        <v>0.35</v>
      </c>
    </row>
    <row r="646" ht="15.75" customHeight="1">
      <c r="A646" s="86">
        <v>45784.0</v>
      </c>
      <c r="B646" s="86">
        <v>45799.0</v>
      </c>
      <c r="C646" s="87" t="s">
        <v>148</v>
      </c>
      <c r="D646" s="87" t="s">
        <v>452</v>
      </c>
      <c r="E646" s="65" t="str">
        <f t="array" ref="E646">_xlfn.XLOOKUP(D646,Prices!A:A,Prices!B:B,"-")</f>
        <v>-</v>
      </c>
      <c r="F646" s="88" t="str">
        <f t="shared" si="13"/>
        <v>-</v>
      </c>
      <c r="G646" s="89">
        <v>0.35</v>
      </c>
    </row>
    <row r="647" ht="15.75" customHeight="1">
      <c r="A647" s="86">
        <v>45784.0</v>
      </c>
      <c r="B647" s="86">
        <v>45799.0</v>
      </c>
      <c r="C647" s="87" t="s">
        <v>148</v>
      </c>
      <c r="D647" s="87" t="s">
        <v>414</v>
      </c>
      <c r="E647" s="65" t="str">
        <f t="array" ref="E647">_xlfn.XLOOKUP(D647,Prices!A:A,Prices!B:B,"-")</f>
        <v>-</v>
      </c>
      <c r="F647" s="88" t="str">
        <f t="shared" si="13"/>
        <v>-</v>
      </c>
      <c r="G647" s="89">
        <v>0.35</v>
      </c>
    </row>
    <row r="648" ht="15.75" customHeight="1">
      <c r="A648" s="86">
        <v>45784.0</v>
      </c>
      <c r="B648" s="86">
        <v>45799.0</v>
      </c>
      <c r="C648" s="87" t="s">
        <v>148</v>
      </c>
      <c r="D648" s="87" t="s">
        <v>329</v>
      </c>
      <c r="E648" s="65" t="str">
        <f t="array" ref="E648">_xlfn.XLOOKUP(D648,Prices!A:A,Prices!B:B,"-")</f>
        <v>-</v>
      </c>
      <c r="F648" s="88" t="str">
        <f t="shared" si="13"/>
        <v>-</v>
      </c>
      <c r="G648" s="89">
        <v>0.35</v>
      </c>
    </row>
    <row r="649" ht="15.75" customHeight="1">
      <c r="A649" s="86">
        <v>45784.0</v>
      </c>
      <c r="B649" s="86">
        <v>45799.0</v>
      </c>
      <c r="C649" s="87" t="s">
        <v>148</v>
      </c>
      <c r="D649" s="87" t="s">
        <v>455</v>
      </c>
      <c r="E649" s="65" t="str">
        <f t="array" ref="E649">_xlfn.XLOOKUP(D649,Prices!A:A,Prices!B:B,"-")</f>
        <v>-</v>
      </c>
      <c r="F649" s="88" t="str">
        <f t="shared" si="13"/>
        <v>-</v>
      </c>
      <c r="G649" s="89">
        <v>0.35</v>
      </c>
    </row>
    <row r="650" ht="15.75" customHeight="1">
      <c r="A650" s="86">
        <v>45784.0</v>
      </c>
      <c r="B650" s="86">
        <v>45799.0</v>
      </c>
      <c r="C650" s="87" t="s">
        <v>148</v>
      </c>
      <c r="D650" s="87" t="s">
        <v>418</v>
      </c>
      <c r="E650" s="65" t="str">
        <f t="array" ref="E650">_xlfn.XLOOKUP(D650,Prices!A:A,Prices!B:B,"-")</f>
        <v>-</v>
      </c>
      <c r="F650" s="88" t="str">
        <f t="shared" si="13"/>
        <v>-</v>
      </c>
      <c r="G650" s="89">
        <v>0.35</v>
      </c>
    </row>
    <row r="651" ht="15.75" customHeight="1">
      <c r="A651" s="86">
        <v>45784.0</v>
      </c>
      <c r="B651" s="86">
        <v>45799.0</v>
      </c>
      <c r="C651" s="87" t="s">
        <v>148</v>
      </c>
      <c r="D651" s="87" t="s">
        <v>336</v>
      </c>
      <c r="E651" s="65" t="str">
        <f t="array" ref="E651">_xlfn.XLOOKUP(D651,Prices!A:A,Prices!B:B,"-")</f>
        <v>-</v>
      </c>
      <c r="F651" s="88" t="str">
        <f t="shared" si="13"/>
        <v>-</v>
      </c>
      <c r="G651" s="89">
        <v>0.35</v>
      </c>
    </row>
    <row r="652" ht="15.75" customHeight="1">
      <c r="A652" s="86">
        <v>45784.0</v>
      </c>
      <c r="B652" s="86">
        <v>45799.0</v>
      </c>
      <c r="C652" s="87" t="s">
        <v>148</v>
      </c>
      <c r="D652" s="87" t="s">
        <v>24</v>
      </c>
      <c r="E652" s="65">
        <f t="array" ref="E652">_xlfn.XLOOKUP(D652,Prices!A:A,Prices!B:B,"-")</f>
        <v>29.99</v>
      </c>
      <c r="F652" s="88">
        <f t="shared" si="13"/>
        <v>14.995</v>
      </c>
      <c r="G652" s="89">
        <v>0.5</v>
      </c>
    </row>
    <row r="653" ht="15.75" customHeight="1">
      <c r="A653" s="86">
        <v>45798.0</v>
      </c>
      <c r="B653" s="86">
        <v>45813.0</v>
      </c>
      <c r="C653" s="87" t="s">
        <v>560</v>
      </c>
      <c r="D653" s="87" t="s">
        <v>17</v>
      </c>
      <c r="E653" s="65">
        <f t="array" ref="E653">_xlfn.XLOOKUP(D653,Prices!A:A,Prices!B:B,"-")</f>
        <v>39.99</v>
      </c>
      <c r="F653" s="88">
        <f t="shared" si="13"/>
        <v>19.995</v>
      </c>
      <c r="G653" s="89">
        <v>0.5</v>
      </c>
    </row>
    <row r="654" ht="15.75" customHeight="1">
      <c r="A654" s="86">
        <v>45798.0</v>
      </c>
      <c r="B654" s="86">
        <v>45806.0</v>
      </c>
      <c r="C654" s="87" t="s">
        <v>522</v>
      </c>
      <c r="D654" s="87" t="s">
        <v>18</v>
      </c>
      <c r="E654" s="65">
        <f t="array" ref="E654">_xlfn.XLOOKUP(D654,Prices!A:A,Prices!B:B,"-")</f>
        <v>24.99</v>
      </c>
      <c r="F654" s="88">
        <f t="shared" si="13"/>
        <v>16.7433</v>
      </c>
      <c r="G654" s="89">
        <v>0.33</v>
      </c>
    </row>
    <row r="655" ht="15.75" customHeight="1">
      <c r="A655" s="86">
        <v>45798.0</v>
      </c>
      <c r="B655" s="86">
        <v>45806.0</v>
      </c>
      <c r="C655" s="87" t="s">
        <v>522</v>
      </c>
      <c r="D655" s="87" t="s">
        <v>32</v>
      </c>
      <c r="E655" s="65">
        <f t="array" ref="E655">_xlfn.XLOOKUP(D655,Prices!A:A,Prices!B:B,"-")</f>
        <v>24.99</v>
      </c>
      <c r="F655" s="88">
        <f t="shared" si="13"/>
        <v>16.7433</v>
      </c>
      <c r="G655" s="89">
        <v>0.33</v>
      </c>
    </row>
    <row r="656" ht="15.75" customHeight="1">
      <c r="A656" s="86">
        <v>45798.0</v>
      </c>
      <c r="B656" s="86">
        <v>45806.0</v>
      </c>
      <c r="C656" s="87" t="s">
        <v>522</v>
      </c>
      <c r="D656" s="87" t="s">
        <v>34</v>
      </c>
      <c r="E656" s="65">
        <f t="array" ref="E656">_xlfn.XLOOKUP(D656,Prices!A:A,Prices!B:B,"-")</f>
        <v>24.99</v>
      </c>
      <c r="F656" s="88">
        <f t="shared" si="13"/>
        <v>18.7425</v>
      </c>
      <c r="G656" s="89">
        <v>0.25</v>
      </c>
    </row>
    <row r="657" ht="15.75" customHeight="1">
      <c r="A657" s="86">
        <v>45805.0</v>
      </c>
      <c r="B657" s="86">
        <v>45820.0</v>
      </c>
      <c r="C657" s="87" t="s">
        <v>151</v>
      </c>
      <c r="D657" s="87" t="s">
        <v>19</v>
      </c>
      <c r="E657" s="65">
        <f t="array" ref="E657">_xlfn.XLOOKUP(D657,Prices!A:A,Prices!B:B,"-")</f>
        <v>69.99</v>
      </c>
      <c r="F657" s="88">
        <f t="shared" si="13"/>
        <v>34.995</v>
      </c>
      <c r="G657" s="89">
        <v>0.5</v>
      </c>
    </row>
    <row r="658" ht="15.75" customHeight="1">
      <c r="A658" s="86">
        <v>45805.0</v>
      </c>
      <c r="B658" s="86">
        <v>45820.0</v>
      </c>
      <c r="C658" s="87" t="s">
        <v>151</v>
      </c>
      <c r="D658" s="87" t="s">
        <v>20</v>
      </c>
      <c r="E658" s="65">
        <f t="array" ref="E658">_xlfn.XLOOKUP(D658,Prices!A:A,Prices!B:B,"-")</f>
        <v>109.99</v>
      </c>
      <c r="F658" s="88">
        <f t="shared" si="13"/>
        <v>76.993</v>
      </c>
      <c r="G658" s="89">
        <v>0.3</v>
      </c>
    </row>
    <row r="659" ht="15.75" customHeight="1">
      <c r="A659" s="86">
        <v>45805.0</v>
      </c>
      <c r="B659" s="86">
        <v>45820.0</v>
      </c>
      <c r="C659" s="87" t="s">
        <v>151</v>
      </c>
      <c r="D659" s="87" t="s">
        <v>268</v>
      </c>
      <c r="E659" s="65" t="str">
        <f t="array" ref="E659">_xlfn.XLOOKUP(D659,Prices!A:A,Prices!B:B,"-")</f>
        <v>-</v>
      </c>
      <c r="F659" s="88" t="str">
        <f t="shared" si="13"/>
        <v>-</v>
      </c>
      <c r="G659" s="89">
        <v>0.25</v>
      </c>
    </row>
    <row r="660" ht="15.75" customHeight="1">
      <c r="A660" s="86">
        <v>45805.0</v>
      </c>
      <c r="B660" s="86">
        <v>45820.0</v>
      </c>
      <c r="C660" s="87" t="s">
        <v>151</v>
      </c>
      <c r="D660" s="87" t="s">
        <v>265</v>
      </c>
      <c r="E660" s="65" t="str">
        <f t="array" ref="E660">_xlfn.XLOOKUP(D660,Prices!A:A,Prices!B:B,"-")</f>
        <v>-</v>
      </c>
      <c r="F660" s="88" t="str">
        <f t="shared" si="13"/>
        <v>-</v>
      </c>
      <c r="G660" s="89">
        <v>0.33</v>
      </c>
    </row>
    <row r="661" ht="15.75" customHeight="1">
      <c r="A661" s="86">
        <v>45805.0</v>
      </c>
      <c r="B661" s="86">
        <v>45820.0</v>
      </c>
      <c r="C661" s="87" t="s">
        <v>151</v>
      </c>
      <c r="D661" s="87" t="s">
        <v>261</v>
      </c>
      <c r="E661" s="65" t="str">
        <f t="array" ref="E661">_xlfn.XLOOKUP(D661,Prices!A:A,Prices!B:B,"-")</f>
        <v>-</v>
      </c>
      <c r="F661" s="88" t="str">
        <f t="shared" si="13"/>
        <v>-</v>
      </c>
      <c r="G661" s="89">
        <v>0.33</v>
      </c>
    </row>
    <row r="662" ht="15.75" customHeight="1">
      <c r="A662" s="86">
        <v>45826.0</v>
      </c>
      <c r="B662" s="86">
        <v>45841.0</v>
      </c>
      <c r="C662" s="87" t="s">
        <v>357</v>
      </c>
      <c r="D662" s="87" t="s">
        <v>25</v>
      </c>
      <c r="E662" s="65">
        <f t="array" ref="E662">_xlfn.XLOOKUP(D662,Prices!A:A,Prices!B:B,"-")</f>
        <v>79.99</v>
      </c>
      <c r="F662" s="88">
        <f t="shared" si="13"/>
        <v>47.994</v>
      </c>
      <c r="G662" s="89">
        <v>0.4</v>
      </c>
    </row>
    <row r="663" ht="15.75" customHeight="1">
      <c r="A663" s="86">
        <v>45826.0</v>
      </c>
      <c r="B663" s="86">
        <v>45841.0</v>
      </c>
      <c r="C663" s="87" t="s">
        <v>357</v>
      </c>
      <c r="D663" s="87" t="s">
        <v>353</v>
      </c>
      <c r="E663" s="65" t="str">
        <f t="array" ref="E663">_xlfn.XLOOKUP(D663,Prices!A:A,Prices!B:B,"-")</f>
        <v>-</v>
      </c>
      <c r="F663" s="88" t="str">
        <f t="shared" si="13"/>
        <v>-</v>
      </c>
      <c r="G663" s="89">
        <v>0.35</v>
      </c>
    </row>
    <row r="664" ht="15.75" customHeight="1">
      <c r="A664" s="86">
        <v>45826.0</v>
      </c>
      <c r="B664" s="86">
        <v>45841.0</v>
      </c>
      <c r="C664" s="87" t="s">
        <v>357</v>
      </c>
      <c r="D664" s="87" t="s">
        <v>332</v>
      </c>
      <c r="E664" s="65" t="str">
        <f t="array" ref="E664">_xlfn.XLOOKUP(D664,Prices!A:A,Prices!B:B,"-")</f>
        <v>-</v>
      </c>
      <c r="F664" s="88" t="str">
        <f t="shared" si="13"/>
        <v>-</v>
      </c>
      <c r="G664" s="89">
        <v>0.35</v>
      </c>
    </row>
    <row r="665" ht="15.75" customHeight="1">
      <c r="A665" s="86">
        <v>45826.0</v>
      </c>
      <c r="B665" s="86">
        <v>45841.0</v>
      </c>
      <c r="C665" s="87" t="s">
        <v>357</v>
      </c>
      <c r="D665" s="87" t="s">
        <v>343</v>
      </c>
      <c r="E665" s="65" t="str">
        <f t="array" ref="E665">_xlfn.XLOOKUP(D665,Prices!A:A,Prices!B:B,"-")</f>
        <v>-</v>
      </c>
      <c r="F665" s="88" t="str">
        <f t="shared" si="13"/>
        <v>-</v>
      </c>
      <c r="G665" s="89">
        <v>0.35</v>
      </c>
    </row>
    <row r="666" ht="15.75" customHeight="1">
      <c r="A666" s="86">
        <v>45826.0</v>
      </c>
      <c r="B666" s="86">
        <v>45841.0</v>
      </c>
      <c r="C666" s="87" t="s">
        <v>357</v>
      </c>
      <c r="D666" s="87" t="s">
        <v>407</v>
      </c>
      <c r="E666" s="65" t="str">
        <f t="array" ref="E666">_xlfn.XLOOKUP(D666,Prices!A:A,Prices!B:B,"-")</f>
        <v>-</v>
      </c>
      <c r="F666" s="88" t="str">
        <f t="shared" si="13"/>
        <v>-</v>
      </c>
      <c r="G666" s="89">
        <v>0.35</v>
      </c>
    </row>
    <row r="667" ht="15.75" customHeight="1">
      <c r="A667" s="86">
        <v>45826.0</v>
      </c>
      <c r="B667" s="86">
        <v>45841.0</v>
      </c>
      <c r="C667" s="87" t="s">
        <v>357</v>
      </c>
      <c r="D667" s="87" t="s">
        <v>340</v>
      </c>
      <c r="E667" s="65" t="str">
        <f t="array" ref="E667">_xlfn.XLOOKUP(D667,Prices!A:A,Prices!B:B,"-")</f>
        <v>-</v>
      </c>
      <c r="F667" s="88" t="str">
        <f t="shared" si="13"/>
        <v>-</v>
      </c>
      <c r="G667" s="89">
        <v>0.35</v>
      </c>
    </row>
    <row r="668" ht="15.75" customHeight="1">
      <c r="A668" s="86">
        <v>45826.0</v>
      </c>
      <c r="B668" s="86">
        <v>45841.0</v>
      </c>
      <c r="C668" s="87" t="s">
        <v>357</v>
      </c>
      <c r="D668" s="87" t="s">
        <v>446</v>
      </c>
      <c r="E668" s="65" t="str">
        <f t="array" ref="E668">_xlfn.XLOOKUP(D668,Prices!A:A,Prices!B:B,"-")</f>
        <v>-</v>
      </c>
      <c r="F668" s="88" t="str">
        <f t="shared" si="13"/>
        <v>-</v>
      </c>
      <c r="G668" s="89">
        <v>0.35</v>
      </c>
    </row>
    <row r="669" ht="15.75" customHeight="1">
      <c r="A669" s="86">
        <v>45826.0</v>
      </c>
      <c r="B669" s="86">
        <v>45841.0</v>
      </c>
      <c r="C669" s="87" t="s">
        <v>357</v>
      </c>
      <c r="D669" s="87" t="s">
        <v>331</v>
      </c>
      <c r="E669" s="65" t="str">
        <f t="array" ref="E669">_xlfn.XLOOKUP(D669,Prices!A:A,Prices!B:B,"-")</f>
        <v>-</v>
      </c>
      <c r="F669" s="88" t="str">
        <f t="shared" si="13"/>
        <v>-</v>
      </c>
      <c r="G669" s="89">
        <v>0.35</v>
      </c>
    </row>
    <row r="670" ht="15.75" customHeight="1">
      <c r="A670" s="86">
        <v>45826.0</v>
      </c>
      <c r="B670" s="86">
        <v>45841.0</v>
      </c>
      <c r="C670" s="87" t="s">
        <v>357</v>
      </c>
      <c r="D670" s="87" t="s">
        <v>335</v>
      </c>
      <c r="E670" s="65" t="str">
        <f t="array" ref="E670">_xlfn.XLOOKUP(D670,Prices!A:A,Prices!B:B,"-")</f>
        <v>-</v>
      </c>
      <c r="F670" s="88" t="str">
        <f t="shared" si="13"/>
        <v>-</v>
      </c>
      <c r="G670" s="89">
        <v>0.35</v>
      </c>
    </row>
    <row r="671" ht="15.75" customHeight="1">
      <c r="A671" s="86">
        <v>45826.0</v>
      </c>
      <c r="B671" s="86">
        <v>45841.0</v>
      </c>
      <c r="C671" s="87" t="s">
        <v>357</v>
      </c>
      <c r="D671" s="87" t="s">
        <v>347</v>
      </c>
      <c r="E671" s="65" t="str">
        <f t="array" ref="E671">_xlfn.XLOOKUP(D671,Prices!A:A,Prices!B:B,"-")</f>
        <v>-</v>
      </c>
      <c r="F671" s="88" t="str">
        <f t="shared" si="13"/>
        <v>-</v>
      </c>
      <c r="G671" s="89">
        <v>0.35</v>
      </c>
    </row>
    <row r="672" ht="15.75" customHeight="1">
      <c r="A672" s="86">
        <v>45826.0</v>
      </c>
      <c r="B672" s="86">
        <v>45841.0</v>
      </c>
      <c r="C672" s="87" t="s">
        <v>357</v>
      </c>
      <c r="D672" s="87" t="s">
        <v>447</v>
      </c>
      <c r="E672" s="65" t="str">
        <f t="array" ref="E672">_xlfn.XLOOKUP(D672,Prices!A:A,Prices!B:B,"-")</f>
        <v>-</v>
      </c>
      <c r="F672" s="88" t="str">
        <f t="shared" si="13"/>
        <v>-</v>
      </c>
      <c r="G672" s="89">
        <v>0.35</v>
      </c>
    </row>
    <row r="673" ht="15.75" customHeight="1">
      <c r="A673" s="86">
        <v>45826.0</v>
      </c>
      <c r="B673" s="86">
        <v>45841.0</v>
      </c>
      <c r="C673" s="87" t="s">
        <v>357</v>
      </c>
      <c r="D673" s="87" t="s">
        <v>409</v>
      </c>
      <c r="E673" s="65" t="str">
        <f t="array" ref="E673">_xlfn.XLOOKUP(D673,Prices!A:A,Prices!B:B,"-")</f>
        <v>-</v>
      </c>
      <c r="F673" s="88" t="str">
        <f t="shared" si="13"/>
        <v>-</v>
      </c>
      <c r="G673" s="89">
        <v>0.35</v>
      </c>
    </row>
    <row r="674" ht="15.75" customHeight="1">
      <c r="A674" s="86">
        <v>45826.0</v>
      </c>
      <c r="B674" s="86">
        <v>45841.0</v>
      </c>
      <c r="C674" s="87" t="s">
        <v>357</v>
      </c>
      <c r="D674" s="87" t="s">
        <v>342</v>
      </c>
      <c r="E674" s="65" t="str">
        <f t="array" ref="E674">_xlfn.XLOOKUP(D674,Prices!A:A,Prices!B:B,"-")</f>
        <v>-</v>
      </c>
      <c r="F674" s="88" t="str">
        <f t="shared" si="13"/>
        <v>-</v>
      </c>
      <c r="G674" s="89">
        <v>0.35</v>
      </c>
    </row>
    <row r="675" ht="15.75" customHeight="1">
      <c r="A675" s="86">
        <v>45826.0</v>
      </c>
      <c r="B675" s="86">
        <v>45841.0</v>
      </c>
      <c r="C675" s="87" t="s">
        <v>357</v>
      </c>
      <c r="D675" s="87" t="s">
        <v>341</v>
      </c>
      <c r="E675" s="65" t="str">
        <f t="array" ref="E675">_xlfn.XLOOKUP(D675,Prices!A:A,Prices!B:B,"-")</f>
        <v>-</v>
      </c>
      <c r="F675" s="88" t="str">
        <f t="shared" si="13"/>
        <v>-</v>
      </c>
      <c r="G675" s="89">
        <v>0.2</v>
      </c>
    </row>
    <row r="676" ht="15.75" customHeight="1">
      <c r="A676" s="86">
        <v>45826.0</v>
      </c>
      <c r="B676" s="86">
        <v>45841.0</v>
      </c>
      <c r="C676" s="87" t="s">
        <v>357</v>
      </c>
      <c r="D676" s="87" t="s">
        <v>411</v>
      </c>
      <c r="E676" s="65" t="str">
        <f t="array" ref="E676">_xlfn.XLOOKUP(D676,Prices!A:A,Prices!B:B,"-")</f>
        <v>-</v>
      </c>
      <c r="F676" s="88" t="str">
        <f t="shared" si="13"/>
        <v>-</v>
      </c>
      <c r="G676" s="89">
        <v>0.35</v>
      </c>
    </row>
    <row r="677" ht="15.75" customHeight="1">
      <c r="A677" s="86">
        <v>45826.0</v>
      </c>
      <c r="B677" s="86">
        <v>45841.0</v>
      </c>
      <c r="C677" s="87" t="s">
        <v>357</v>
      </c>
      <c r="D677" s="87" t="s">
        <v>448</v>
      </c>
      <c r="E677" s="65" t="str">
        <f t="array" ref="E677">_xlfn.XLOOKUP(D677,Prices!A:A,Prices!B:B,"-")</f>
        <v>-</v>
      </c>
      <c r="F677" s="88" t="str">
        <f t="shared" si="13"/>
        <v>-</v>
      </c>
      <c r="G677" s="89">
        <v>0.35</v>
      </c>
    </row>
    <row r="678" ht="15.75" customHeight="1">
      <c r="A678" s="86">
        <v>45826.0</v>
      </c>
      <c r="B678" s="86">
        <v>45841.0</v>
      </c>
      <c r="C678" s="87" t="s">
        <v>357</v>
      </c>
      <c r="D678" s="87" t="s">
        <v>449</v>
      </c>
      <c r="E678" s="65" t="str">
        <f t="array" ref="E678">_xlfn.XLOOKUP(D678,Prices!A:A,Prices!B:B,"-")</f>
        <v>-</v>
      </c>
      <c r="F678" s="88" t="str">
        <f t="shared" si="13"/>
        <v>-</v>
      </c>
      <c r="G678" s="89">
        <v>0.35</v>
      </c>
    </row>
    <row r="679" ht="15.75" customHeight="1">
      <c r="A679" s="86">
        <v>45826.0</v>
      </c>
      <c r="B679" s="86">
        <v>45841.0</v>
      </c>
      <c r="C679" s="87" t="s">
        <v>357</v>
      </c>
      <c r="D679" s="87" t="s">
        <v>195</v>
      </c>
      <c r="E679" s="65" t="str">
        <f t="array" ref="E679">_xlfn.XLOOKUP(D679,Prices!A:A,Prices!B:B,"-")</f>
        <v>-</v>
      </c>
      <c r="F679" s="88" t="str">
        <f t="shared" si="13"/>
        <v>-</v>
      </c>
      <c r="G679" s="89">
        <v>0.35</v>
      </c>
    </row>
    <row r="680" ht="15.75" customHeight="1">
      <c r="A680" s="86">
        <v>45826.0</v>
      </c>
      <c r="B680" s="86">
        <v>45841.0</v>
      </c>
      <c r="C680" s="87" t="s">
        <v>357</v>
      </c>
      <c r="D680" s="87" t="s">
        <v>296</v>
      </c>
      <c r="E680" s="65" t="str">
        <f t="array" ref="E680">_xlfn.XLOOKUP(D680,Prices!A:A,Prices!B:B,"-")</f>
        <v>-</v>
      </c>
      <c r="F680" s="88" t="str">
        <f t="shared" si="13"/>
        <v>-</v>
      </c>
      <c r="G680" s="89">
        <v>0.35</v>
      </c>
    </row>
    <row r="681" ht="15.75" customHeight="1">
      <c r="A681" s="86">
        <v>45826.0</v>
      </c>
      <c r="B681" s="86">
        <v>45841.0</v>
      </c>
      <c r="C681" s="87" t="s">
        <v>357</v>
      </c>
      <c r="D681" s="87" t="s">
        <v>221</v>
      </c>
      <c r="E681" s="65" t="str">
        <f t="array" ref="E681">_xlfn.XLOOKUP(D681,Prices!A:A,Prices!B:B,"-")</f>
        <v>-</v>
      </c>
      <c r="F681" s="88" t="str">
        <f t="shared" si="13"/>
        <v>-</v>
      </c>
      <c r="G681" s="89">
        <v>0.35</v>
      </c>
    </row>
    <row r="682" ht="15.75" customHeight="1">
      <c r="A682" s="86">
        <v>45826.0</v>
      </c>
      <c r="B682" s="86">
        <v>45841.0</v>
      </c>
      <c r="C682" s="87" t="s">
        <v>357</v>
      </c>
      <c r="D682" s="87" t="s">
        <v>224</v>
      </c>
      <c r="E682" s="65" t="str">
        <f t="array" ref="E682">_xlfn.XLOOKUP(D682,Prices!A:A,Prices!B:B,"-")</f>
        <v>-</v>
      </c>
      <c r="F682" s="88" t="str">
        <f t="shared" si="13"/>
        <v>-</v>
      </c>
      <c r="G682" s="89">
        <v>0.35</v>
      </c>
    </row>
    <row r="683" ht="15.75" customHeight="1">
      <c r="A683" s="86">
        <v>45826.0</v>
      </c>
      <c r="B683" s="86">
        <v>45841.0</v>
      </c>
      <c r="C683" s="87" t="s">
        <v>357</v>
      </c>
      <c r="D683" s="87" t="s">
        <v>226</v>
      </c>
      <c r="E683" s="65" t="str">
        <f t="array" ref="E683">_xlfn.XLOOKUP(D683,Prices!A:A,Prices!B:B,"-")</f>
        <v>-</v>
      </c>
      <c r="F683" s="88" t="str">
        <f t="shared" si="13"/>
        <v>-</v>
      </c>
      <c r="G683" s="89">
        <v>0.3</v>
      </c>
    </row>
    <row r="684" ht="15.75" customHeight="1">
      <c r="A684" s="86">
        <v>45826.0</v>
      </c>
      <c r="B684" s="86">
        <v>45841.0</v>
      </c>
      <c r="C684" s="87" t="s">
        <v>357</v>
      </c>
      <c r="D684" s="87" t="s">
        <v>229</v>
      </c>
      <c r="E684" s="65" t="str">
        <f t="array" ref="E684">_xlfn.XLOOKUP(D684,Prices!A:A,Prices!B:B,"-")</f>
        <v>-</v>
      </c>
      <c r="F684" s="88" t="str">
        <f t="shared" si="13"/>
        <v>-</v>
      </c>
      <c r="G684" s="89">
        <v>0.25</v>
      </c>
    </row>
    <row r="685" ht="15.75" customHeight="1">
      <c r="A685" s="86">
        <v>45826.0</v>
      </c>
      <c r="B685" s="86">
        <v>45841.0</v>
      </c>
      <c r="C685" s="87" t="s">
        <v>357</v>
      </c>
      <c r="D685" s="87" t="s">
        <v>201</v>
      </c>
      <c r="E685" s="65" t="str">
        <f t="array" ref="E685">_xlfn.XLOOKUP(D685,Prices!A:A,Prices!B:B,"-")</f>
        <v>-</v>
      </c>
      <c r="F685" s="88" t="str">
        <f t="shared" si="13"/>
        <v>-</v>
      </c>
      <c r="G685" s="89">
        <v>0.35</v>
      </c>
    </row>
    <row r="686" ht="15.75" customHeight="1">
      <c r="A686" s="86">
        <v>45826.0</v>
      </c>
      <c r="B686" s="86">
        <v>45841.0</v>
      </c>
      <c r="C686" s="87" t="s">
        <v>357</v>
      </c>
      <c r="D686" s="87" t="s">
        <v>203</v>
      </c>
      <c r="E686" s="65" t="str">
        <f t="array" ref="E686">_xlfn.XLOOKUP(D686,Prices!A:A,Prices!B:B,"-")</f>
        <v>-</v>
      </c>
      <c r="F686" s="88" t="str">
        <f t="shared" si="13"/>
        <v>-</v>
      </c>
      <c r="G686" s="89">
        <v>0.35</v>
      </c>
    </row>
    <row r="687" ht="15.75" customHeight="1">
      <c r="A687" s="86">
        <v>45826.0</v>
      </c>
      <c r="B687" s="86">
        <v>45841.0</v>
      </c>
      <c r="C687" s="87" t="s">
        <v>357</v>
      </c>
      <c r="D687" s="87" t="s">
        <v>205</v>
      </c>
      <c r="E687" s="65" t="str">
        <f t="array" ref="E687">_xlfn.XLOOKUP(D687,Prices!A:A,Prices!B:B,"-")</f>
        <v>-</v>
      </c>
      <c r="F687" s="88" t="str">
        <f t="shared" si="13"/>
        <v>-</v>
      </c>
      <c r="G687" s="89">
        <v>0.35</v>
      </c>
    </row>
    <row r="688" ht="15.75" customHeight="1">
      <c r="A688" s="86">
        <v>45826.0</v>
      </c>
      <c r="B688" s="86">
        <v>45841.0</v>
      </c>
      <c r="C688" s="87" t="s">
        <v>357</v>
      </c>
      <c r="D688" s="87" t="s">
        <v>209</v>
      </c>
      <c r="E688" s="65" t="str">
        <f t="array" ref="E688">_xlfn.XLOOKUP(D688,Prices!A:A,Prices!B:B,"-")</f>
        <v>-</v>
      </c>
      <c r="F688" s="88" t="str">
        <f t="shared" si="13"/>
        <v>-</v>
      </c>
      <c r="G688" s="89">
        <v>0.35</v>
      </c>
    </row>
    <row r="689" ht="15.75" customHeight="1">
      <c r="A689" s="86">
        <v>45826.0</v>
      </c>
      <c r="B689" s="86">
        <v>45841.0</v>
      </c>
      <c r="C689" s="87" t="s">
        <v>357</v>
      </c>
      <c r="D689" s="87" t="s">
        <v>291</v>
      </c>
      <c r="E689" s="65" t="str">
        <f t="array" ref="E689">_xlfn.XLOOKUP(D689,Prices!A:A,Prices!B:B,"-")</f>
        <v>-</v>
      </c>
      <c r="F689" s="88" t="str">
        <f t="shared" si="13"/>
        <v>-</v>
      </c>
      <c r="G689" s="89">
        <v>0.35</v>
      </c>
    </row>
    <row r="690" ht="15.75" customHeight="1">
      <c r="A690" s="86">
        <v>45826.0</v>
      </c>
      <c r="B690" s="86">
        <v>45841.0</v>
      </c>
      <c r="C690" s="87" t="s">
        <v>357</v>
      </c>
      <c r="D690" s="87" t="s">
        <v>292</v>
      </c>
      <c r="E690" s="65" t="str">
        <f t="array" ref="E690">_xlfn.XLOOKUP(D690,Prices!A:A,Prices!B:B,"-")</f>
        <v>-</v>
      </c>
      <c r="F690" s="88" t="str">
        <f t="shared" si="13"/>
        <v>-</v>
      </c>
      <c r="G690" s="89">
        <v>0.35</v>
      </c>
    </row>
    <row r="691" ht="15.75" customHeight="1">
      <c r="A691" s="86">
        <v>45826.0</v>
      </c>
      <c r="B691" s="86">
        <v>45841.0</v>
      </c>
      <c r="C691" s="87" t="s">
        <v>357</v>
      </c>
      <c r="D691" s="87" t="s">
        <v>293</v>
      </c>
      <c r="E691" s="65" t="str">
        <f t="array" ref="E691">_xlfn.XLOOKUP(D691,Prices!A:A,Prices!B:B,"-")</f>
        <v>-</v>
      </c>
      <c r="F691" s="88" t="str">
        <f t="shared" si="13"/>
        <v>-</v>
      </c>
      <c r="G691" s="89">
        <v>0.35</v>
      </c>
    </row>
    <row r="692" ht="15.75" customHeight="1">
      <c r="A692" s="86">
        <v>45826.0</v>
      </c>
      <c r="B692" s="86">
        <v>45841.0</v>
      </c>
      <c r="C692" s="87" t="s">
        <v>357</v>
      </c>
      <c r="D692" s="87" t="s">
        <v>295</v>
      </c>
      <c r="E692" s="65" t="str">
        <f t="array" ref="E692">_xlfn.XLOOKUP(D692,Prices!A:A,Prices!B:B,"-")</f>
        <v>-</v>
      </c>
      <c r="F692" s="88" t="str">
        <f t="shared" si="13"/>
        <v>-</v>
      </c>
      <c r="G692" s="89">
        <v>0.35</v>
      </c>
    </row>
    <row r="693" ht="15.75" customHeight="1">
      <c r="A693" s="86">
        <v>45826.0</v>
      </c>
      <c r="B693" s="86">
        <v>45841.0</v>
      </c>
      <c r="C693" s="87" t="s">
        <v>357</v>
      </c>
      <c r="D693" s="87" t="s">
        <v>452</v>
      </c>
      <c r="E693" s="65" t="str">
        <f t="array" ref="E693">_xlfn.XLOOKUP(D693,Prices!A:A,Prices!B:B,"-")</f>
        <v>-</v>
      </c>
      <c r="F693" s="88" t="str">
        <f t="shared" si="13"/>
        <v>-</v>
      </c>
      <c r="G693" s="89">
        <v>0.35</v>
      </c>
    </row>
    <row r="694" ht="15.75" customHeight="1">
      <c r="A694" s="86">
        <v>45826.0</v>
      </c>
      <c r="B694" s="86">
        <v>45841.0</v>
      </c>
      <c r="C694" s="87" t="s">
        <v>357</v>
      </c>
      <c r="D694" s="87" t="s">
        <v>414</v>
      </c>
      <c r="E694" s="65" t="str">
        <f t="array" ref="E694">_xlfn.XLOOKUP(D694,Prices!A:A,Prices!B:B,"-")</f>
        <v>-</v>
      </c>
      <c r="F694" s="88" t="str">
        <f t="shared" si="13"/>
        <v>-</v>
      </c>
      <c r="G694" s="89">
        <v>0.35</v>
      </c>
    </row>
    <row r="695" ht="15.75" customHeight="1">
      <c r="A695" s="86">
        <v>45826.0</v>
      </c>
      <c r="B695" s="86">
        <v>45841.0</v>
      </c>
      <c r="C695" s="87" t="s">
        <v>357</v>
      </c>
      <c r="D695" s="87" t="s">
        <v>329</v>
      </c>
      <c r="E695" s="65" t="str">
        <f t="array" ref="E695">_xlfn.XLOOKUP(D695,Prices!A:A,Prices!B:B,"-")</f>
        <v>-</v>
      </c>
      <c r="F695" s="88" t="str">
        <f t="shared" si="13"/>
        <v>-</v>
      </c>
      <c r="G695" s="89">
        <v>0.35</v>
      </c>
    </row>
    <row r="696" ht="15.75" customHeight="1">
      <c r="A696" s="86">
        <v>45826.0</v>
      </c>
      <c r="B696" s="86">
        <v>45841.0</v>
      </c>
      <c r="C696" s="87" t="s">
        <v>357</v>
      </c>
      <c r="D696" s="87" t="s">
        <v>455</v>
      </c>
      <c r="E696" s="65" t="str">
        <f t="array" ref="E696">_xlfn.XLOOKUP(D696,Prices!A:A,Prices!B:B,"-")</f>
        <v>-</v>
      </c>
      <c r="F696" s="88" t="str">
        <f t="shared" si="13"/>
        <v>-</v>
      </c>
      <c r="G696" s="89">
        <v>0.35</v>
      </c>
    </row>
    <row r="697" ht="15.75" customHeight="1">
      <c r="A697" s="86">
        <v>45826.0</v>
      </c>
      <c r="B697" s="86">
        <v>45841.0</v>
      </c>
      <c r="C697" s="87" t="s">
        <v>357</v>
      </c>
      <c r="D697" s="87" t="s">
        <v>418</v>
      </c>
      <c r="E697" s="65" t="str">
        <f t="array" ref="E697">_xlfn.XLOOKUP(D697,Prices!A:A,Prices!B:B,"-")</f>
        <v>-</v>
      </c>
      <c r="F697" s="88" t="str">
        <f t="shared" si="13"/>
        <v>-</v>
      </c>
      <c r="G697" s="89">
        <v>0.35</v>
      </c>
    </row>
    <row r="698" ht="15.75" customHeight="1">
      <c r="A698" s="86">
        <v>45826.0</v>
      </c>
      <c r="B698" s="86">
        <v>45841.0</v>
      </c>
      <c r="C698" s="87" t="s">
        <v>357</v>
      </c>
      <c r="D698" s="87" t="s">
        <v>336</v>
      </c>
      <c r="E698" s="65" t="str">
        <f t="array" ref="E698">_xlfn.XLOOKUP(D698,Prices!A:A,Prices!B:B,"-")</f>
        <v>-</v>
      </c>
      <c r="F698" s="88" t="str">
        <f t="shared" si="13"/>
        <v>-</v>
      </c>
      <c r="G698" s="89">
        <v>0.35</v>
      </c>
    </row>
    <row r="699" ht="15.75" customHeight="1">
      <c r="A699" s="86">
        <v>45826.0</v>
      </c>
      <c r="B699" s="86">
        <v>45841.0</v>
      </c>
      <c r="C699" s="87" t="s">
        <v>357</v>
      </c>
      <c r="D699" s="87" t="s">
        <v>18</v>
      </c>
      <c r="E699" s="65">
        <f t="array" ref="E699">_xlfn.XLOOKUP(D699,Prices!A:A,Prices!B:B,"-")</f>
        <v>24.99</v>
      </c>
      <c r="F699" s="88">
        <f t="shared" si="13"/>
        <v>16.7433</v>
      </c>
      <c r="G699" s="89">
        <v>0.33</v>
      </c>
    </row>
    <row r="700" ht="15.75" customHeight="1">
      <c r="A700" s="86">
        <v>45826.0</v>
      </c>
      <c r="B700" s="86">
        <v>45841.0</v>
      </c>
      <c r="C700" s="87" t="s">
        <v>357</v>
      </c>
      <c r="D700" s="87" t="s">
        <v>32</v>
      </c>
      <c r="E700" s="65">
        <f t="array" ref="E700">_xlfn.XLOOKUP(D700,Prices!A:A,Prices!B:B,"-")</f>
        <v>24.99</v>
      </c>
      <c r="F700" s="88">
        <f t="shared" si="13"/>
        <v>16.7433</v>
      </c>
      <c r="G700" s="89">
        <v>0.33</v>
      </c>
    </row>
    <row r="701" ht="15.75" customHeight="1">
      <c r="A701" s="86">
        <v>45826.0</v>
      </c>
      <c r="B701" s="86">
        <v>45841.0</v>
      </c>
      <c r="C701" s="87" t="s">
        <v>357</v>
      </c>
      <c r="D701" s="87" t="s">
        <v>34</v>
      </c>
      <c r="E701" s="65">
        <f t="array" ref="E701">_xlfn.XLOOKUP(D701,Prices!A:A,Prices!B:B,"-")</f>
        <v>24.99</v>
      </c>
      <c r="F701" s="88">
        <f t="shared" si="13"/>
        <v>18.7425</v>
      </c>
      <c r="G701" s="89">
        <v>0.25</v>
      </c>
    </row>
    <row r="702" ht="15.75" customHeight="1">
      <c r="A702" s="86">
        <v>45826.0</v>
      </c>
      <c r="B702" s="86">
        <v>45841.0</v>
      </c>
      <c r="C702" s="87" t="s">
        <v>357</v>
      </c>
      <c r="D702" s="87" t="s">
        <v>24</v>
      </c>
      <c r="E702" s="65">
        <f t="array" ref="E702">_xlfn.XLOOKUP(D702,Prices!A:A,Prices!B:B,"-")</f>
        <v>29.99</v>
      </c>
      <c r="F702" s="88">
        <f t="shared" si="13"/>
        <v>14.995</v>
      </c>
      <c r="G702" s="89">
        <v>0.5</v>
      </c>
    </row>
    <row r="703" ht="15.75" customHeight="1">
      <c r="A703" s="86">
        <v>45840.0</v>
      </c>
      <c r="B703" s="86">
        <v>45855.0</v>
      </c>
      <c r="C703" s="87" t="s">
        <v>579</v>
      </c>
      <c r="D703" s="87" t="s">
        <v>17</v>
      </c>
      <c r="E703" s="65">
        <f t="array" ref="E703">_xlfn.XLOOKUP(D703,Prices!A:A,Prices!B:B,"-")</f>
        <v>39.99</v>
      </c>
      <c r="F703" s="88">
        <f t="shared" si="13"/>
        <v>19.995</v>
      </c>
      <c r="G703" s="89">
        <v>0.5</v>
      </c>
    </row>
    <row r="704" ht="15.75" customHeight="1">
      <c r="A704" s="86">
        <v>45854.0</v>
      </c>
      <c r="B704" s="86">
        <v>45868.0</v>
      </c>
      <c r="C704" s="87" t="s">
        <v>572</v>
      </c>
      <c r="D704" s="87" t="s">
        <v>19</v>
      </c>
      <c r="E704" s="65">
        <f t="array" ref="E704">_xlfn.XLOOKUP(D704,Prices!A:A,Prices!B:B,"-")</f>
        <v>69.99</v>
      </c>
      <c r="F704" s="88">
        <f t="shared" si="13"/>
        <v>34.995</v>
      </c>
      <c r="G704" s="89">
        <v>0.5</v>
      </c>
    </row>
    <row r="705" ht="15.75" customHeight="1">
      <c r="A705" s="86"/>
      <c r="B705" s="86"/>
      <c r="C705" s="87"/>
      <c r="D705" s="87" t="s">
        <v>20</v>
      </c>
      <c r="E705" s="65">
        <f t="array" ref="E705">_xlfn.XLOOKUP(D705,Prices!A:A,Prices!B:B,"-")</f>
        <v>109.99</v>
      </c>
      <c r="F705" s="88">
        <f t="shared" si="13"/>
        <v>76.993</v>
      </c>
      <c r="G705" s="89">
        <v>0.3</v>
      </c>
    </row>
    <row r="706" ht="15.75" customHeight="1">
      <c r="A706" s="86"/>
      <c r="B706" s="86"/>
      <c r="C706" s="87"/>
      <c r="D706" s="87" t="s">
        <v>261</v>
      </c>
      <c r="E706" s="65" t="str">
        <f t="array" ref="E706">_xlfn.XLOOKUP(D706,Prices!A:A,Prices!B:B,"-")</f>
        <v>-</v>
      </c>
      <c r="F706" s="88" t="str">
        <f t="shared" si="13"/>
        <v>-</v>
      </c>
      <c r="G706" s="89">
        <v>0.33</v>
      </c>
    </row>
    <row r="707" ht="15.75" customHeight="1">
      <c r="A707" s="86"/>
      <c r="B707" s="86"/>
      <c r="C707" s="87"/>
      <c r="D707" s="87" t="s">
        <v>265</v>
      </c>
      <c r="E707" s="65" t="str">
        <f t="array" ref="E707">_xlfn.XLOOKUP(D707,Prices!A:A,Prices!B:B,"-")</f>
        <v>-</v>
      </c>
      <c r="F707" s="88" t="str">
        <f t="shared" si="13"/>
        <v>-</v>
      </c>
      <c r="G707" s="89">
        <v>0.33</v>
      </c>
    </row>
    <row r="708" ht="15.75" customHeight="1">
      <c r="A708" s="86"/>
      <c r="B708" s="86"/>
      <c r="C708" s="87"/>
      <c r="D708" s="87" t="s">
        <v>268</v>
      </c>
      <c r="E708" s="65" t="str">
        <f t="array" ref="E708">_xlfn.XLOOKUP(D708,Prices!A:A,Prices!B:B,"-")</f>
        <v>-</v>
      </c>
      <c r="F708" s="88" t="str">
        <f t="shared" si="13"/>
        <v>-</v>
      </c>
      <c r="G708" s="89">
        <v>0.25</v>
      </c>
    </row>
    <row r="709" ht="15.75" customHeight="1">
      <c r="A709" s="86">
        <v>45868.0</v>
      </c>
      <c r="B709" s="86">
        <v>45882.0</v>
      </c>
      <c r="C709" s="87" t="s">
        <v>487</v>
      </c>
      <c r="D709" s="87" t="s">
        <v>24</v>
      </c>
      <c r="E709" s="65">
        <f t="array" ref="E709">_xlfn.XLOOKUP(D709,Prices!A:A,Prices!B:B,"-")</f>
        <v>29.99</v>
      </c>
      <c r="F709" s="88">
        <f t="shared" si="13"/>
        <v>14.995</v>
      </c>
      <c r="G709" s="89">
        <v>0.5</v>
      </c>
    </row>
    <row r="710" ht="15.75" customHeight="1">
      <c r="A710" s="86"/>
      <c r="B710" s="86"/>
      <c r="C710" s="87"/>
      <c r="D710" s="87" t="s">
        <v>25</v>
      </c>
      <c r="E710" s="65">
        <f t="array" ref="E710">_xlfn.XLOOKUP(D710,Prices!A:A,Prices!B:B,"-")</f>
        <v>79.99</v>
      </c>
      <c r="F710" s="88">
        <f t="shared" si="13"/>
        <v>47.994</v>
      </c>
      <c r="G710" s="89">
        <v>0.4</v>
      </c>
    </row>
    <row r="711" ht="15.75" customHeight="1">
      <c r="A711" s="86"/>
      <c r="B711" s="86"/>
      <c r="C711" s="87"/>
      <c r="D711" s="87" t="s">
        <v>580</v>
      </c>
      <c r="E711" s="65" t="str">
        <f t="array" ref="E711">_xlfn.XLOOKUP(D711,Prices!A:A,Prices!B:B,"-")</f>
        <v>-</v>
      </c>
      <c r="F711" s="88" t="str">
        <f t="shared" si="13"/>
        <v>-</v>
      </c>
      <c r="G711" s="89">
        <v>0.35</v>
      </c>
    </row>
    <row r="712" ht="15.75" customHeight="1">
      <c r="A712" s="86"/>
      <c r="B712" s="86"/>
      <c r="C712" s="87"/>
      <c r="D712" s="87" t="s">
        <v>332</v>
      </c>
      <c r="E712" s="65" t="str">
        <f t="array" ref="E712">_xlfn.XLOOKUP(D712,Prices!A:A,Prices!B:B,"-")</f>
        <v>-</v>
      </c>
      <c r="F712" s="88" t="str">
        <f t="shared" si="13"/>
        <v>-</v>
      </c>
      <c r="G712" s="89">
        <v>0.35</v>
      </c>
    </row>
    <row r="713" ht="15.75" customHeight="1">
      <c r="A713" s="86"/>
      <c r="B713" s="86"/>
      <c r="C713" s="87"/>
      <c r="D713" s="87" t="s">
        <v>343</v>
      </c>
      <c r="E713" s="65" t="str">
        <f t="array" ref="E713">_xlfn.XLOOKUP(D713,Prices!A:A,Prices!B:B,"-")</f>
        <v>-</v>
      </c>
      <c r="F713" s="88" t="str">
        <f t="shared" si="13"/>
        <v>-</v>
      </c>
      <c r="G713" s="89">
        <v>0.35</v>
      </c>
    </row>
    <row r="714" ht="15.75" customHeight="1">
      <c r="A714" s="86"/>
      <c r="B714" s="86"/>
      <c r="C714" s="87"/>
      <c r="D714" s="87" t="s">
        <v>581</v>
      </c>
      <c r="E714" s="65" t="str">
        <f t="array" ref="E714">_xlfn.XLOOKUP(D714,Prices!A:A,Prices!B:B,"-")</f>
        <v>-</v>
      </c>
      <c r="F714" s="88" t="str">
        <f t="shared" si="13"/>
        <v>-</v>
      </c>
      <c r="G714" s="89">
        <v>0.35</v>
      </c>
    </row>
    <row r="715" ht="15.75" customHeight="1">
      <c r="A715" s="86"/>
      <c r="B715" s="86"/>
      <c r="C715" s="87"/>
      <c r="D715" s="87" t="s">
        <v>340</v>
      </c>
      <c r="E715" s="65" t="str">
        <f t="array" ref="E715">_xlfn.XLOOKUP(D715,Prices!A:A,Prices!B:B,"-")</f>
        <v>-</v>
      </c>
      <c r="F715" s="88" t="str">
        <f t="shared" si="13"/>
        <v>-</v>
      </c>
      <c r="G715" s="89">
        <v>0.35</v>
      </c>
    </row>
    <row r="716" ht="15.75" customHeight="1">
      <c r="A716" s="86"/>
      <c r="B716" s="86"/>
      <c r="C716" s="87"/>
      <c r="D716" s="87" t="s">
        <v>446</v>
      </c>
      <c r="E716" s="65" t="str">
        <f t="array" ref="E716">_xlfn.XLOOKUP(D716,Prices!A:A,Prices!B:B,"-")</f>
        <v>-</v>
      </c>
      <c r="F716" s="88" t="str">
        <f t="shared" si="13"/>
        <v>-</v>
      </c>
      <c r="G716" s="89">
        <v>0.35</v>
      </c>
    </row>
    <row r="717" ht="15.75" customHeight="1">
      <c r="A717" s="86"/>
      <c r="B717" s="86"/>
      <c r="C717" s="87"/>
      <c r="D717" s="87" t="s">
        <v>331</v>
      </c>
      <c r="E717" s="65" t="str">
        <f t="array" ref="E717">_xlfn.XLOOKUP(D717,Prices!A:A,Prices!B:B,"-")</f>
        <v>-</v>
      </c>
      <c r="F717" s="88" t="str">
        <f t="shared" si="13"/>
        <v>-</v>
      </c>
      <c r="G717" s="89">
        <v>0.35</v>
      </c>
    </row>
    <row r="718" ht="15.75" customHeight="1">
      <c r="A718" s="86"/>
      <c r="B718" s="86"/>
      <c r="C718" s="87"/>
      <c r="D718" s="87" t="s">
        <v>335</v>
      </c>
      <c r="E718" s="65" t="str">
        <f t="array" ref="E718">_xlfn.XLOOKUP(D718,Prices!A:A,Prices!B:B,"-")</f>
        <v>-</v>
      </c>
      <c r="F718" s="88" t="str">
        <f t="shared" si="13"/>
        <v>-</v>
      </c>
      <c r="G718" s="89">
        <v>0.35</v>
      </c>
    </row>
    <row r="719" ht="15.75" customHeight="1">
      <c r="A719" s="86"/>
      <c r="B719" s="86"/>
      <c r="C719" s="87"/>
      <c r="D719" s="87" t="s">
        <v>583</v>
      </c>
      <c r="E719" s="65" t="str">
        <f t="array" ref="E719">_xlfn.XLOOKUP(D719,Prices!A:A,Prices!B:B,"-")</f>
        <v>-</v>
      </c>
      <c r="F719" s="88" t="str">
        <f t="shared" si="13"/>
        <v>-</v>
      </c>
      <c r="G719" s="89">
        <v>0.35</v>
      </c>
    </row>
    <row r="720" ht="15.75" customHeight="1">
      <c r="A720" s="86"/>
      <c r="B720" s="86"/>
      <c r="C720" s="87"/>
      <c r="D720" s="87" t="s">
        <v>447</v>
      </c>
      <c r="E720" s="65" t="str">
        <f t="array" ref="E720">_xlfn.XLOOKUP(D720,Prices!A:A,Prices!B:B,"-")</f>
        <v>-</v>
      </c>
      <c r="F720" s="88" t="str">
        <f t="shared" si="13"/>
        <v>-</v>
      </c>
      <c r="G720" s="89">
        <v>0.35</v>
      </c>
    </row>
    <row r="721" ht="15.75" customHeight="1">
      <c r="A721" s="86"/>
      <c r="B721" s="86"/>
      <c r="C721" s="87"/>
      <c r="D721" s="87" t="s">
        <v>409</v>
      </c>
      <c r="E721" s="65" t="str">
        <f t="array" ref="E721">_xlfn.XLOOKUP(D721,Prices!A:A,Prices!B:B,"-")</f>
        <v>-</v>
      </c>
      <c r="F721" s="88" t="str">
        <f t="shared" si="13"/>
        <v>-</v>
      </c>
      <c r="G721" s="89">
        <v>0.35</v>
      </c>
    </row>
    <row r="722" ht="15.75" customHeight="1">
      <c r="A722" s="86"/>
      <c r="B722" s="86"/>
      <c r="C722" s="87"/>
      <c r="D722" s="87" t="s">
        <v>342</v>
      </c>
      <c r="E722" s="65" t="str">
        <f t="array" ref="E722">_xlfn.XLOOKUP(D722,Prices!A:A,Prices!B:B,"-")</f>
        <v>-</v>
      </c>
      <c r="F722" s="88" t="str">
        <f t="shared" si="13"/>
        <v>-</v>
      </c>
      <c r="G722" s="89">
        <v>0.35</v>
      </c>
    </row>
    <row r="723" ht="15.75" customHeight="1">
      <c r="A723" s="86"/>
      <c r="B723" s="86"/>
      <c r="C723" s="87"/>
      <c r="D723" s="87" t="s">
        <v>341</v>
      </c>
      <c r="E723" s="65" t="str">
        <f t="array" ref="E723">_xlfn.XLOOKUP(D723,Prices!A:A,Prices!B:B,"-")</f>
        <v>-</v>
      </c>
      <c r="F723" s="88" t="str">
        <f t="shared" si="13"/>
        <v>-</v>
      </c>
      <c r="G723" s="89">
        <v>0.2</v>
      </c>
    </row>
    <row r="724" ht="15.75" customHeight="1">
      <c r="A724" s="86"/>
      <c r="B724" s="86"/>
      <c r="C724" s="87"/>
      <c r="D724" s="87" t="s">
        <v>411</v>
      </c>
      <c r="E724" s="65" t="str">
        <f t="array" ref="E724">_xlfn.XLOOKUP(D724,Prices!A:A,Prices!B:B,"-")</f>
        <v>-</v>
      </c>
      <c r="F724" s="88" t="str">
        <f t="shared" si="13"/>
        <v>-</v>
      </c>
      <c r="G724" s="89">
        <v>0.35</v>
      </c>
    </row>
    <row r="725" ht="15.75" customHeight="1">
      <c r="A725" s="86"/>
      <c r="B725" s="86"/>
      <c r="C725" s="87"/>
      <c r="D725" s="87" t="s">
        <v>584</v>
      </c>
      <c r="E725" s="65" t="str">
        <f t="array" ref="E725">_xlfn.XLOOKUP(D725,Prices!A:A,Prices!B:B,"-")</f>
        <v>-</v>
      </c>
      <c r="F725" s="88" t="str">
        <f t="shared" si="13"/>
        <v>-</v>
      </c>
      <c r="G725" s="89">
        <v>0.35</v>
      </c>
    </row>
    <row r="726" ht="15.75" customHeight="1">
      <c r="A726" s="86"/>
      <c r="B726" s="86"/>
      <c r="C726" s="87"/>
      <c r="D726" s="87" t="s">
        <v>449</v>
      </c>
      <c r="E726" s="65" t="str">
        <f t="array" ref="E726">_xlfn.XLOOKUP(D726,Prices!A:A,Prices!B:B,"-")</f>
        <v>-</v>
      </c>
      <c r="F726" s="88" t="str">
        <f t="shared" si="13"/>
        <v>-</v>
      </c>
      <c r="G726" s="89">
        <v>0.35</v>
      </c>
    </row>
    <row r="727" ht="15.75" customHeight="1">
      <c r="A727" s="86"/>
      <c r="B727" s="86"/>
      <c r="C727" s="87"/>
      <c r="D727" s="87" t="s">
        <v>414</v>
      </c>
      <c r="E727" s="65" t="str">
        <f t="array" ref="E727">_xlfn.XLOOKUP(D727,Prices!A:A,Prices!B:B,"-")</f>
        <v>-</v>
      </c>
      <c r="F727" s="88" t="str">
        <f t="shared" si="13"/>
        <v>-</v>
      </c>
      <c r="G727" s="89">
        <v>0.35</v>
      </c>
    </row>
    <row r="728" ht="15.75" customHeight="1">
      <c r="A728" s="86"/>
      <c r="B728" s="86"/>
      <c r="C728" s="87"/>
      <c r="D728" s="87" t="s">
        <v>195</v>
      </c>
      <c r="E728" s="65" t="str">
        <f t="array" ref="E728">_xlfn.XLOOKUP(D728,Prices!A:A,Prices!B:B,"-")</f>
        <v>-</v>
      </c>
      <c r="F728" s="88" t="str">
        <f t="shared" si="13"/>
        <v>-</v>
      </c>
      <c r="G728" s="89">
        <v>0.35</v>
      </c>
    </row>
    <row r="729" ht="15.75" customHeight="1">
      <c r="A729" s="86"/>
      <c r="B729" s="86"/>
      <c r="C729" s="87"/>
      <c r="D729" s="87" t="s">
        <v>585</v>
      </c>
      <c r="E729" s="65" t="str">
        <f t="array" ref="E729">_xlfn.XLOOKUP(D729,Prices!A:A,Prices!B:B,"-")</f>
        <v>-</v>
      </c>
      <c r="F729" s="88" t="str">
        <f t="shared" si="13"/>
        <v>-</v>
      </c>
      <c r="G729" s="89">
        <v>0.35</v>
      </c>
    </row>
    <row r="730" ht="15.75" customHeight="1">
      <c r="A730" s="86"/>
      <c r="B730" s="86"/>
      <c r="C730" s="87"/>
      <c r="D730" s="87" t="s">
        <v>221</v>
      </c>
      <c r="E730" s="65" t="str">
        <f t="array" ref="E730">_xlfn.XLOOKUP(D730,Prices!A:A,Prices!B:B,"-")</f>
        <v>-</v>
      </c>
      <c r="F730" s="88" t="str">
        <f t="shared" si="13"/>
        <v>-</v>
      </c>
      <c r="G730" s="89">
        <v>0.35</v>
      </c>
    </row>
    <row r="731" ht="15.75" customHeight="1">
      <c r="A731" s="86"/>
      <c r="B731" s="86"/>
      <c r="C731" s="87"/>
      <c r="D731" s="87" t="s">
        <v>224</v>
      </c>
      <c r="E731" s="65" t="str">
        <f t="array" ref="E731">_xlfn.XLOOKUP(D731,Prices!A:A,Prices!B:B,"-")</f>
        <v>-</v>
      </c>
      <c r="F731" s="88" t="str">
        <f t="shared" si="13"/>
        <v>-</v>
      </c>
      <c r="G731" s="89">
        <v>0.35</v>
      </c>
    </row>
    <row r="732" ht="15.75" customHeight="1">
      <c r="A732" s="86"/>
      <c r="B732" s="86"/>
      <c r="C732" s="87"/>
      <c r="D732" s="87" t="s">
        <v>226</v>
      </c>
      <c r="E732" s="65" t="str">
        <f t="array" ref="E732">_xlfn.XLOOKUP(D732,Prices!A:A,Prices!B:B,"-")</f>
        <v>-</v>
      </c>
      <c r="F732" s="88" t="str">
        <f t="shared" si="13"/>
        <v>-</v>
      </c>
      <c r="G732" s="89">
        <v>0.3</v>
      </c>
    </row>
    <row r="733" ht="15.75" customHeight="1">
      <c r="A733" s="86"/>
      <c r="B733" s="86"/>
      <c r="C733" s="87"/>
      <c r="D733" s="87" t="s">
        <v>229</v>
      </c>
      <c r="E733" s="65" t="str">
        <f t="array" ref="E733">_xlfn.XLOOKUP(D733,Prices!A:A,Prices!B:B,"-")</f>
        <v>-</v>
      </c>
      <c r="F733" s="88" t="str">
        <f t="shared" si="13"/>
        <v>-</v>
      </c>
      <c r="G733" s="89">
        <v>0.25</v>
      </c>
    </row>
    <row r="734" ht="15.75" customHeight="1">
      <c r="A734" s="86"/>
      <c r="B734" s="86"/>
      <c r="C734" s="87"/>
      <c r="D734" s="87" t="s">
        <v>201</v>
      </c>
      <c r="E734" s="65" t="str">
        <f t="array" ref="E734">_xlfn.XLOOKUP(D734,Prices!A:A,Prices!B:B,"-")</f>
        <v>-</v>
      </c>
      <c r="F734" s="88" t="str">
        <f t="shared" si="13"/>
        <v>-</v>
      </c>
      <c r="G734" s="89">
        <v>0.35</v>
      </c>
    </row>
    <row r="735" ht="15.75" customHeight="1">
      <c r="A735" s="86"/>
      <c r="B735" s="86"/>
      <c r="C735" s="87"/>
      <c r="D735" s="87" t="s">
        <v>203</v>
      </c>
      <c r="E735" s="65" t="str">
        <f t="array" ref="E735">_xlfn.XLOOKUP(D735,Prices!A:A,Prices!B:B,"-")</f>
        <v>-</v>
      </c>
      <c r="F735" s="88" t="str">
        <f t="shared" si="13"/>
        <v>-</v>
      </c>
      <c r="G735" s="89">
        <v>0.35</v>
      </c>
    </row>
    <row r="736" ht="15.75" customHeight="1">
      <c r="A736" s="86"/>
      <c r="B736" s="86"/>
      <c r="C736" s="87"/>
      <c r="D736" s="87" t="s">
        <v>205</v>
      </c>
      <c r="E736" s="65" t="str">
        <f t="array" ref="E736">_xlfn.XLOOKUP(D736,Prices!A:A,Prices!B:B,"-")</f>
        <v>-</v>
      </c>
      <c r="F736" s="88" t="str">
        <f t="shared" si="13"/>
        <v>-</v>
      </c>
      <c r="G736" s="89">
        <v>0.35</v>
      </c>
    </row>
    <row r="737" ht="15.75" customHeight="1">
      <c r="A737" s="86"/>
      <c r="B737" s="86"/>
      <c r="C737" s="87"/>
      <c r="D737" s="87" t="s">
        <v>209</v>
      </c>
      <c r="E737" s="65" t="str">
        <f t="array" ref="E737">_xlfn.XLOOKUP(D737,Prices!A:A,Prices!B:B,"-")</f>
        <v>-</v>
      </c>
      <c r="F737" s="88" t="str">
        <f t="shared" si="13"/>
        <v>-</v>
      </c>
      <c r="G737" s="89">
        <v>0.35</v>
      </c>
    </row>
    <row r="738" ht="15.75" customHeight="1">
      <c r="A738" s="86"/>
      <c r="B738" s="86"/>
      <c r="C738" s="87"/>
      <c r="D738" s="87" t="s">
        <v>291</v>
      </c>
      <c r="E738" s="65" t="str">
        <f t="array" ref="E738">_xlfn.XLOOKUP(D738,Prices!A:A,Prices!B:B,"-")</f>
        <v>-</v>
      </c>
      <c r="F738" s="88" t="str">
        <f t="shared" si="13"/>
        <v>-</v>
      </c>
      <c r="G738" s="89">
        <v>0.35</v>
      </c>
    </row>
    <row r="739" ht="15.75" customHeight="1">
      <c r="A739" s="86"/>
      <c r="B739" s="86"/>
      <c r="C739" s="87"/>
      <c r="D739" s="87" t="s">
        <v>292</v>
      </c>
      <c r="E739" s="65" t="str">
        <f t="array" ref="E739">_xlfn.XLOOKUP(D739,Prices!A:A,Prices!B:B,"-")</f>
        <v>-</v>
      </c>
      <c r="F739" s="88" t="str">
        <f t="shared" si="13"/>
        <v>-</v>
      </c>
      <c r="G739" s="89">
        <v>0.35</v>
      </c>
    </row>
    <row r="740" ht="15.75" customHeight="1">
      <c r="A740" s="86"/>
      <c r="B740" s="86"/>
      <c r="C740" s="87"/>
      <c r="D740" s="87" t="s">
        <v>293</v>
      </c>
      <c r="E740" s="65" t="str">
        <f t="array" ref="E740">_xlfn.XLOOKUP(D740,Prices!A:A,Prices!B:B,"-")</f>
        <v>-</v>
      </c>
      <c r="F740" s="88" t="str">
        <f t="shared" si="13"/>
        <v>-</v>
      </c>
      <c r="G740" s="89">
        <v>0.35</v>
      </c>
    </row>
    <row r="741" ht="15.75" customHeight="1">
      <c r="A741" s="86"/>
      <c r="B741" s="86"/>
      <c r="C741" s="87"/>
      <c r="D741" s="87" t="s">
        <v>295</v>
      </c>
      <c r="E741" s="65" t="str">
        <f t="array" ref="E741">_xlfn.XLOOKUP(D741,Prices!A:A,Prices!B:B,"-")</f>
        <v>-</v>
      </c>
      <c r="F741" s="88" t="str">
        <f t="shared" si="13"/>
        <v>-</v>
      </c>
      <c r="G741" s="89">
        <v>0.35</v>
      </c>
    </row>
    <row r="742" ht="15.75" customHeight="1">
      <c r="A742" s="86"/>
      <c r="B742" s="86"/>
      <c r="C742" s="87"/>
      <c r="D742" s="87" t="s">
        <v>452</v>
      </c>
      <c r="E742" s="65" t="str">
        <f t="array" ref="E742">_xlfn.XLOOKUP(D742,Prices!A:A,Prices!B:B,"-")</f>
        <v>-</v>
      </c>
      <c r="F742" s="88" t="str">
        <f t="shared" si="13"/>
        <v>-</v>
      </c>
      <c r="G742" s="89">
        <v>0.35</v>
      </c>
    </row>
    <row r="743" ht="15.75" customHeight="1">
      <c r="A743" s="86"/>
      <c r="B743" s="86"/>
      <c r="C743" s="87"/>
      <c r="D743" s="87" t="s">
        <v>329</v>
      </c>
      <c r="E743" s="65" t="str">
        <f t="array" ref="E743">_xlfn.XLOOKUP(D743,Prices!A:A,Prices!B:B,"-")</f>
        <v>-</v>
      </c>
      <c r="F743" s="88" t="str">
        <f t="shared" si="13"/>
        <v>-</v>
      </c>
      <c r="G743" s="89">
        <v>0.35</v>
      </c>
    </row>
    <row r="744" ht="15.75" customHeight="1">
      <c r="A744" s="86"/>
      <c r="B744" s="86"/>
      <c r="C744" s="87"/>
      <c r="D744" s="87" t="s">
        <v>455</v>
      </c>
      <c r="E744" s="65" t="str">
        <f t="array" ref="E744">_xlfn.XLOOKUP(D744,Prices!A:A,Prices!B:B,"-")</f>
        <v>-</v>
      </c>
      <c r="F744" s="88" t="str">
        <f t="shared" si="13"/>
        <v>-</v>
      </c>
      <c r="G744" s="89">
        <v>0.35</v>
      </c>
    </row>
    <row r="745" ht="15.75" customHeight="1">
      <c r="A745" s="86"/>
      <c r="B745" s="86"/>
      <c r="C745" s="87"/>
      <c r="D745" s="87" t="s">
        <v>595</v>
      </c>
      <c r="E745" s="65" t="str">
        <f t="array" ref="E745">_xlfn.XLOOKUP(D745,Prices!A:A,Prices!B:B,"-")</f>
        <v>-</v>
      </c>
      <c r="F745" s="88" t="str">
        <f t="shared" si="13"/>
        <v>-</v>
      </c>
      <c r="G745" s="89">
        <v>0.35</v>
      </c>
    </row>
    <row r="746" ht="15.75" customHeight="1">
      <c r="A746" s="86"/>
      <c r="B746" s="86"/>
      <c r="C746" s="87"/>
      <c r="D746" s="87" t="s">
        <v>418</v>
      </c>
      <c r="E746" s="65" t="str">
        <f t="array" ref="E746">_xlfn.XLOOKUP(D746,Prices!A:A,Prices!B:B,"-")</f>
        <v>-</v>
      </c>
      <c r="F746" s="88" t="str">
        <f t="shared" si="13"/>
        <v>-</v>
      </c>
      <c r="G746" s="89">
        <v>0.35</v>
      </c>
    </row>
    <row r="747" ht="15.75" customHeight="1">
      <c r="A747" s="86"/>
      <c r="B747" s="86"/>
      <c r="C747" s="87"/>
      <c r="D747" s="87" t="s">
        <v>18</v>
      </c>
      <c r="E747" s="65">
        <f t="array" ref="E747">_xlfn.XLOOKUP(D747,Prices!A:A,Prices!B:B,"-")</f>
        <v>24.99</v>
      </c>
      <c r="F747" s="88">
        <f t="shared" si="13"/>
        <v>16.7433</v>
      </c>
      <c r="G747" s="89">
        <v>0.33</v>
      </c>
    </row>
    <row r="748" ht="15.75" customHeight="1">
      <c r="A748" s="86"/>
      <c r="B748" s="86"/>
      <c r="C748" s="87"/>
      <c r="D748" s="87" t="s">
        <v>32</v>
      </c>
      <c r="E748" s="65">
        <f t="array" ref="E748">_xlfn.XLOOKUP(D748,Prices!A:A,Prices!B:B,"-")</f>
        <v>24.99</v>
      </c>
      <c r="F748" s="88">
        <f t="shared" si="13"/>
        <v>16.7433</v>
      </c>
      <c r="G748" s="89">
        <v>0.33</v>
      </c>
    </row>
    <row r="749" ht="15.75" customHeight="1">
      <c r="A749" s="86"/>
      <c r="B749" s="86"/>
      <c r="C749" s="87"/>
      <c r="D749" s="87" t="s">
        <v>34</v>
      </c>
      <c r="E749" s="65">
        <f t="array" ref="E749">_xlfn.XLOOKUP(D749,Prices!A:A,Prices!B:B,"-")</f>
        <v>24.99</v>
      </c>
      <c r="F749" s="88">
        <f t="shared" si="13"/>
        <v>18.7425</v>
      </c>
      <c r="G749" s="89">
        <v>0.25</v>
      </c>
    </row>
    <row r="750" ht="15.75" customHeight="1">
      <c r="A750" s="86"/>
      <c r="B750" s="86"/>
      <c r="C750" s="87"/>
      <c r="D750" s="87" t="s">
        <v>307</v>
      </c>
      <c r="E750" s="65">
        <v>24.99</v>
      </c>
      <c r="F750" s="88">
        <f t="shared" si="13"/>
        <v>24.99</v>
      </c>
      <c r="G750" s="89">
        <v>0.0</v>
      </c>
    </row>
    <row r="751" ht="15.75" customHeight="1">
      <c r="A751" s="86">
        <v>45882.0</v>
      </c>
      <c r="B751" s="86">
        <v>45896.0</v>
      </c>
      <c r="C751" s="87" t="s">
        <v>290</v>
      </c>
      <c r="D751" s="87" t="s">
        <v>17</v>
      </c>
      <c r="E751" s="65">
        <f t="array" ref="E751">_xlfn.XLOOKUP(D751,Prices!A:A,Prices!B:B,"-")</f>
        <v>39.99</v>
      </c>
      <c r="F751" s="88">
        <f t="shared" si="13"/>
        <v>19.995</v>
      </c>
      <c r="G751" s="89">
        <v>0.5</v>
      </c>
    </row>
    <row r="752" ht="15.75" customHeight="1">
      <c r="A752" s="86">
        <v>45896.0</v>
      </c>
      <c r="B752" s="86">
        <v>45910.0</v>
      </c>
      <c r="C752" s="87" t="s">
        <v>421</v>
      </c>
      <c r="D752" s="87" t="s">
        <v>19</v>
      </c>
      <c r="E752" s="65">
        <f t="array" ref="E752">_xlfn.XLOOKUP(D752,Prices!A:A,Prices!B:B,"-")</f>
        <v>69.99</v>
      </c>
      <c r="F752" s="88">
        <f t="shared" si="13"/>
        <v>34.995</v>
      </c>
      <c r="G752" s="89">
        <v>0.5</v>
      </c>
    </row>
    <row r="753" ht="15.75" customHeight="1">
      <c r="A753" s="86">
        <v>45896.0</v>
      </c>
      <c r="B753" s="86">
        <v>45910.0</v>
      </c>
      <c r="C753" s="87" t="s">
        <v>421</v>
      </c>
      <c r="D753" s="87" t="s">
        <v>20</v>
      </c>
      <c r="E753" s="65">
        <f t="array" ref="E753">_xlfn.XLOOKUP(D753,Prices!A:A,Prices!B:B,"-")</f>
        <v>109.99</v>
      </c>
      <c r="F753" s="88">
        <f t="shared" si="13"/>
        <v>76.993</v>
      </c>
      <c r="G753" s="89">
        <v>0.3</v>
      </c>
    </row>
    <row r="754" ht="15.75" customHeight="1">
      <c r="A754" s="86">
        <v>45896.0</v>
      </c>
      <c r="B754" s="86">
        <v>45910.0</v>
      </c>
      <c r="C754" s="87" t="s">
        <v>421</v>
      </c>
      <c r="D754" s="87" t="s">
        <v>268</v>
      </c>
      <c r="E754" s="65" t="s">
        <v>4</v>
      </c>
      <c r="F754" s="88" t="str">
        <f t="shared" si="13"/>
        <v>-</v>
      </c>
      <c r="G754" s="89">
        <v>0.25</v>
      </c>
    </row>
    <row r="755" ht="15.75" customHeight="1">
      <c r="A755" s="86">
        <v>45896.0</v>
      </c>
      <c r="B755" s="86">
        <v>45910.0</v>
      </c>
      <c r="C755" s="87" t="s">
        <v>421</v>
      </c>
      <c r="D755" s="87" t="s">
        <v>265</v>
      </c>
      <c r="E755" s="65" t="s">
        <v>4</v>
      </c>
      <c r="F755" s="88" t="str">
        <f t="shared" si="13"/>
        <v>-</v>
      </c>
      <c r="G755" s="89">
        <v>0.33</v>
      </c>
    </row>
    <row r="756" ht="15.75" customHeight="1">
      <c r="A756" s="86">
        <v>45896.0</v>
      </c>
      <c r="B756" s="86">
        <v>45910.0</v>
      </c>
      <c r="C756" s="87" t="s">
        <v>421</v>
      </c>
      <c r="D756" s="87" t="s">
        <v>261</v>
      </c>
      <c r="E756" s="65" t="s">
        <v>4</v>
      </c>
      <c r="F756" s="88" t="str">
        <f t="shared" si="13"/>
        <v>-</v>
      </c>
      <c r="G756" s="89">
        <v>0.33</v>
      </c>
    </row>
    <row r="757" ht="15.75" customHeight="1">
      <c r="A757" s="86">
        <v>45898.0</v>
      </c>
      <c r="B757" s="86">
        <v>45901.0</v>
      </c>
      <c r="C757" s="87" t="s">
        <v>480</v>
      </c>
      <c r="D757" s="87" t="s">
        <v>25</v>
      </c>
      <c r="E757" s="65">
        <f t="array" ref="E757">_xlfn.XLOOKUP(D757,Prices!A:A,Prices!B:B,"-")</f>
        <v>79.99</v>
      </c>
      <c r="F757" s="88">
        <f t="shared" si="13"/>
        <v>47.994</v>
      </c>
      <c r="G757" s="89">
        <v>0.4</v>
      </c>
    </row>
    <row r="758" ht="15.75" customHeight="1">
      <c r="A758" s="86">
        <v>45898.0</v>
      </c>
      <c r="B758" s="86">
        <v>45901.0</v>
      </c>
      <c r="C758" s="87" t="s">
        <v>480</v>
      </c>
      <c r="D758" s="87" t="s">
        <v>18</v>
      </c>
      <c r="E758" s="65">
        <f t="array" ref="E758">_xlfn.XLOOKUP(D758,Prices!A:A,Prices!B:B,"-")</f>
        <v>24.99</v>
      </c>
      <c r="F758" s="88">
        <f t="shared" si="13"/>
        <v>16.7433</v>
      </c>
      <c r="G758" s="89">
        <v>0.33</v>
      </c>
    </row>
    <row r="759" ht="15.75" customHeight="1">
      <c r="A759" s="86">
        <v>45898.0</v>
      </c>
      <c r="B759" s="86">
        <v>45901.0</v>
      </c>
      <c r="C759" s="87" t="s">
        <v>480</v>
      </c>
      <c r="D759" s="87" t="s">
        <v>32</v>
      </c>
      <c r="E759" s="65">
        <f t="array" ref="E759">_xlfn.XLOOKUP(D759,Prices!A:A,Prices!B:B,"-")</f>
        <v>24.99</v>
      </c>
      <c r="F759" s="88">
        <f t="shared" si="13"/>
        <v>16.7433</v>
      </c>
      <c r="G759" s="89">
        <v>0.33</v>
      </c>
    </row>
    <row r="760" ht="15.75" customHeight="1">
      <c r="A760" s="86">
        <v>45898.0</v>
      </c>
      <c r="B760" s="86">
        <v>45901.0</v>
      </c>
      <c r="C760" s="87" t="s">
        <v>480</v>
      </c>
      <c r="D760" s="87" t="s">
        <v>34</v>
      </c>
      <c r="E760" s="65">
        <f t="array" ref="E760">_xlfn.XLOOKUP(D760,Prices!A:A,Prices!B:B,"-")</f>
        <v>24.99</v>
      </c>
      <c r="F760" s="88">
        <f t="shared" si="13"/>
        <v>16.7433</v>
      </c>
      <c r="G760" s="89">
        <v>0.33</v>
      </c>
    </row>
    <row r="761" ht="15.75" customHeight="1">
      <c r="A761" s="86">
        <v>45898.0</v>
      </c>
      <c r="B761" s="86">
        <v>45901.0</v>
      </c>
      <c r="C761" s="87" t="s">
        <v>480</v>
      </c>
      <c r="D761" s="87" t="s">
        <v>307</v>
      </c>
      <c r="E761" s="65">
        <v>24.99</v>
      </c>
      <c r="F761" s="88">
        <f t="shared" si="13"/>
        <v>19.992</v>
      </c>
      <c r="G761" s="89">
        <v>0.2</v>
      </c>
    </row>
    <row r="762" ht="15.75" customHeight="1">
      <c r="A762" s="86">
        <v>45898.0</v>
      </c>
      <c r="B762" s="86">
        <v>45901.0</v>
      </c>
      <c r="C762" s="87" t="s">
        <v>480</v>
      </c>
      <c r="D762" s="87" t="s">
        <v>24</v>
      </c>
      <c r="E762" s="65">
        <f t="array" ref="E762">_xlfn.XLOOKUP(D762,Prices!A:A,Prices!B:B,"-")</f>
        <v>29.99</v>
      </c>
      <c r="F762" s="88">
        <f t="shared" si="13"/>
        <v>14.995</v>
      </c>
      <c r="G762" s="89">
        <v>0.5</v>
      </c>
    </row>
    <row r="763" ht="15.75" customHeight="1">
      <c r="A763" s="86">
        <v>45910.0</v>
      </c>
      <c r="B763" s="86">
        <v>45924.0</v>
      </c>
      <c r="C763" s="87" t="s">
        <v>422</v>
      </c>
      <c r="D763" s="87" t="s">
        <v>25</v>
      </c>
      <c r="E763" s="65">
        <v>79.99</v>
      </c>
      <c r="F763" s="88">
        <f t="shared" si="13"/>
        <v>47.994</v>
      </c>
      <c r="G763" s="89">
        <v>0.4</v>
      </c>
    </row>
    <row r="764" ht="15.75" customHeight="1">
      <c r="A764" s="86">
        <v>45910.0</v>
      </c>
      <c r="B764" s="86">
        <v>45924.0</v>
      </c>
      <c r="C764" s="87" t="s">
        <v>422</v>
      </c>
      <c r="D764" s="87" t="s">
        <v>353</v>
      </c>
      <c r="E764" s="65" t="s">
        <v>4</v>
      </c>
      <c r="F764" s="88" t="str">
        <f t="shared" si="13"/>
        <v>-</v>
      </c>
      <c r="G764" s="89">
        <v>0.35</v>
      </c>
    </row>
    <row r="765" ht="15.75" customHeight="1">
      <c r="A765" s="86">
        <v>45910.0</v>
      </c>
      <c r="B765" s="86">
        <v>45924.0</v>
      </c>
      <c r="C765" s="87" t="s">
        <v>422</v>
      </c>
      <c r="D765" s="87" t="s">
        <v>332</v>
      </c>
      <c r="E765" s="65" t="s">
        <v>4</v>
      </c>
      <c r="F765" s="88" t="str">
        <f t="shared" si="13"/>
        <v>-</v>
      </c>
      <c r="G765" s="89">
        <v>0.35</v>
      </c>
    </row>
    <row r="766" ht="15.75" customHeight="1">
      <c r="A766" s="86">
        <v>45910.0</v>
      </c>
      <c r="B766" s="86">
        <v>45924.0</v>
      </c>
      <c r="C766" s="87" t="s">
        <v>422</v>
      </c>
      <c r="D766" s="87" t="s">
        <v>343</v>
      </c>
      <c r="E766" s="65" t="s">
        <v>4</v>
      </c>
      <c r="F766" s="88" t="str">
        <f t="shared" si="13"/>
        <v>-</v>
      </c>
      <c r="G766" s="89">
        <v>0.35</v>
      </c>
    </row>
    <row r="767" ht="15.75" customHeight="1">
      <c r="A767" s="86">
        <v>45910.0</v>
      </c>
      <c r="B767" s="86">
        <v>45924.0</v>
      </c>
      <c r="C767" s="87" t="s">
        <v>422</v>
      </c>
      <c r="D767" s="87" t="s">
        <v>407</v>
      </c>
      <c r="E767" s="65" t="s">
        <v>4</v>
      </c>
      <c r="F767" s="88" t="str">
        <f t="shared" si="13"/>
        <v>-</v>
      </c>
      <c r="G767" s="89">
        <v>0.35</v>
      </c>
    </row>
    <row r="768" ht="15.75" customHeight="1">
      <c r="A768" s="86">
        <v>45910.0</v>
      </c>
      <c r="B768" s="86">
        <v>45924.0</v>
      </c>
      <c r="C768" s="87" t="s">
        <v>422</v>
      </c>
      <c r="D768" s="87" t="s">
        <v>340</v>
      </c>
      <c r="E768" s="65" t="s">
        <v>4</v>
      </c>
      <c r="F768" s="88" t="str">
        <f t="shared" si="13"/>
        <v>-</v>
      </c>
      <c r="G768" s="89">
        <v>0.35</v>
      </c>
    </row>
    <row r="769" ht="15.75" customHeight="1">
      <c r="A769" s="86">
        <v>45910.0</v>
      </c>
      <c r="B769" s="86">
        <v>45924.0</v>
      </c>
      <c r="C769" s="87" t="s">
        <v>422</v>
      </c>
      <c r="D769" s="87" t="s">
        <v>446</v>
      </c>
      <c r="E769" s="65" t="s">
        <v>4</v>
      </c>
      <c r="F769" s="88" t="str">
        <f t="shared" si="13"/>
        <v>-</v>
      </c>
      <c r="G769" s="89">
        <v>0.35</v>
      </c>
    </row>
    <row r="770" ht="15.75" customHeight="1">
      <c r="A770" s="86">
        <v>45910.0</v>
      </c>
      <c r="B770" s="86">
        <v>45924.0</v>
      </c>
      <c r="C770" s="87" t="s">
        <v>422</v>
      </c>
      <c r="D770" s="87" t="s">
        <v>331</v>
      </c>
      <c r="E770" s="65" t="s">
        <v>4</v>
      </c>
      <c r="F770" s="88" t="str">
        <f t="shared" si="13"/>
        <v>-</v>
      </c>
      <c r="G770" s="89">
        <v>0.35</v>
      </c>
    </row>
    <row r="771" ht="15.75" customHeight="1">
      <c r="A771" s="86">
        <v>45910.0</v>
      </c>
      <c r="B771" s="86">
        <v>45924.0</v>
      </c>
      <c r="C771" s="87" t="s">
        <v>422</v>
      </c>
      <c r="D771" s="87" t="s">
        <v>335</v>
      </c>
      <c r="E771" s="65" t="s">
        <v>4</v>
      </c>
      <c r="F771" s="88" t="str">
        <f t="shared" si="13"/>
        <v>-</v>
      </c>
      <c r="G771" s="89">
        <v>0.35</v>
      </c>
    </row>
    <row r="772" ht="15.75" customHeight="1">
      <c r="A772" s="86">
        <v>45910.0</v>
      </c>
      <c r="B772" s="86">
        <v>45924.0</v>
      </c>
      <c r="C772" s="87" t="s">
        <v>422</v>
      </c>
      <c r="D772" s="87" t="s">
        <v>347</v>
      </c>
      <c r="E772" s="65" t="s">
        <v>4</v>
      </c>
      <c r="F772" s="88" t="str">
        <f t="shared" si="13"/>
        <v>-</v>
      </c>
      <c r="G772" s="89">
        <v>0.35</v>
      </c>
    </row>
    <row r="773" ht="15.75" customHeight="1">
      <c r="A773" s="86">
        <v>45910.0</v>
      </c>
      <c r="B773" s="86">
        <v>45924.0</v>
      </c>
      <c r="C773" s="87" t="s">
        <v>422</v>
      </c>
      <c r="D773" s="87" t="s">
        <v>447</v>
      </c>
      <c r="E773" s="65" t="s">
        <v>4</v>
      </c>
      <c r="F773" s="88" t="str">
        <f t="shared" si="13"/>
        <v>-</v>
      </c>
      <c r="G773" s="89">
        <v>0.35</v>
      </c>
    </row>
    <row r="774" ht="15.75" customHeight="1">
      <c r="A774" s="86">
        <v>45910.0</v>
      </c>
      <c r="B774" s="86">
        <v>45924.0</v>
      </c>
      <c r="C774" s="87" t="s">
        <v>422</v>
      </c>
      <c r="D774" s="87" t="s">
        <v>409</v>
      </c>
      <c r="E774" s="65" t="s">
        <v>4</v>
      </c>
      <c r="F774" s="88" t="str">
        <f t="shared" si="13"/>
        <v>-</v>
      </c>
      <c r="G774" s="89">
        <v>0.35</v>
      </c>
    </row>
    <row r="775" ht="15.75" customHeight="1">
      <c r="A775" s="86">
        <v>45910.0</v>
      </c>
      <c r="B775" s="86">
        <v>45924.0</v>
      </c>
      <c r="C775" s="87" t="s">
        <v>422</v>
      </c>
      <c r="D775" s="87" t="s">
        <v>342</v>
      </c>
      <c r="E775" s="65" t="s">
        <v>4</v>
      </c>
      <c r="F775" s="88" t="str">
        <f t="shared" si="13"/>
        <v>-</v>
      </c>
      <c r="G775" s="89">
        <v>0.35</v>
      </c>
    </row>
    <row r="776" ht="15.75" customHeight="1">
      <c r="A776" s="86">
        <v>45910.0</v>
      </c>
      <c r="B776" s="86">
        <v>45924.0</v>
      </c>
      <c r="C776" s="87" t="s">
        <v>422</v>
      </c>
      <c r="D776" s="87" t="s">
        <v>341</v>
      </c>
      <c r="E776" s="65" t="s">
        <v>4</v>
      </c>
      <c r="F776" s="88" t="str">
        <f t="shared" si="13"/>
        <v>-</v>
      </c>
      <c r="G776" s="89">
        <v>0.2</v>
      </c>
    </row>
    <row r="777" ht="15.75" customHeight="1">
      <c r="A777" s="86">
        <v>45910.0</v>
      </c>
      <c r="B777" s="86">
        <v>45924.0</v>
      </c>
      <c r="C777" s="87" t="s">
        <v>422</v>
      </c>
      <c r="D777" s="87" t="s">
        <v>411</v>
      </c>
      <c r="E777" s="65" t="s">
        <v>4</v>
      </c>
      <c r="F777" s="88" t="str">
        <f t="shared" si="13"/>
        <v>-</v>
      </c>
      <c r="G777" s="89">
        <v>0.35</v>
      </c>
    </row>
    <row r="778" ht="15.75" customHeight="1">
      <c r="A778" s="86">
        <v>45910.0</v>
      </c>
      <c r="B778" s="86">
        <v>45924.0</v>
      </c>
      <c r="C778" s="87" t="s">
        <v>422</v>
      </c>
      <c r="D778" s="87" t="s">
        <v>448</v>
      </c>
      <c r="E778" s="65" t="s">
        <v>4</v>
      </c>
      <c r="F778" s="88" t="str">
        <f t="shared" si="13"/>
        <v>-</v>
      </c>
      <c r="G778" s="89">
        <v>0.35</v>
      </c>
    </row>
    <row r="779" ht="15.75" customHeight="1">
      <c r="A779" s="86">
        <v>45910.0</v>
      </c>
      <c r="B779" s="86">
        <v>45924.0</v>
      </c>
      <c r="C779" s="87" t="s">
        <v>422</v>
      </c>
      <c r="D779" s="87" t="s">
        <v>449</v>
      </c>
      <c r="E779" s="65" t="s">
        <v>4</v>
      </c>
      <c r="F779" s="88" t="str">
        <f t="shared" si="13"/>
        <v>-</v>
      </c>
      <c r="G779" s="89">
        <v>0.35</v>
      </c>
    </row>
    <row r="780" ht="15.75" customHeight="1">
      <c r="A780" s="86">
        <v>45910.0</v>
      </c>
      <c r="B780" s="86">
        <v>45924.0</v>
      </c>
      <c r="C780" s="87" t="s">
        <v>422</v>
      </c>
      <c r="D780" s="87" t="s">
        <v>195</v>
      </c>
      <c r="E780" s="65" t="s">
        <v>4</v>
      </c>
      <c r="F780" s="88" t="str">
        <f t="shared" si="13"/>
        <v>-</v>
      </c>
      <c r="G780" s="89">
        <v>0.35</v>
      </c>
    </row>
    <row r="781" ht="15.75" customHeight="1">
      <c r="A781" s="86">
        <v>45910.0</v>
      </c>
      <c r="B781" s="86">
        <v>45924.0</v>
      </c>
      <c r="C781" s="87" t="s">
        <v>422</v>
      </c>
      <c r="D781" s="87" t="s">
        <v>296</v>
      </c>
      <c r="E781" s="65" t="s">
        <v>4</v>
      </c>
      <c r="F781" s="88" t="str">
        <f t="shared" si="13"/>
        <v>-</v>
      </c>
      <c r="G781" s="89">
        <v>0.35</v>
      </c>
    </row>
    <row r="782" ht="15.75" customHeight="1">
      <c r="A782" s="86">
        <v>45910.0</v>
      </c>
      <c r="B782" s="86">
        <v>45924.0</v>
      </c>
      <c r="C782" s="87" t="s">
        <v>422</v>
      </c>
      <c r="D782" s="87" t="s">
        <v>221</v>
      </c>
      <c r="E782" s="65" t="s">
        <v>4</v>
      </c>
      <c r="F782" s="88" t="str">
        <f t="shared" si="13"/>
        <v>-</v>
      </c>
      <c r="G782" s="89">
        <v>0.35</v>
      </c>
    </row>
    <row r="783" ht="15.75" customHeight="1">
      <c r="A783" s="86">
        <v>45910.0</v>
      </c>
      <c r="B783" s="86">
        <v>45924.0</v>
      </c>
      <c r="C783" s="87" t="s">
        <v>422</v>
      </c>
      <c r="D783" s="87" t="s">
        <v>224</v>
      </c>
      <c r="E783" s="65" t="s">
        <v>4</v>
      </c>
      <c r="F783" s="88" t="str">
        <f t="shared" si="13"/>
        <v>-</v>
      </c>
      <c r="G783" s="89">
        <v>0.35</v>
      </c>
    </row>
    <row r="784" ht="15.75" customHeight="1">
      <c r="A784" s="86">
        <v>45910.0</v>
      </c>
      <c r="B784" s="86">
        <v>45924.0</v>
      </c>
      <c r="C784" s="87" t="s">
        <v>422</v>
      </c>
      <c r="D784" s="87" t="s">
        <v>226</v>
      </c>
      <c r="E784" s="65" t="s">
        <v>4</v>
      </c>
      <c r="F784" s="88" t="str">
        <f t="shared" si="13"/>
        <v>-</v>
      </c>
      <c r="G784" s="89">
        <v>0.3</v>
      </c>
    </row>
    <row r="785" ht="15.75" customHeight="1">
      <c r="A785" s="86">
        <v>45910.0</v>
      </c>
      <c r="B785" s="86">
        <v>45924.0</v>
      </c>
      <c r="C785" s="87" t="s">
        <v>422</v>
      </c>
      <c r="D785" s="87" t="s">
        <v>229</v>
      </c>
      <c r="E785" s="65" t="s">
        <v>4</v>
      </c>
      <c r="F785" s="88" t="str">
        <f t="shared" si="13"/>
        <v>-</v>
      </c>
      <c r="G785" s="89">
        <v>0.25</v>
      </c>
    </row>
    <row r="786" ht="15.75" customHeight="1">
      <c r="A786" s="86">
        <v>45910.0</v>
      </c>
      <c r="B786" s="86">
        <v>45924.0</v>
      </c>
      <c r="C786" s="87" t="s">
        <v>422</v>
      </c>
      <c r="D786" s="87" t="s">
        <v>201</v>
      </c>
      <c r="E786" s="65" t="s">
        <v>4</v>
      </c>
      <c r="F786" s="88" t="str">
        <f t="shared" si="13"/>
        <v>-</v>
      </c>
      <c r="G786" s="89">
        <v>0.35</v>
      </c>
    </row>
    <row r="787" ht="15.75" customHeight="1">
      <c r="A787" s="86">
        <v>45910.0</v>
      </c>
      <c r="B787" s="86">
        <v>45924.0</v>
      </c>
      <c r="C787" s="87" t="s">
        <v>422</v>
      </c>
      <c r="D787" s="87" t="s">
        <v>203</v>
      </c>
      <c r="E787" s="65" t="s">
        <v>4</v>
      </c>
      <c r="F787" s="88" t="str">
        <f t="shared" si="13"/>
        <v>-</v>
      </c>
      <c r="G787" s="89">
        <v>0.35</v>
      </c>
    </row>
    <row r="788" ht="15.75" customHeight="1">
      <c r="A788" s="86">
        <v>45910.0</v>
      </c>
      <c r="B788" s="86">
        <v>45924.0</v>
      </c>
      <c r="C788" s="87" t="s">
        <v>422</v>
      </c>
      <c r="D788" s="87" t="s">
        <v>205</v>
      </c>
      <c r="E788" s="65" t="s">
        <v>4</v>
      </c>
      <c r="F788" s="88" t="str">
        <f t="shared" si="13"/>
        <v>-</v>
      </c>
      <c r="G788" s="89">
        <v>0.35</v>
      </c>
    </row>
    <row r="789" ht="15.75" customHeight="1">
      <c r="A789" s="86">
        <v>45910.0</v>
      </c>
      <c r="B789" s="86">
        <v>45924.0</v>
      </c>
      <c r="C789" s="87" t="s">
        <v>422</v>
      </c>
      <c r="D789" s="87" t="s">
        <v>209</v>
      </c>
      <c r="E789" s="65" t="s">
        <v>4</v>
      </c>
      <c r="F789" s="88" t="str">
        <f t="shared" si="13"/>
        <v>-</v>
      </c>
      <c r="G789" s="89">
        <v>0.35</v>
      </c>
    </row>
    <row r="790" ht="15.75" customHeight="1">
      <c r="A790" s="86">
        <v>45910.0</v>
      </c>
      <c r="B790" s="86">
        <v>45924.0</v>
      </c>
      <c r="C790" s="87" t="s">
        <v>422</v>
      </c>
      <c r="D790" s="87" t="s">
        <v>291</v>
      </c>
      <c r="E790" s="65" t="s">
        <v>4</v>
      </c>
      <c r="F790" s="88" t="str">
        <f t="shared" si="13"/>
        <v>-</v>
      </c>
      <c r="G790" s="89">
        <v>0.35</v>
      </c>
    </row>
    <row r="791" ht="15.75" customHeight="1">
      <c r="A791" s="86">
        <v>45910.0</v>
      </c>
      <c r="B791" s="86">
        <v>45924.0</v>
      </c>
      <c r="C791" s="87" t="s">
        <v>422</v>
      </c>
      <c r="D791" s="87" t="s">
        <v>292</v>
      </c>
      <c r="E791" s="65" t="s">
        <v>4</v>
      </c>
      <c r="F791" s="88" t="str">
        <f t="shared" si="13"/>
        <v>-</v>
      </c>
      <c r="G791" s="89">
        <v>0.35</v>
      </c>
    </row>
    <row r="792" ht="15.75" customHeight="1">
      <c r="A792" s="86">
        <v>45910.0</v>
      </c>
      <c r="B792" s="86">
        <v>45924.0</v>
      </c>
      <c r="C792" s="87" t="s">
        <v>422</v>
      </c>
      <c r="D792" s="87" t="s">
        <v>293</v>
      </c>
      <c r="E792" s="65" t="s">
        <v>4</v>
      </c>
      <c r="F792" s="88" t="str">
        <f t="shared" si="13"/>
        <v>-</v>
      </c>
      <c r="G792" s="89">
        <v>0.35</v>
      </c>
    </row>
    <row r="793" ht="15.75" customHeight="1">
      <c r="A793" s="86">
        <v>45910.0</v>
      </c>
      <c r="B793" s="86">
        <v>45924.0</v>
      </c>
      <c r="C793" s="87" t="s">
        <v>422</v>
      </c>
      <c r="D793" s="87" t="s">
        <v>295</v>
      </c>
      <c r="E793" s="65" t="s">
        <v>4</v>
      </c>
      <c r="F793" s="88" t="str">
        <f t="shared" si="13"/>
        <v>-</v>
      </c>
      <c r="G793" s="89">
        <v>0.35</v>
      </c>
    </row>
    <row r="794" ht="15.75" customHeight="1">
      <c r="A794" s="86">
        <v>45910.0</v>
      </c>
      <c r="B794" s="86">
        <v>45924.0</v>
      </c>
      <c r="C794" s="87" t="s">
        <v>422</v>
      </c>
      <c r="D794" s="87" t="s">
        <v>452</v>
      </c>
      <c r="E794" s="65" t="s">
        <v>4</v>
      </c>
      <c r="F794" s="88" t="str">
        <f t="shared" si="13"/>
        <v>-</v>
      </c>
      <c r="G794" s="89">
        <v>0.35</v>
      </c>
    </row>
    <row r="795" ht="15.75" customHeight="1">
      <c r="A795" s="86">
        <v>45910.0</v>
      </c>
      <c r="B795" s="86">
        <v>45924.0</v>
      </c>
      <c r="C795" s="87" t="s">
        <v>422</v>
      </c>
      <c r="D795" s="87" t="s">
        <v>414</v>
      </c>
      <c r="E795" s="65" t="s">
        <v>4</v>
      </c>
      <c r="F795" s="88" t="str">
        <f t="shared" si="13"/>
        <v>-</v>
      </c>
      <c r="G795" s="89">
        <v>0.35</v>
      </c>
    </row>
    <row r="796" ht="15.75" customHeight="1">
      <c r="A796" s="86">
        <v>45910.0</v>
      </c>
      <c r="B796" s="86">
        <v>45924.0</v>
      </c>
      <c r="C796" s="87" t="s">
        <v>422</v>
      </c>
      <c r="D796" s="87" t="s">
        <v>329</v>
      </c>
      <c r="E796" s="65" t="s">
        <v>4</v>
      </c>
      <c r="F796" s="88" t="str">
        <f t="shared" si="13"/>
        <v>-</v>
      </c>
      <c r="G796" s="89">
        <v>0.35</v>
      </c>
    </row>
    <row r="797" ht="15.75" customHeight="1">
      <c r="A797" s="86">
        <v>45910.0</v>
      </c>
      <c r="B797" s="86">
        <v>45924.0</v>
      </c>
      <c r="C797" s="87" t="s">
        <v>422</v>
      </c>
      <c r="D797" s="87" t="s">
        <v>455</v>
      </c>
      <c r="E797" s="65" t="s">
        <v>4</v>
      </c>
      <c r="F797" s="88" t="str">
        <f t="shared" si="13"/>
        <v>-</v>
      </c>
      <c r="G797" s="89">
        <v>0.35</v>
      </c>
    </row>
    <row r="798" ht="15.75" customHeight="1">
      <c r="A798" s="86">
        <v>45910.0</v>
      </c>
      <c r="B798" s="86">
        <v>45924.0</v>
      </c>
      <c r="C798" s="87" t="s">
        <v>422</v>
      </c>
      <c r="D798" s="87" t="s">
        <v>418</v>
      </c>
      <c r="E798" s="65" t="s">
        <v>4</v>
      </c>
      <c r="F798" s="88" t="str">
        <f t="shared" si="13"/>
        <v>-</v>
      </c>
      <c r="G798" s="89">
        <v>0.35</v>
      </c>
    </row>
    <row r="799" ht="15.75" customHeight="1">
      <c r="A799" s="86">
        <v>45910.0</v>
      </c>
      <c r="B799" s="86">
        <v>45924.0</v>
      </c>
      <c r="C799" s="87" t="s">
        <v>422</v>
      </c>
      <c r="D799" s="87" t="s">
        <v>336</v>
      </c>
      <c r="E799" s="65" t="s">
        <v>4</v>
      </c>
      <c r="F799" s="88" t="str">
        <f t="shared" si="13"/>
        <v>-</v>
      </c>
      <c r="G799" s="89">
        <v>0.35</v>
      </c>
    </row>
    <row r="800" ht="15.75" customHeight="1">
      <c r="A800" s="86">
        <v>45910.0</v>
      </c>
      <c r="B800" s="86">
        <v>45924.0</v>
      </c>
      <c r="C800" s="87" t="s">
        <v>422</v>
      </c>
      <c r="D800" s="87" t="s">
        <v>18</v>
      </c>
      <c r="E800" s="65">
        <v>24.99</v>
      </c>
      <c r="F800" s="88">
        <f t="shared" si="13"/>
        <v>16.7433</v>
      </c>
      <c r="G800" s="89">
        <v>0.33</v>
      </c>
    </row>
    <row r="801" ht="15.75" customHeight="1">
      <c r="A801" s="86">
        <v>45910.0</v>
      </c>
      <c r="B801" s="86">
        <v>45924.0</v>
      </c>
      <c r="C801" s="87" t="s">
        <v>422</v>
      </c>
      <c r="D801" s="87" t="s">
        <v>32</v>
      </c>
      <c r="E801" s="65">
        <v>24.99</v>
      </c>
      <c r="F801" s="88">
        <f t="shared" si="13"/>
        <v>16.7433</v>
      </c>
      <c r="G801" s="89">
        <v>0.33</v>
      </c>
    </row>
    <row r="802" ht="15.75" customHeight="1">
      <c r="A802" s="86">
        <v>45910.0</v>
      </c>
      <c r="B802" s="86">
        <v>45924.0</v>
      </c>
      <c r="C802" s="87" t="s">
        <v>422</v>
      </c>
      <c r="D802" s="87" t="s">
        <v>34</v>
      </c>
      <c r="E802" s="65">
        <v>24.99</v>
      </c>
      <c r="F802" s="88">
        <f t="shared" si="13"/>
        <v>16.7433</v>
      </c>
      <c r="G802" s="89">
        <v>0.33</v>
      </c>
    </row>
    <row r="803" ht="15.75" customHeight="1">
      <c r="A803" s="86">
        <v>45910.0</v>
      </c>
      <c r="B803" s="86">
        <v>45924.0</v>
      </c>
      <c r="C803" s="87" t="s">
        <v>422</v>
      </c>
      <c r="D803" s="87" t="s">
        <v>307</v>
      </c>
      <c r="E803" s="65">
        <v>24.99</v>
      </c>
      <c r="F803" s="88">
        <f t="shared" si="13"/>
        <v>19.992</v>
      </c>
      <c r="G803" s="89">
        <v>0.2</v>
      </c>
    </row>
    <row r="804" ht="15.75" customHeight="1">
      <c r="A804" s="86">
        <v>45910.0</v>
      </c>
      <c r="B804" s="86">
        <v>45924.0</v>
      </c>
      <c r="C804" s="87" t="s">
        <v>422</v>
      </c>
      <c r="D804" s="87" t="s">
        <v>24</v>
      </c>
      <c r="E804" s="65">
        <v>29.99</v>
      </c>
      <c r="F804" s="88">
        <f t="shared" si="13"/>
        <v>14.995</v>
      </c>
      <c r="G804" s="89">
        <v>0.5</v>
      </c>
    </row>
    <row r="805" ht="15.75" customHeight="1">
      <c r="A805" s="86">
        <v>45924.0</v>
      </c>
      <c r="B805" s="86">
        <v>45938.0</v>
      </c>
      <c r="C805" s="87" t="s">
        <v>614</v>
      </c>
      <c r="D805" s="87" t="s">
        <v>17</v>
      </c>
      <c r="E805" s="65">
        <v>39.99</v>
      </c>
      <c r="F805" s="88">
        <f t="shared" si="13"/>
        <v>19.995</v>
      </c>
      <c r="G805" s="89">
        <v>0.5</v>
      </c>
    </row>
    <row r="806" ht="15.75" customHeight="1">
      <c r="A806" s="86">
        <v>45938.0</v>
      </c>
      <c r="B806" s="86">
        <v>45952.0</v>
      </c>
      <c r="C806" s="87" t="s">
        <v>423</v>
      </c>
      <c r="D806" s="87" t="s">
        <v>19</v>
      </c>
      <c r="E806" s="65">
        <v>69.99</v>
      </c>
      <c r="F806" s="88">
        <f t="shared" si="13"/>
        <v>34.995</v>
      </c>
      <c r="G806" s="89">
        <v>0.5</v>
      </c>
    </row>
    <row r="807" ht="15.75" customHeight="1">
      <c r="A807" s="86">
        <v>45938.0</v>
      </c>
      <c r="B807" s="86">
        <v>45952.0</v>
      </c>
      <c r="C807" s="87" t="s">
        <v>423</v>
      </c>
      <c r="D807" s="87" t="s">
        <v>268</v>
      </c>
      <c r="E807" s="65" t="s">
        <v>4</v>
      </c>
      <c r="F807" s="88" t="str">
        <f t="shared" si="13"/>
        <v>-</v>
      </c>
      <c r="G807" s="89">
        <v>0.25</v>
      </c>
    </row>
    <row r="808" ht="15.75" customHeight="1">
      <c r="A808" s="86">
        <v>45938.0</v>
      </c>
      <c r="B808" s="86">
        <v>45952.0</v>
      </c>
      <c r="C808" s="87" t="s">
        <v>423</v>
      </c>
      <c r="D808" s="87" t="s">
        <v>265</v>
      </c>
      <c r="E808" s="65" t="s">
        <v>4</v>
      </c>
      <c r="F808" s="88" t="str">
        <f t="shared" si="13"/>
        <v>-</v>
      </c>
      <c r="G808" s="89">
        <v>0.33</v>
      </c>
    </row>
    <row r="809" ht="15.75" customHeight="1">
      <c r="A809" s="86">
        <v>45938.0</v>
      </c>
      <c r="B809" s="86">
        <v>45952.0</v>
      </c>
      <c r="C809" s="87" t="s">
        <v>423</v>
      </c>
      <c r="D809" s="87" t="s">
        <v>261</v>
      </c>
      <c r="E809" s="65" t="s">
        <v>4</v>
      </c>
      <c r="F809" s="88" t="str">
        <f t="shared" si="13"/>
        <v>-</v>
      </c>
      <c r="G809" s="89">
        <v>0.33</v>
      </c>
    </row>
    <row r="810" ht="15.75" customHeight="1">
      <c r="A810" s="86">
        <v>45952.0</v>
      </c>
      <c r="B810" s="86">
        <v>45966.0</v>
      </c>
      <c r="C810" s="87" t="s">
        <v>424</v>
      </c>
      <c r="D810" s="87" t="s">
        <v>312</v>
      </c>
      <c r="E810" s="65">
        <v>129.99</v>
      </c>
      <c r="F810" s="88">
        <f t="shared" si="13"/>
        <v>89.6931</v>
      </c>
      <c r="G810" s="89">
        <v>0.31</v>
      </c>
    </row>
    <row r="811" ht="15.75" customHeight="1">
      <c r="A811" s="86">
        <v>45952.0</v>
      </c>
      <c r="B811" s="86">
        <v>45966.0</v>
      </c>
      <c r="C811" s="87" t="s">
        <v>424</v>
      </c>
      <c r="D811" s="87" t="s">
        <v>353</v>
      </c>
      <c r="E811" s="65" t="s">
        <v>4</v>
      </c>
      <c r="F811" s="88" t="str">
        <f t="shared" si="13"/>
        <v>-</v>
      </c>
      <c r="G811" s="89">
        <v>0.35</v>
      </c>
    </row>
    <row r="812" ht="15.75" customHeight="1">
      <c r="A812" s="86">
        <v>45952.0</v>
      </c>
      <c r="B812" s="86">
        <v>45966.0</v>
      </c>
      <c r="C812" s="87" t="s">
        <v>424</v>
      </c>
      <c r="D812" s="87" t="s">
        <v>332</v>
      </c>
      <c r="E812" s="65" t="s">
        <v>4</v>
      </c>
      <c r="F812" s="88" t="str">
        <f t="shared" si="13"/>
        <v>-</v>
      </c>
      <c r="G812" s="89">
        <v>0.35</v>
      </c>
    </row>
    <row r="813" ht="15.75" customHeight="1">
      <c r="A813" s="86">
        <v>45952.0</v>
      </c>
      <c r="B813" s="86">
        <v>45966.0</v>
      </c>
      <c r="C813" s="87" t="s">
        <v>424</v>
      </c>
      <c r="D813" s="87" t="s">
        <v>343</v>
      </c>
      <c r="E813" s="65" t="s">
        <v>4</v>
      </c>
      <c r="F813" s="88" t="str">
        <f t="shared" si="13"/>
        <v>-</v>
      </c>
      <c r="G813" s="89">
        <v>0.35</v>
      </c>
    </row>
    <row r="814" ht="15.75" customHeight="1">
      <c r="A814" s="86">
        <v>45952.0</v>
      </c>
      <c r="B814" s="86">
        <v>45966.0</v>
      </c>
      <c r="C814" s="87" t="s">
        <v>424</v>
      </c>
      <c r="D814" s="87" t="s">
        <v>407</v>
      </c>
      <c r="E814" s="65" t="s">
        <v>4</v>
      </c>
      <c r="F814" s="88" t="str">
        <f t="shared" si="13"/>
        <v>-</v>
      </c>
      <c r="G814" s="89">
        <v>0.35</v>
      </c>
    </row>
    <row r="815" ht="15.75" customHeight="1">
      <c r="A815" s="86">
        <v>45952.0</v>
      </c>
      <c r="B815" s="86">
        <v>45966.0</v>
      </c>
      <c r="C815" s="87" t="s">
        <v>424</v>
      </c>
      <c r="D815" s="87" t="s">
        <v>340</v>
      </c>
      <c r="E815" s="65" t="s">
        <v>4</v>
      </c>
      <c r="F815" s="88" t="str">
        <f t="shared" si="13"/>
        <v>-</v>
      </c>
      <c r="G815" s="89">
        <v>0.35</v>
      </c>
    </row>
    <row r="816" ht="15.75" customHeight="1">
      <c r="A816" s="86">
        <v>45952.0</v>
      </c>
      <c r="B816" s="86">
        <v>45966.0</v>
      </c>
      <c r="C816" s="87" t="s">
        <v>424</v>
      </c>
      <c r="D816" s="87" t="s">
        <v>446</v>
      </c>
      <c r="E816" s="65" t="s">
        <v>4</v>
      </c>
      <c r="F816" s="88" t="str">
        <f t="shared" si="13"/>
        <v>-</v>
      </c>
      <c r="G816" s="89">
        <v>0.35</v>
      </c>
    </row>
    <row r="817" ht="15.75" customHeight="1">
      <c r="A817" s="86">
        <v>45952.0</v>
      </c>
      <c r="B817" s="86">
        <v>45966.0</v>
      </c>
      <c r="C817" s="87" t="s">
        <v>424</v>
      </c>
      <c r="D817" s="87" t="s">
        <v>331</v>
      </c>
      <c r="E817" s="65" t="s">
        <v>4</v>
      </c>
      <c r="F817" s="88" t="str">
        <f t="shared" si="13"/>
        <v>-</v>
      </c>
      <c r="G817" s="89">
        <v>0.35</v>
      </c>
    </row>
    <row r="818" ht="15.75" customHeight="1">
      <c r="A818" s="86">
        <v>45952.0</v>
      </c>
      <c r="B818" s="86">
        <v>45966.0</v>
      </c>
      <c r="C818" s="87" t="s">
        <v>424</v>
      </c>
      <c r="D818" s="87" t="s">
        <v>335</v>
      </c>
      <c r="E818" s="65" t="s">
        <v>4</v>
      </c>
      <c r="F818" s="88" t="str">
        <f t="shared" si="13"/>
        <v>-</v>
      </c>
      <c r="G818" s="89">
        <v>0.35</v>
      </c>
    </row>
    <row r="819" ht="15.75" customHeight="1">
      <c r="A819" s="86">
        <v>45952.0</v>
      </c>
      <c r="B819" s="86">
        <v>45966.0</v>
      </c>
      <c r="C819" s="87" t="s">
        <v>424</v>
      </c>
      <c r="D819" s="87" t="s">
        <v>347</v>
      </c>
      <c r="E819" s="65" t="s">
        <v>4</v>
      </c>
      <c r="F819" s="88" t="str">
        <f t="shared" si="13"/>
        <v>-</v>
      </c>
      <c r="G819" s="89">
        <v>0.35</v>
      </c>
    </row>
    <row r="820" ht="15.75" customHeight="1">
      <c r="A820" s="86">
        <v>45952.0</v>
      </c>
      <c r="B820" s="86">
        <v>45966.0</v>
      </c>
      <c r="C820" s="87" t="s">
        <v>424</v>
      </c>
      <c r="D820" s="87" t="s">
        <v>447</v>
      </c>
      <c r="E820" s="65" t="s">
        <v>4</v>
      </c>
      <c r="F820" s="88" t="str">
        <f t="shared" si="13"/>
        <v>-</v>
      </c>
      <c r="G820" s="89">
        <v>0.35</v>
      </c>
    </row>
    <row r="821" ht="15.75" customHeight="1">
      <c r="A821" s="86">
        <v>45952.0</v>
      </c>
      <c r="B821" s="86">
        <v>45966.0</v>
      </c>
      <c r="C821" s="87" t="s">
        <v>424</v>
      </c>
      <c r="D821" s="87" t="s">
        <v>409</v>
      </c>
      <c r="E821" s="65" t="s">
        <v>4</v>
      </c>
      <c r="F821" s="88" t="str">
        <f t="shared" si="13"/>
        <v>-</v>
      </c>
      <c r="G821" s="89">
        <v>0.35</v>
      </c>
    </row>
    <row r="822" ht="15.75" customHeight="1">
      <c r="A822" s="86">
        <v>45952.0</v>
      </c>
      <c r="B822" s="86">
        <v>45966.0</v>
      </c>
      <c r="C822" s="87" t="s">
        <v>424</v>
      </c>
      <c r="D822" s="87" t="s">
        <v>342</v>
      </c>
      <c r="E822" s="65" t="s">
        <v>4</v>
      </c>
      <c r="F822" s="88" t="str">
        <f t="shared" si="13"/>
        <v>-</v>
      </c>
      <c r="G822" s="89">
        <v>0.35</v>
      </c>
    </row>
    <row r="823" ht="15.75" customHeight="1">
      <c r="A823" s="86">
        <v>45952.0</v>
      </c>
      <c r="B823" s="86">
        <v>45966.0</v>
      </c>
      <c r="C823" s="87" t="s">
        <v>424</v>
      </c>
      <c r="D823" s="87" t="s">
        <v>341</v>
      </c>
      <c r="E823" s="65" t="s">
        <v>4</v>
      </c>
      <c r="F823" s="88" t="str">
        <f t="shared" si="13"/>
        <v>-</v>
      </c>
      <c r="G823" s="89">
        <v>0.2</v>
      </c>
    </row>
    <row r="824" ht="15.75" customHeight="1">
      <c r="A824" s="86">
        <v>45952.0</v>
      </c>
      <c r="B824" s="86">
        <v>45966.0</v>
      </c>
      <c r="C824" s="87" t="s">
        <v>424</v>
      </c>
      <c r="D824" s="87" t="s">
        <v>411</v>
      </c>
      <c r="E824" s="65" t="s">
        <v>4</v>
      </c>
      <c r="F824" s="88" t="str">
        <f t="shared" si="13"/>
        <v>-</v>
      </c>
      <c r="G824" s="89">
        <v>0.35</v>
      </c>
    </row>
    <row r="825" ht="15.75" customHeight="1">
      <c r="A825" s="86">
        <v>45952.0</v>
      </c>
      <c r="B825" s="86">
        <v>45966.0</v>
      </c>
      <c r="C825" s="87" t="s">
        <v>424</v>
      </c>
      <c r="D825" s="87" t="s">
        <v>448</v>
      </c>
      <c r="E825" s="65" t="s">
        <v>4</v>
      </c>
      <c r="F825" s="88" t="str">
        <f t="shared" si="13"/>
        <v>-</v>
      </c>
      <c r="G825" s="89">
        <v>0.35</v>
      </c>
    </row>
    <row r="826" ht="15.75" customHeight="1">
      <c r="A826" s="86">
        <v>45952.0</v>
      </c>
      <c r="B826" s="86">
        <v>45966.0</v>
      </c>
      <c r="C826" s="87" t="s">
        <v>424</v>
      </c>
      <c r="D826" s="87" t="s">
        <v>449</v>
      </c>
      <c r="E826" s="65" t="s">
        <v>4</v>
      </c>
      <c r="F826" s="88" t="str">
        <f t="shared" si="13"/>
        <v>-</v>
      </c>
      <c r="G826" s="89">
        <v>0.35</v>
      </c>
    </row>
    <row r="827" ht="15.75" customHeight="1">
      <c r="A827" s="86">
        <v>45952.0</v>
      </c>
      <c r="B827" s="86">
        <v>45966.0</v>
      </c>
      <c r="C827" s="87" t="s">
        <v>424</v>
      </c>
      <c r="D827" s="87" t="s">
        <v>195</v>
      </c>
      <c r="E827" s="65" t="s">
        <v>4</v>
      </c>
      <c r="F827" s="88" t="str">
        <f t="shared" si="13"/>
        <v>-</v>
      </c>
      <c r="G827" s="89">
        <v>0.35</v>
      </c>
    </row>
    <row r="828" ht="15.75" customHeight="1">
      <c r="A828" s="86">
        <v>45952.0</v>
      </c>
      <c r="B828" s="86">
        <v>45966.0</v>
      </c>
      <c r="C828" s="87" t="s">
        <v>424</v>
      </c>
      <c r="D828" s="87" t="s">
        <v>296</v>
      </c>
      <c r="E828" s="65" t="s">
        <v>4</v>
      </c>
      <c r="F828" s="88" t="str">
        <f t="shared" si="13"/>
        <v>-</v>
      </c>
      <c r="G828" s="89">
        <v>0.35</v>
      </c>
    </row>
    <row r="829" ht="15.75" customHeight="1">
      <c r="A829" s="86">
        <v>45952.0</v>
      </c>
      <c r="B829" s="86">
        <v>45966.0</v>
      </c>
      <c r="C829" s="87" t="s">
        <v>424</v>
      </c>
      <c r="D829" s="87" t="s">
        <v>221</v>
      </c>
      <c r="E829" s="65" t="s">
        <v>4</v>
      </c>
      <c r="F829" s="88" t="str">
        <f t="shared" si="13"/>
        <v>-</v>
      </c>
      <c r="G829" s="89">
        <v>0.35</v>
      </c>
    </row>
    <row r="830" ht="15.75" customHeight="1">
      <c r="A830" s="86">
        <v>45952.0</v>
      </c>
      <c r="B830" s="86">
        <v>45966.0</v>
      </c>
      <c r="C830" s="87" t="s">
        <v>424</v>
      </c>
      <c r="D830" s="87" t="s">
        <v>224</v>
      </c>
      <c r="E830" s="65" t="s">
        <v>4</v>
      </c>
      <c r="F830" s="88" t="str">
        <f t="shared" si="13"/>
        <v>-</v>
      </c>
      <c r="G830" s="89">
        <v>0.35</v>
      </c>
    </row>
    <row r="831" ht="15.75" customHeight="1">
      <c r="A831" s="86">
        <v>45952.0</v>
      </c>
      <c r="B831" s="86">
        <v>45966.0</v>
      </c>
      <c r="C831" s="87" t="s">
        <v>424</v>
      </c>
      <c r="D831" s="87" t="s">
        <v>226</v>
      </c>
      <c r="E831" s="65" t="s">
        <v>4</v>
      </c>
      <c r="F831" s="88" t="str">
        <f t="shared" si="13"/>
        <v>-</v>
      </c>
      <c r="G831" s="89">
        <v>0.3</v>
      </c>
    </row>
    <row r="832" ht="15.75" customHeight="1">
      <c r="A832" s="86">
        <v>45952.0</v>
      </c>
      <c r="B832" s="86">
        <v>45966.0</v>
      </c>
      <c r="C832" s="87" t="s">
        <v>424</v>
      </c>
      <c r="D832" s="87" t="s">
        <v>229</v>
      </c>
      <c r="E832" s="65" t="s">
        <v>4</v>
      </c>
      <c r="F832" s="88" t="str">
        <f t="shared" si="13"/>
        <v>-</v>
      </c>
      <c r="G832" s="89">
        <v>0.25</v>
      </c>
    </row>
    <row r="833" ht="15.75" customHeight="1">
      <c r="A833" s="86">
        <v>45952.0</v>
      </c>
      <c r="B833" s="86">
        <v>45966.0</v>
      </c>
      <c r="C833" s="87" t="s">
        <v>424</v>
      </c>
      <c r="D833" s="87" t="s">
        <v>201</v>
      </c>
      <c r="E833" s="65" t="s">
        <v>4</v>
      </c>
      <c r="F833" s="88" t="str">
        <f t="shared" si="13"/>
        <v>-</v>
      </c>
      <c r="G833" s="89">
        <v>0.35</v>
      </c>
    </row>
    <row r="834" ht="15.75" customHeight="1">
      <c r="A834" s="86">
        <v>45952.0</v>
      </c>
      <c r="B834" s="86">
        <v>45966.0</v>
      </c>
      <c r="C834" s="87" t="s">
        <v>424</v>
      </c>
      <c r="D834" s="87" t="s">
        <v>203</v>
      </c>
      <c r="E834" s="65" t="s">
        <v>4</v>
      </c>
      <c r="F834" s="88" t="str">
        <f t="shared" si="13"/>
        <v>-</v>
      </c>
      <c r="G834" s="89">
        <v>0.35</v>
      </c>
    </row>
    <row r="835" ht="15.75" customHeight="1">
      <c r="A835" s="86">
        <v>45952.0</v>
      </c>
      <c r="B835" s="86">
        <v>45966.0</v>
      </c>
      <c r="C835" s="87" t="s">
        <v>424</v>
      </c>
      <c r="D835" s="87" t="s">
        <v>205</v>
      </c>
      <c r="E835" s="65" t="s">
        <v>4</v>
      </c>
      <c r="F835" s="88" t="str">
        <f t="shared" si="13"/>
        <v>-</v>
      </c>
      <c r="G835" s="89">
        <v>0.35</v>
      </c>
    </row>
    <row r="836" ht="15.75" customHeight="1">
      <c r="A836" s="86">
        <v>45952.0</v>
      </c>
      <c r="B836" s="86">
        <v>45966.0</v>
      </c>
      <c r="C836" s="87" t="s">
        <v>424</v>
      </c>
      <c r="D836" s="87" t="s">
        <v>209</v>
      </c>
      <c r="E836" s="65" t="s">
        <v>4</v>
      </c>
      <c r="F836" s="88" t="str">
        <f t="shared" si="13"/>
        <v>-</v>
      </c>
      <c r="G836" s="89">
        <v>0.35</v>
      </c>
    </row>
    <row r="837" ht="15.75" customHeight="1">
      <c r="A837" s="86">
        <v>45952.0</v>
      </c>
      <c r="B837" s="86">
        <v>45966.0</v>
      </c>
      <c r="C837" s="87" t="s">
        <v>424</v>
      </c>
      <c r="D837" s="87" t="s">
        <v>291</v>
      </c>
      <c r="E837" s="65" t="s">
        <v>4</v>
      </c>
      <c r="F837" s="88" t="str">
        <f t="shared" si="13"/>
        <v>-</v>
      </c>
      <c r="G837" s="89">
        <v>0.35</v>
      </c>
    </row>
    <row r="838" ht="15.75" customHeight="1">
      <c r="A838" s="86">
        <v>45952.0</v>
      </c>
      <c r="B838" s="86">
        <v>45966.0</v>
      </c>
      <c r="C838" s="87" t="s">
        <v>424</v>
      </c>
      <c r="D838" s="87" t="s">
        <v>292</v>
      </c>
      <c r="E838" s="65" t="s">
        <v>4</v>
      </c>
      <c r="F838" s="88" t="str">
        <f t="shared" si="13"/>
        <v>-</v>
      </c>
      <c r="G838" s="89">
        <v>0.35</v>
      </c>
    </row>
    <row r="839" ht="15.75" customHeight="1">
      <c r="A839" s="86">
        <v>45952.0</v>
      </c>
      <c r="B839" s="86">
        <v>45966.0</v>
      </c>
      <c r="C839" s="87" t="s">
        <v>424</v>
      </c>
      <c r="D839" s="87" t="s">
        <v>293</v>
      </c>
      <c r="E839" s="65" t="s">
        <v>4</v>
      </c>
      <c r="F839" s="88" t="str">
        <f t="shared" si="13"/>
        <v>-</v>
      </c>
      <c r="G839" s="89">
        <v>0.35</v>
      </c>
    </row>
    <row r="840" ht="15.75" customHeight="1">
      <c r="A840" s="86">
        <v>45952.0</v>
      </c>
      <c r="B840" s="86">
        <v>45966.0</v>
      </c>
      <c r="C840" s="87" t="s">
        <v>424</v>
      </c>
      <c r="D840" s="87" t="s">
        <v>295</v>
      </c>
      <c r="E840" s="65" t="s">
        <v>4</v>
      </c>
      <c r="F840" s="88" t="str">
        <f t="shared" si="13"/>
        <v>-</v>
      </c>
      <c r="G840" s="89">
        <v>0.35</v>
      </c>
    </row>
    <row r="841" ht="15.75" customHeight="1">
      <c r="A841" s="86">
        <v>45952.0</v>
      </c>
      <c r="B841" s="86">
        <v>45966.0</v>
      </c>
      <c r="C841" s="87" t="s">
        <v>424</v>
      </c>
      <c r="D841" s="87" t="s">
        <v>452</v>
      </c>
      <c r="E841" s="65" t="s">
        <v>4</v>
      </c>
      <c r="F841" s="88" t="str">
        <f t="shared" si="13"/>
        <v>-</v>
      </c>
      <c r="G841" s="89">
        <v>0.35</v>
      </c>
    </row>
    <row r="842" ht="15.75" customHeight="1">
      <c r="A842" s="86">
        <v>45952.0</v>
      </c>
      <c r="B842" s="86">
        <v>45966.0</v>
      </c>
      <c r="C842" s="87" t="s">
        <v>424</v>
      </c>
      <c r="D842" s="87" t="s">
        <v>414</v>
      </c>
      <c r="E842" s="65" t="s">
        <v>4</v>
      </c>
      <c r="F842" s="88" t="str">
        <f t="shared" si="13"/>
        <v>-</v>
      </c>
      <c r="G842" s="89">
        <v>0.35</v>
      </c>
    </row>
    <row r="843" ht="15.75" customHeight="1">
      <c r="A843" s="86">
        <v>45952.0</v>
      </c>
      <c r="B843" s="86">
        <v>45966.0</v>
      </c>
      <c r="C843" s="87" t="s">
        <v>424</v>
      </c>
      <c r="D843" s="87" t="s">
        <v>329</v>
      </c>
      <c r="E843" s="65" t="s">
        <v>4</v>
      </c>
      <c r="F843" s="88" t="str">
        <f t="shared" si="13"/>
        <v>-</v>
      </c>
      <c r="G843" s="89">
        <v>0.35</v>
      </c>
    </row>
    <row r="844" ht="15.75" customHeight="1">
      <c r="A844" s="86">
        <v>45952.0</v>
      </c>
      <c r="B844" s="86">
        <v>45966.0</v>
      </c>
      <c r="C844" s="87" t="s">
        <v>424</v>
      </c>
      <c r="D844" s="87" t="s">
        <v>455</v>
      </c>
      <c r="E844" s="65" t="s">
        <v>4</v>
      </c>
      <c r="F844" s="88" t="str">
        <f t="shared" si="13"/>
        <v>-</v>
      </c>
      <c r="G844" s="89">
        <v>0.35</v>
      </c>
    </row>
    <row r="845" ht="15.75" customHeight="1">
      <c r="A845" s="86">
        <v>45952.0</v>
      </c>
      <c r="B845" s="86">
        <v>45966.0</v>
      </c>
      <c r="C845" s="87" t="s">
        <v>424</v>
      </c>
      <c r="D845" s="87" t="s">
        <v>418</v>
      </c>
      <c r="E845" s="65" t="s">
        <v>4</v>
      </c>
      <c r="F845" s="88" t="str">
        <f t="shared" si="13"/>
        <v>-</v>
      </c>
      <c r="G845" s="89">
        <v>0.35</v>
      </c>
    </row>
    <row r="846" ht="15.75" customHeight="1">
      <c r="A846" s="86">
        <v>45952.0</v>
      </c>
      <c r="B846" s="86">
        <v>45966.0</v>
      </c>
      <c r="C846" s="87" t="s">
        <v>424</v>
      </c>
      <c r="D846" s="87" t="s">
        <v>336</v>
      </c>
      <c r="E846" s="65" t="s">
        <v>4</v>
      </c>
      <c r="F846" s="88" t="str">
        <f t="shared" si="13"/>
        <v>-</v>
      </c>
      <c r="G846" s="89">
        <v>0.35</v>
      </c>
    </row>
    <row r="847" ht="15.75" customHeight="1">
      <c r="A847" s="86">
        <v>45952.0</v>
      </c>
      <c r="B847" s="86">
        <v>45966.0</v>
      </c>
      <c r="C847" s="87" t="s">
        <v>424</v>
      </c>
      <c r="D847" s="87" t="s">
        <v>18</v>
      </c>
      <c r="E847" s="65">
        <v>24.99</v>
      </c>
      <c r="F847" s="88">
        <f t="shared" si="13"/>
        <v>16.7433</v>
      </c>
      <c r="G847" s="89">
        <v>0.33</v>
      </c>
    </row>
    <row r="848" ht="15.75" customHeight="1">
      <c r="A848" s="86">
        <v>45952.0</v>
      </c>
      <c r="B848" s="86">
        <v>45966.0</v>
      </c>
      <c r="C848" s="87" t="s">
        <v>424</v>
      </c>
      <c r="D848" s="87" t="s">
        <v>32</v>
      </c>
      <c r="E848" s="65">
        <v>24.99</v>
      </c>
      <c r="F848" s="88">
        <f t="shared" si="13"/>
        <v>16.7433</v>
      </c>
      <c r="G848" s="89">
        <v>0.33</v>
      </c>
    </row>
    <row r="849" ht="15.75" customHeight="1">
      <c r="A849" s="86">
        <v>45952.0</v>
      </c>
      <c r="B849" s="86">
        <v>45966.0</v>
      </c>
      <c r="C849" s="87" t="s">
        <v>424</v>
      </c>
      <c r="D849" s="87" t="s">
        <v>34</v>
      </c>
      <c r="E849" s="65">
        <v>24.99</v>
      </c>
      <c r="F849" s="88">
        <f t="shared" si="13"/>
        <v>16.7433</v>
      </c>
      <c r="G849" s="89">
        <v>0.33</v>
      </c>
    </row>
    <row r="850" ht="15.75" customHeight="1">
      <c r="A850" s="86">
        <v>45952.0</v>
      </c>
      <c r="B850" s="86">
        <v>45966.0</v>
      </c>
      <c r="C850" s="87" t="s">
        <v>424</v>
      </c>
      <c r="D850" s="87" t="s">
        <v>307</v>
      </c>
      <c r="E850" s="65">
        <v>24.99</v>
      </c>
      <c r="F850" s="88">
        <f t="shared" si="13"/>
        <v>19.992</v>
      </c>
      <c r="G850" s="89">
        <v>0.2</v>
      </c>
    </row>
    <row r="851" ht="15.75" customHeight="1">
      <c r="A851" s="86">
        <v>45966.0</v>
      </c>
      <c r="B851" s="86">
        <v>45982.0</v>
      </c>
      <c r="C851" s="87" t="s">
        <v>619</v>
      </c>
      <c r="D851" s="87" t="s">
        <v>17</v>
      </c>
      <c r="E851" s="65">
        <v>39.99</v>
      </c>
      <c r="F851" s="88">
        <f t="shared" si="13"/>
        <v>15.996</v>
      </c>
      <c r="G851" s="89">
        <v>0.6</v>
      </c>
    </row>
    <row r="852" ht="15.75" customHeight="1">
      <c r="A852" s="86">
        <v>45982.0</v>
      </c>
      <c r="B852" s="86">
        <v>45992.0</v>
      </c>
      <c r="C852" s="87" t="s">
        <v>425</v>
      </c>
      <c r="D852" s="87" t="s">
        <v>268</v>
      </c>
      <c r="E852" s="65" t="s">
        <v>4</v>
      </c>
      <c r="F852" s="88" t="str">
        <f t="shared" si="13"/>
        <v>-</v>
      </c>
      <c r="G852" s="89">
        <v>0.25</v>
      </c>
    </row>
    <row r="853" ht="15.75" customHeight="1">
      <c r="A853" s="86">
        <v>45982.0</v>
      </c>
      <c r="B853" s="86">
        <v>45992.0</v>
      </c>
      <c r="C853" s="87" t="s">
        <v>425</v>
      </c>
      <c r="D853" s="87" t="s">
        <v>265</v>
      </c>
      <c r="E853" s="65" t="s">
        <v>4</v>
      </c>
      <c r="F853" s="88" t="str">
        <f t="shared" si="13"/>
        <v>-</v>
      </c>
      <c r="G853" s="89">
        <v>0.33</v>
      </c>
    </row>
    <row r="854" ht="15.75" customHeight="1">
      <c r="A854" s="86">
        <v>45982.0</v>
      </c>
      <c r="B854" s="86">
        <v>45992.0</v>
      </c>
      <c r="C854" s="87" t="s">
        <v>425</v>
      </c>
      <c r="D854" s="87" t="s">
        <v>261</v>
      </c>
      <c r="E854" s="65" t="s">
        <v>4</v>
      </c>
      <c r="F854" s="88" t="str">
        <f t="shared" si="13"/>
        <v>-</v>
      </c>
      <c r="G854" s="89">
        <v>0.33</v>
      </c>
    </row>
    <row r="855" ht="15.75" customHeight="1">
      <c r="A855" s="86">
        <v>45982.0</v>
      </c>
      <c r="B855" s="86">
        <v>45992.0</v>
      </c>
      <c r="C855" s="87" t="s">
        <v>425</v>
      </c>
      <c r="D855" s="87" t="s">
        <v>24</v>
      </c>
      <c r="E855" s="65">
        <v>29.99</v>
      </c>
      <c r="F855" s="88">
        <f t="shared" si="13"/>
        <v>11.996</v>
      </c>
      <c r="G855" s="89">
        <v>0.6</v>
      </c>
    </row>
    <row r="856" ht="15.75" customHeight="1">
      <c r="A856" s="86">
        <v>45992.0</v>
      </c>
      <c r="B856" s="86">
        <v>46007.0</v>
      </c>
      <c r="C856" s="87" t="s">
        <v>426</v>
      </c>
      <c r="D856" s="87" t="s">
        <v>312</v>
      </c>
      <c r="E856" s="65">
        <v>129.99</v>
      </c>
      <c r="F856" s="88">
        <f t="shared" si="13"/>
        <v>77.994</v>
      </c>
      <c r="G856" s="89">
        <v>0.4</v>
      </c>
    </row>
    <row r="857" ht="15.75" customHeight="1">
      <c r="A857" s="86">
        <v>45992.0</v>
      </c>
      <c r="B857" s="86">
        <v>46007.0</v>
      </c>
      <c r="C857" s="87" t="s">
        <v>426</v>
      </c>
      <c r="D857" s="87" t="s">
        <v>353</v>
      </c>
      <c r="E857" s="65" t="s">
        <v>4</v>
      </c>
      <c r="F857" s="88" t="str">
        <f t="shared" si="13"/>
        <v>-</v>
      </c>
      <c r="G857" s="89">
        <v>0.35</v>
      </c>
    </row>
    <row r="858" ht="15.75" customHeight="1">
      <c r="A858" s="86">
        <v>45992.0</v>
      </c>
      <c r="B858" s="86">
        <v>46007.0</v>
      </c>
      <c r="C858" s="87" t="s">
        <v>426</v>
      </c>
      <c r="D858" s="87" t="s">
        <v>332</v>
      </c>
      <c r="E858" s="65" t="s">
        <v>4</v>
      </c>
      <c r="F858" s="88" t="str">
        <f t="shared" si="13"/>
        <v>-</v>
      </c>
      <c r="G858" s="89">
        <v>0.35</v>
      </c>
    </row>
    <row r="859" ht="15.75" customHeight="1">
      <c r="A859" s="86">
        <v>45992.0</v>
      </c>
      <c r="B859" s="86">
        <v>46007.0</v>
      </c>
      <c r="C859" s="87" t="s">
        <v>426</v>
      </c>
      <c r="D859" s="87" t="s">
        <v>343</v>
      </c>
      <c r="E859" s="65" t="s">
        <v>4</v>
      </c>
      <c r="F859" s="88" t="str">
        <f t="shared" si="13"/>
        <v>-</v>
      </c>
      <c r="G859" s="89">
        <v>0.35</v>
      </c>
    </row>
    <row r="860" ht="15.75" customHeight="1">
      <c r="A860" s="86">
        <v>45992.0</v>
      </c>
      <c r="B860" s="86">
        <v>46007.0</v>
      </c>
      <c r="C860" s="87" t="s">
        <v>426</v>
      </c>
      <c r="D860" s="87" t="s">
        <v>407</v>
      </c>
      <c r="E860" s="65" t="s">
        <v>4</v>
      </c>
      <c r="F860" s="88" t="str">
        <f t="shared" si="13"/>
        <v>-</v>
      </c>
      <c r="G860" s="89">
        <v>0.35</v>
      </c>
    </row>
    <row r="861" ht="15.75" customHeight="1">
      <c r="A861" s="86">
        <v>45992.0</v>
      </c>
      <c r="B861" s="86">
        <v>46007.0</v>
      </c>
      <c r="C861" s="87" t="s">
        <v>426</v>
      </c>
      <c r="D861" s="87" t="s">
        <v>340</v>
      </c>
      <c r="E861" s="65" t="s">
        <v>4</v>
      </c>
      <c r="F861" s="88" t="str">
        <f t="shared" si="13"/>
        <v>-</v>
      </c>
      <c r="G861" s="89">
        <v>0.35</v>
      </c>
    </row>
    <row r="862" ht="15.75" customHeight="1">
      <c r="A862" s="86">
        <v>45992.0</v>
      </c>
      <c r="B862" s="86">
        <v>46007.0</v>
      </c>
      <c r="C862" s="87" t="s">
        <v>426</v>
      </c>
      <c r="D862" s="87" t="s">
        <v>446</v>
      </c>
      <c r="E862" s="65" t="s">
        <v>4</v>
      </c>
      <c r="F862" s="88" t="str">
        <f t="shared" si="13"/>
        <v>-</v>
      </c>
      <c r="G862" s="89">
        <v>0.35</v>
      </c>
    </row>
    <row r="863" ht="15.75" customHeight="1">
      <c r="A863" s="86">
        <v>45992.0</v>
      </c>
      <c r="B863" s="86">
        <v>46007.0</v>
      </c>
      <c r="C863" s="87" t="s">
        <v>426</v>
      </c>
      <c r="D863" s="87" t="s">
        <v>331</v>
      </c>
      <c r="E863" s="65" t="s">
        <v>4</v>
      </c>
      <c r="F863" s="88" t="str">
        <f t="shared" si="13"/>
        <v>-</v>
      </c>
      <c r="G863" s="89">
        <v>0.35</v>
      </c>
    </row>
    <row r="864" ht="15.75" customHeight="1">
      <c r="A864" s="86">
        <v>45992.0</v>
      </c>
      <c r="B864" s="86">
        <v>46007.0</v>
      </c>
      <c r="C864" s="87" t="s">
        <v>426</v>
      </c>
      <c r="D864" s="87" t="s">
        <v>335</v>
      </c>
      <c r="E864" s="65" t="s">
        <v>4</v>
      </c>
      <c r="F864" s="88" t="str">
        <f t="shared" si="13"/>
        <v>-</v>
      </c>
      <c r="G864" s="89">
        <v>0.35</v>
      </c>
    </row>
    <row r="865" ht="15.75" customHeight="1">
      <c r="A865" s="86">
        <v>45992.0</v>
      </c>
      <c r="B865" s="86">
        <v>46007.0</v>
      </c>
      <c r="C865" s="87" t="s">
        <v>426</v>
      </c>
      <c r="D865" s="87" t="s">
        <v>347</v>
      </c>
      <c r="E865" s="65" t="s">
        <v>4</v>
      </c>
      <c r="F865" s="88" t="str">
        <f t="shared" si="13"/>
        <v>-</v>
      </c>
      <c r="G865" s="89">
        <v>0.35</v>
      </c>
    </row>
    <row r="866" ht="15.75" customHeight="1">
      <c r="A866" s="86">
        <v>45992.0</v>
      </c>
      <c r="B866" s="86">
        <v>46007.0</v>
      </c>
      <c r="C866" s="87" t="s">
        <v>426</v>
      </c>
      <c r="D866" s="87" t="s">
        <v>447</v>
      </c>
      <c r="E866" s="65" t="s">
        <v>4</v>
      </c>
      <c r="F866" s="88" t="str">
        <f t="shared" si="13"/>
        <v>-</v>
      </c>
      <c r="G866" s="89">
        <v>0.35</v>
      </c>
    </row>
    <row r="867" ht="15.75" customHeight="1">
      <c r="A867" s="86">
        <v>45992.0</v>
      </c>
      <c r="B867" s="86">
        <v>46007.0</v>
      </c>
      <c r="C867" s="87" t="s">
        <v>426</v>
      </c>
      <c r="D867" s="87" t="s">
        <v>409</v>
      </c>
      <c r="E867" s="65" t="s">
        <v>4</v>
      </c>
      <c r="F867" s="88" t="str">
        <f t="shared" si="13"/>
        <v>-</v>
      </c>
      <c r="G867" s="89">
        <v>0.35</v>
      </c>
    </row>
    <row r="868" ht="15.75" customHeight="1">
      <c r="A868" s="86">
        <v>45992.0</v>
      </c>
      <c r="B868" s="86">
        <v>46007.0</v>
      </c>
      <c r="C868" s="87" t="s">
        <v>426</v>
      </c>
      <c r="D868" s="87" t="s">
        <v>342</v>
      </c>
      <c r="E868" s="65" t="s">
        <v>4</v>
      </c>
      <c r="F868" s="88" t="str">
        <f t="shared" si="13"/>
        <v>-</v>
      </c>
      <c r="G868" s="89">
        <v>0.35</v>
      </c>
    </row>
    <row r="869" ht="15.75" customHeight="1">
      <c r="A869" s="86">
        <v>45992.0</v>
      </c>
      <c r="B869" s="86">
        <v>46007.0</v>
      </c>
      <c r="C869" s="87" t="s">
        <v>426</v>
      </c>
      <c r="D869" s="87" t="s">
        <v>341</v>
      </c>
      <c r="E869" s="65" t="s">
        <v>4</v>
      </c>
      <c r="F869" s="88" t="str">
        <f t="shared" si="13"/>
        <v>-</v>
      </c>
      <c r="G869" s="89">
        <v>0.2</v>
      </c>
    </row>
    <row r="870" ht="15.75" customHeight="1">
      <c r="A870" s="86">
        <v>45992.0</v>
      </c>
      <c r="B870" s="86">
        <v>46007.0</v>
      </c>
      <c r="C870" s="87" t="s">
        <v>426</v>
      </c>
      <c r="D870" s="87" t="s">
        <v>411</v>
      </c>
      <c r="E870" s="65" t="s">
        <v>4</v>
      </c>
      <c r="F870" s="88" t="str">
        <f t="shared" si="13"/>
        <v>-</v>
      </c>
      <c r="G870" s="89">
        <v>0.35</v>
      </c>
    </row>
    <row r="871" ht="15.75" customHeight="1">
      <c r="A871" s="86">
        <v>45992.0</v>
      </c>
      <c r="B871" s="86">
        <v>46007.0</v>
      </c>
      <c r="C871" s="87" t="s">
        <v>426</v>
      </c>
      <c r="D871" s="87" t="s">
        <v>448</v>
      </c>
      <c r="E871" s="65" t="s">
        <v>4</v>
      </c>
      <c r="F871" s="88" t="str">
        <f t="shared" si="13"/>
        <v>-</v>
      </c>
      <c r="G871" s="89">
        <v>0.35</v>
      </c>
    </row>
    <row r="872" ht="15.75" customHeight="1">
      <c r="A872" s="86">
        <v>45992.0</v>
      </c>
      <c r="B872" s="86">
        <v>46007.0</v>
      </c>
      <c r="C872" s="87" t="s">
        <v>426</v>
      </c>
      <c r="D872" s="87" t="s">
        <v>449</v>
      </c>
      <c r="E872" s="65" t="s">
        <v>4</v>
      </c>
      <c r="F872" s="88" t="str">
        <f t="shared" si="13"/>
        <v>-</v>
      </c>
      <c r="G872" s="89">
        <v>0.35</v>
      </c>
    </row>
    <row r="873" ht="15.75" customHeight="1">
      <c r="A873" s="86">
        <v>45992.0</v>
      </c>
      <c r="B873" s="86">
        <v>46007.0</v>
      </c>
      <c r="C873" s="87" t="s">
        <v>426</v>
      </c>
      <c r="D873" s="87" t="s">
        <v>195</v>
      </c>
      <c r="E873" s="65" t="s">
        <v>4</v>
      </c>
      <c r="F873" s="88" t="str">
        <f t="shared" si="13"/>
        <v>-</v>
      </c>
      <c r="G873" s="89">
        <v>0.35</v>
      </c>
    </row>
    <row r="874" ht="15.75" customHeight="1">
      <c r="A874" s="86">
        <v>45992.0</v>
      </c>
      <c r="B874" s="86">
        <v>46007.0</v>
      </c>
      <c r="C874" s="87" t="s">
        <v>426</v>
      </c>
      <c r="D874" s="87" t="s">
        <v>296</v>
      </c>
      <c r="E874" s="65" t="s">
        <v>4</v>
      </c>
      <c r="F874" s="88" t="str">
        <f t="shared" si="13"/>
        <v>-</v>
      </c>
      <c r="G874" s="89">
        <v>0.35</v>
      </c>
    </row>
    <row r="875" ht="15.75" customHeight="1">
      <c r="A875" s="86">
        <v>45992.0</v>
      </c>
      <c r="B875" s="86">
        <v>46007.0</v>
      </c>
      <c r="C875" s="87" t="s">
        <v>426</v>
      </c>
      <c r="D875" s="87" t="s">
        <v>221</v>
      </c>
      <c r="E875" s="65" t="s">
        <v>4</v>
      </c>
      <c r="F875" s="88" t="str">
        <f t="shared" si="13"/>
        <v>-</v>
      </c>
      <c r="G875" s="89">
        <v>0.35</v>
      </c>
    </row>
    <row r="876" ht="15.75" customHeight="1">
      <c r="A876" s="86">
        <v>45992.0</v>
      </c>
      <c r="B876" s="86">
        <v>46007.0</v>
      </c>
      <c r="C876" s="87" t="s">
        <v>426</v>
      </c>
      <c r="D876" s="87" t="s">
        <v>224</v>
      </c>
      <c r="E876" s="65" t="s">
        <v>4</v>
      </c>
      <c r="F876" s="88" t="str">
        <f t="shared" si="13"/>
        <v>-</v>
      </c>
      <c r="G876" s="89">
        <v>0.35</v>
      </c>
    </row>
    <row r="877" ht="15.75" customHeight="1">
      <c r="A877" s="86">
        <v>45992.0</v>
      </c>
      <c r="B877" s="86">
        <v>46007.0</v>
      </c>
      <c r="C877" s="87" t="s">
        <v>426</v>
      </c>
      <c r="D877" s="87" t="s">
        <v>226</v>
      </c>
      <c r="E877" s="65" t="s">
        <v>4</v>
      </c>
      <c r="F877" s="88" t="str">
        <f t="shared" si="13"/>
        <v>-</v>
      </c>
      <c r="G877" s="89">
        <v>0.3</v>
      </c>
    </row>
    <row r="878" ht="15.75" customHeight="1">
      <c r="A878" s="86">
        <v>45992.0</v>
      </c>
      <c r="B878" s="86">
        <v>46007.0</v>
      </c>
      <c r="C878" s="87" t="s">
        <v>426</v>
      </c>
      <c r="D878" s="87" t="s">
        <v>229</v>
      </c>
      <c r="E878" s="65" t="s">
        <v>4</v>
      </c>
      <c r="F878" s="88" t="str">
        <f t="shared" si="13"/>
        <v>-</v>
      </c>
      <c r="G878" s="89">
        <v>0.25</v>
      </c>
    </row>
    <row r="879" ht="15.75" customHeight="1">
      <c r="A879" s="86">
        <v>45992.0</v>
      </c>
      <c r="B879" s="86">
        <v>46007.0</v>
      </c>
      <c r="C879" s="87" t="s">
        <v>426</v>
      </c>
      <c r="D879" s="87" t="s">
        <v>201</v>
      </c>
      <c r="E879" s="65" t="s">
        <v>4</v>
      </c>
      <c r="F879" s="88" t="str">
        <f t="shared" si="13"/>
        <v>-</v>
      </c>
      <c r="G879" s="89">
        <v>0.35</v>
      </c>
    </row>
    <row r="880" ht="15.75" customHeight="1">
      <c r="A880" s="86">
        <v>45992.0</v>
      </c>
      <c r="B880" s="86">
        <v>46007.0</v>
      </c>
      <c r="C880" s="87" t="s">
        <v>426</v>
      </c>
      <c r="D880" s="87" t="s">
        <v>203</v>
      </c>
      <c r="E880" s="65" t="s">
        <v>4</v>
      </c>
      <c r="F880" s="88" t="str">
        <f t="shared" si="13"/>
        <v>-</v>
      </c>
      <c r="G880" s="89">
        <v>0.35</v>
      </c>
    </row>
    <row r="881" ht="15.75" customHeight="1">
      <c r="A881" s="86">
        <v>45992.0</v>
      </c>
      <c r="B881" s="86">
        <v>46007.0</v>
      </c>
      <c r="C881" s="87" t="s">
        <v>426</v>
      </c>
      <c r="D881" s="87" t="s">
        <v>205</v>
      </c>
      <c r="E881" s="65" t="s">
        <v>4</v>
      </c>
      <c r="F881" s="88" t="str">
        <f t="shared" si="13"/>
        <v>-</v>
      </c>
      <c r="G881" s="89">
        <v>0.35</v>
      </c>
    </row>
    <row r="882" ht="15.75" customHeight="1">
      <c r="A882" s="86">
        <v>45992.0</v>
      </c>
      <c r="B882" s="86">
        <v>46007.0</v>
      </c>
      <c r="C882" s="87" t="s">
        <v>426</v>
      </c>
      <c r="D882" s="87" t="s">
        <v>209</v>
      </c>
      <c r="E882" s="65" t="s">
        <v>4</v>
      </c>
      <c r="F882" s="88" t="str">
        <f t="shared" si="13"/>
        <v>-</v>
      </c>
      <c r="G882" s="89">
        <v>0.35</v>
      </c>
    </row>
    <row r="883" ht="15.75" customHeight="1">
      <c r="A883" s="86">
        <v>45992.0</v>
      </c>
      <c r="B883" s="86">
        <v>46007.0</v>
      </c>
      <c r="C883" s="87" t="s">
        <v>426</v>
      </c>
      <c r="D883" s="87" t="s">
        <v>291</v>
      </c>
      <c r="E883" s="65" t="s">
        <v>4</v>
      </c>
      <c r="F883" s="88" t="str">
        <f t="shared" si="13"/>
        <v>-</v>
      </c>
      <c r="G883" s="89">
        <v>0.35</v>
      </c>
    </row>
    <row r="884" ht="15.75" customHeight="1">
      <c r="A884" s="86">
        <v>45992.0</v>
      </c>
      <c r="B884" s="86">
        <v>46007.0</v>
      </c>
      <c r="C884" s="87" t="s">
        <v>426</v>
      </c>
      <c r="D884" s="87" t="s">
        <v>292</v>
      </c>
      <c r="E884" s="65" t="s">
        <v>4</v>
      </c>
      <c r="F884" s="88" t="str">
        <f t="shared" si="13"/>
        <v>-</v>
      </c>
      <c r="G884" s="89">
        <v>0.35</v>
      </c>
    </row>
    <row r="885" ht="15.75" customHeight="1">
      <c r="A885" s="86">
        <v>45992.0</v>
      </c>
      <c r="B885" s="86">
        <v>46007.0</v>
      </c>
      <c r="C885" s="87" t="s">
        <v>426</v>
      </c>
      <c r="D885" s="87" t="s">
        <v>293</v>
      </c>
      <c r="E885" s="65" t="s">
        <v>4</v>
      </c>
      <c r="F885" s="88" t="str">
        <f t="shared" si="13"/>
        <v>-</v>
      </c>
      <c r="G885" s="89">
        <v>0.35</v>
      </c>
    </row>
    <row r="886" ht="15.75" customHeight="1">
      <c r="A886" s="86">
        <v>45992.0</v>
      </c>
      <c r="B886" s="86">
        <v>46007.0</v>
      </c>
      <c r="C886" s="87" t="s">
        <v>426</v>
      </c>
      <c r="D886" s="87" t="s">
        <v>295</v>
      </c>
      <c r="E886" s="65" t="s">
        <v>4</v>
      </c>
      <c r="F886" s="88" t="str">
        <f t="shared" si="13"/>
        <v>-</v>
      </c>
      <c r="G886" s="89">
        <v>0.35</v>
      </c>
    </row>
    <row r="887" ht="15.75" customHeight="1">
      <c r="A887" s="86">
        <v>45992.0</v>
      </c>
      <c r="B887" s="86">
        <v>46007.0</v>
      </c>
      <c r="C887" s="87" t="s">
        <v>426</v>
      </c>
      <c r="D887" s="87" t="s">
        <v>452</v>
      </c>
      <c r="E887" s="65" t="s">
        <v>4</v>
      </c>
      <c r="F887" s="88" t="str">
        <f t="shared" si="13"/>
        <v>-</v>
      </c>
      <c r="G887" s="89">
        <v>0.35</v>
      </c>
    </row>
    <row r="888" ht="15.75" customHeight="1">
      <c r="A888" s="86">
        <v>45992.0</v>
      </c>
      <c r="B888" s="86">
        <v>46007.0</v>
      </c>
      <c r="C888" s="87" t="s">
        <v>426</v>
      </c>
      <c r="D888" s="87" t="s">
        <v>414</v>
      </c>
      <c r="E888" s="65" t="s">
        <v>4</v>
      </c>
      <c r="F888" s="88" t="str">
        <f t="shared" si="13"/>
        <v>-</v>
      </c>
      <c r="G888" s="89">
        <v>0.35</v>
      </c>
    </row>
    <row r="889" ht="15.75" customHeight="1">
      <c r="A889" s="86">
        <v>45992.0</v>
      </c>
      <c r="B889" s="86">
        <v>46007.0</v>
      </c>
      <c r="C889" s="87" t="s">
        <v>426</v>
      </c>
      <c r="D889" s="87" t="s">
        <v>329</v>
      </c>
      <c r="E889" s="65" t="s">
        <v>4</v>
      </c>
      <c r="F889" s="88" t="str">
        <f t="shared" si="13"/>
        <v>-</v>
      </c>
      <c r="G889" s="89">
        <v>0.35</v>
      </c>
    </row>
    <row r="890" ht="15.75" customHeight="1">
      <c r="A890" s="86">
        <v>45992.0</v>
      </c>
      <c r="B890" s="86">
        <v>46007.0</v>
      </c>
      <c r="C890" s="87" t="s">
        <v>426</v>
      </c>
      <c r="D890" s="87" t="s">
        <v>455</v>
      </c>
      <c r="E890" s="65" t="s">
        <v>4</v>
      </c>
      <c r="F890" s="88" t="str">
        <f t="shared" si="13"/>
        <v>-</v>
      </c>
      <c r="G890" s="89">
        <v>0.35</v>
      </c>
    </row>
    <row r="891" ht="15.75" customHeight="1">
      <c r="A891" s="86">
        <v>45992.0</v>
      </c>
      <c r="B891" s="86">
        <v>46007.0</v>
      </c>
      <c r="C891" s="87" t="s">
        <v>426</v>
      </c>
      <c r="D891" s="87" t="s">
        <v>418</v>
      </c>
      <c r="E891" s="65" t="s">
        <v>4</v>
      </c>
      <c r="F891" s="88" t="str">
        <f t="shared" si="13"/>
        <v>-</v>
      </c>
      <c r="G891" s="89">
        <v>0.35</v>
      </c>
    </row>
    <row r="892" ht="15.75" customHeight="1">
      <c r="A892" s="86">
        <v>45992.0</v>
      </c>
      <c r="B892" s="86">
        <v>46007.0</v>
      </c>
      <c r="C892" s="87" t="s">
        <v>426</v>
      </c>
      <c r="D892" s="87" t="s">
        <v>336</v>
      </c>
      <c r="E892" s="65" t="s">
        <v>4</v>
      </c>
      <c r="F892" s="88" t="str">
        <f t="shared" si="13"/>
        <v>-</v>
      </c>
      <c r="G892" s="89">
        <v>0.35</v>
      </c>
    </row>
    <row r="893" ht="15.75" customHeight="1">
      <c r="A893" s="86">
        <v>45992.0</v>
      </c>
      <c r="B893" s="86">
        <v>46007.0</v>
      </c>
      <c r="C893" s="87" t="s">
        <v>426</v>
      </c>
      <c r="D893" s="87" t="s">
        <v>18</v>
      </c>
      <c r="E893" s="65">
        <v>24.99</v>
      </c>
      <c r="F893" s="88">
        <f t="shared" si="13"/>
        <v>16.7433</v>
      </c>
      <c r="G893" s="89">
        <v>0.33</v>
      </c>
    </row>
    <row r="894" ht="15.75" customHeight="1">
      <c r="A894" s="86">
        <v>45992.0</v>
      </c>
      <c r="B894" s="86">
        <v>46007.0</v>
      </c>
      <c r="C894" s="87" t="s">
        <v>426</v>
      </c>
      <c r="D894" s="87" t="s">
        <v>32</v>
      </c>
      <c r="E894" s="65">
        <v>24.99</v>
      </c>
      <c r="F894" s="88">
        <f t="shared" si="13"/>
        <v>16.7433</v>
      </c>
      <c r="G894" s="89">
        <v>0.33</v>
      </c>
    </row>
    <row r="895" ht="15.75" customHeight="1">
      <c r="A895" s="86">
        <v>45992.0</v>
      </c>
      <c r="B895" s="86">
        <v>46007.0</v>
      </c>
      <c r="C895" s="87" t="s">
        <v>426</v>
      </c>
      <c r="D895" s="87" t="s">
        <v>34</v>
      </c>
      <c r="E895" s="65">
        <v>24.99</v>
      </c>
      <c r="F895" s="88">
        <f t="shared" si="13"/>
        <v>16.7433</v>
      </c>
      <c r="G895" s="89">
        <v>0.33</v>
      </c>
    </row>
    <row r="896" ht="15.75" customHeight="1">
      <c r="A896" s="86">
        <v>45992.0</v>
      </c>
      <c r="B896" s="86">
        <v>46007.0</v>
      </c>
      <c r="C896" s="87" t="s">
        <v>426</v>
      </c>
      <c r="D896" s="87" t="s">
        <v>307</v>
      </c>
      <c r="E896" s="65">
        <v>24.99</v>
      </c>
      <c r="F896" s="88">
        <f t="shared" si="13"/>
        <v>19.992</v>
      </c>
      <c r="G896" s="89">
        <v>0.2</v>
      </c>
    </row>
    <row r="897" ht="15.75" customHeight="1">
      <c r="A897" s="86">
        <v>46013.0</v>
      </c>
      <c r="B897" s="86">
        <v>46029.0</v>
      </c>
      <c r="C897" s="87" t="s">
        <v>316</v>
      </c>
      <c r="D897" s="87" t="s">
        <v>268</v>
      </c>
      <c r="E897" s="65" t="s">
        <v>4</v>
      </c>
      <c r="F897" s="88" t="str">
        <f t="shared" si="13"/>
        <v>-</v>
      </c>
      <c r="G897" s="89">
        <v>0.25</v>
      </c>
    </row>
    <row r="898" ht="15.75" customHeight="1">
      <c r="A898" s="86">
        <v>46013.0</v>
      </c>
      <c r="B898" s="86">
        <v>46029.0</v>
      </c>
      <c r="C898" s="87" t="s">
        <v>316</v>
      </c>
      <c r="D898" s="87" t="s">
        <v>265</v>
      </c>
      <c r="E898" s="65" t="s">
        <v>4</v>
      </c>
      <c r="F898" s="88" t="str">
        <f t="shared" si="13"/>
        <v>-</v>
      </c>
      <c r="G898" s="89">
        <v>0.33</v>
      </c>
    </row>
    <row r="899" ht="15.75" customHeight="1">
      <c r="A899" s="86">
        <v>46013.0</v>
      </c>
      <c r="B899" s="86">
        <v>46029.0</v>
      </c>
      <c r="C899" s="87" t="s">
        <v>316</v>
      </c>
      <c r="D899" s="87" t="s">
        <v>261</v>
      </c>
      <c r="E899" s="65" t="s">
        <v>4</v>
      </c>
      <c r="F899" s="88" t="str">
        <f t="shared" si="13"/>
        <v>-</v>
      </c>
      <c r="G899" s="89">
        <v>0.33</v>
      </c>
    </row>
    <row r="900" ht="15.75" customHeight="1">
      <c r="A900" s="86">
        <v>46013.0</v>
      </c>
      <c r="B900" s="86">
        <v>46029.0</v>
      </c>
      <c r="C900" s="87" t="s">
        <v>316</v>
      </c>
      <c r="D900" s="87" t="s">
        <v>24</v>
      </c>
      <c r="E900" s="65">
        <v>29.99</v>
      </c>
      <c r="F900" s="88">
        <f t="shared" si="13"/>
        <v>11.996</v>
      </c>
      <c r="G900" s="89">
        <v>0.6</v>
      </c>
    </row>
    <row r="901" ht="15.75" customHeight="1">
      <c r="A901" s="86">
        <v>46027.0</v>
      </c>
      <c r="B901" s="86">
        <v>46043.0</v>
      </c>
      <c r="C901" s="87" t="s">
        <v>317</v>
      </c>
      <c r="D901" s="87" t="s">
        <v>312</v>
      </c>
      <c r="E901" s="65">
        <v>129.99</v>
      </c>
      <c r="F901" s="88">
        <f t="shared" si="13"/>
        <v>77.994</v>
      </c>
      <c r="G901" s="89">
        <v>0.4</v>
      </c>
    </row>
    <row r="902" ht="15.75" customHeight="1">
      <c r="A902" s="86">
        <v>46027.0</v>
      </c>
      <c r="B902" s="86">
        <v>46043.0</v>
      </c>
      <c r="C902" s="87" t="s">
        <v>317</v>
      </c>
      <c r="D902" s="87" t="s">
        <v>353</v>
      </c>
      <c r="E902" s="65" t="s">
        <v>4</v>
      </c>
      <c r="F902" s="88" t="str">
        <f t="shared" si="13"/>
        <v>-</v>
      </c>
      <c r="G902" s="89">
        <v>0.35</v>
      </c>
    </row>
    <row r="903" ht="15.75" customHeight="1">
      <c r="A903" s="86">
        <v>46027.0</v>
      </c>
      <c r="B903" s="86">
        <v>46043.0</v>
      </c>
      <c r="C903" s="87" t="s">
        <v>317</v>
      </c>
      <c r="D903" s="87" t="s">
        <v>332</v>
      </c>
      <c r="E903" s="65" t="s">
        <v>4</v>
      </c>
      <c r="F903" s="88" t="str">
        <f t="shared" si="13"/>
        <v>-</v>
      </c>
      <c r="G903" s="89">
        <v>0.35</v>
      </c>
    </row>
    <row r="904" ht="15.75" customHeight="1">
      <c r="A904" s="86">
        <v>46027.0</v>
      </c>
      <c r="B904" s="86">
        <v>46043.0</v>
      </c>
      <c r="C904" s="87" t="s">
        <v>317</v>
      </c>
      <c r="D904" s="87" t="s">
        <v>343</v>
      </c>
      <c r="E904" s="65" t="s">
        <v>4</v>
      </c>
      <c r="F904" s="88" t="str">
        <f t="shared" si="13"/>
        <v>-</v>
      </c>
      <c r="G904" s="89">
        <v>0.35</v>
      </c>
    </row>
    <row r="905" ht="15.75" customHeight="1">
      <c r="A905" s="86">
        <v>46027.0</v>
      </c>
      <c r="B905" s="86">
        <v>46043.0</v>
      </c>
      <c r="C905" s="87" t="s">
        <v>317</v>
      </c>
      <c r="D905" s="87" t="s">
        <v>407</v>
      </c>
      <c r="E905" s="65" t="s">
        <v>4</v>
      </c>
      <c r="F905" s="88" t="str">
        <f t="shared" si="13"/>
        <v>-</v>
      </c>
      <c r="G905" s="89">
        <v>0.35</v>
      </c>
    </row>
    <row r="906" ht="15.75" customHeight="1">
      <c r="A906" s="86">
        <v>46027.0</v>
      </c>
      <c r="B906" s="86">
        <v>46043.0</v>
      </c>
      <c r="C906" s="87" t="s">
        <v>317</v>
      </c>
      <c r="D906" s="87" t="s">
        <v>340</v>
      </c>
      <c r="E906" s="65" t="s">
        <v>4</v>
      </c>
      <c r="F906" s="88" t="str">
        <f t="shared" si="13"/>
        <v>-</v>
      </c>
      <c r="G906" s="89">
        <v>0.35</v>
      </c>
    </row>
    <row r="907" ht="15.75" customHeight="1">
      <c r="A907" s="86">
        <v>46027.0</v>
      </c>
      <c r="B907" s="86">
        <v>46043.0</v>
      </c>
      <c r="C907" s="87" t="s">
        <v>317</v>
      </c>
      <c r="D907" s="87" t="s">
        <v>446</v>
      </c>
      <c r="E907" s="65" t="s">
        <v>4</v>
      </c>
      <c r="F907" s="88" t="str">
        <f t="shared" si="13"/>
        <v>-</v>
      </c>
      <c r="G907" s="89">
        <v>0.35</v>
      </c>
    </row>
    <row r="908" ht="15.75" customHeight="1">
      <c r="A908" s="86">
        <v>46027.0</v>
      </c>
      <c r="B908" s="86">
        <v>46043.0</v>
      </c>
      <c r="C908" s="87" t="s">
        <v>317</v>
      </c>
      <c r="D908" s="87" t="s">
        <v>331</v>
      </c>
      <c r="E908" s="65" t="s">
        <v>4</v>
      </c>
      <c r="F908" s="88" t="str">
        <f t="shared" si="13"/>
        <v>-</v>
      </c>
      <c r="G908" s="89">
        <v>0.35</v>
      </c>
    </row>
    <row r="909" ht="15.75" customHeight="1">
      <c r="A909" s="86">
        <v>46027.0</v>
      </c>
      <c r="B909" s="86">
        <v>46043.0</v>
      </c>
      <c r="C909" s="87" t="s">
        <v>317</v>
      </c>
      <c r="D909" s="87" t="s">
        <v>335</v>
      </c>
      <c r="E909" s="65" t="s">
        <v>4</v>
      </c>
      <c r="F909" s="88" t="str">
        <f t="shared" si="13"/>
        <v>-</v>
      </c>
      <c r="G909" s="89">
        <v>0.35</v>
      </c>
    </row>
    <row r="910" ht="15.75" customHeight="1">
      <c r="A910" s="86">
        <v>46027.0</v>
      </c>
      <c r="B910" s="86">
        <v>46043.0</v>
      </c>
      <c r="C910" s="87" t="s">
        <v>317</v>
      </c>
      <c r="D910" s="87" t="s">
        <v>347</v>
      </c>
      <c r="E910" s="65" t="s">
        <v>4</v>
      </c>
      <c r="F910" s="88" t="str">
        <f t="shared" si="13"/>
        <v>-</v>
      </c>
      <c r="G910" s="89">
        <v>0.35</v>
      </c>
    </row>
    <row r="911" ht="15.75" customHeight="1">
      <c r="A911" s="86">
        <v>46027.0</v>
      </c>
      <c r="B911" s="86">
        <v>46043.0</v>
      </c>
      <c r="C911" s="87" t="s">
        <v>317</v>
      </c>
      <c r="D911" s="87" t="s">
        <v>447</v>
      </c>
      <c r="E911" s="65" t="s">
        <v>4</v>
      </c>
      <c r="F911" s="88" t="str">
        <f t="shared" si="13"/>
        <v>-</v>
      </c>
      <c r="G911" s="89">
        <v>0.35</v>
      </c>
    </row>
    <row r="912" ht="15.75" customHeight="1">
      <c r="A912" s="86">
        <v>46027.0</v>
      </c>
      <c r="B912" s="86">
        <v>46043.0</v>
      </c>
      <c r="C912" s="87" t="s">
        <v>317</v>
      </c>
      <c r="D912" s="87" t="s">
        <v>409</v>
      </c>
      <c r="E912" s="65" t="s">
        <v>4</v>
      </c>
      <c r="F912" s="88" t="str">
        <f t="shared" si="13"/>
        <v>-</v>
      </c>
      <c r="G912" s="89">
        <v>0.35</v>
      </c>
    </row>
    <row r="913" ht="15.75" customHeight="1">
      <c r="A913" s="86">
        <v>46027.0</v>
      </c>
      <c r="B913" s="86">
        <v>46043.0</v>
      </c>
      <c r="C913" s="87" t="s">
        <v>317</v>
      </c>
      <c r="D913" s="87" t="s">
        <v>342</v>
      </c>
      <c r="E913" s="65" t="s">
        <v>4</v>
      </c>
      <c r="F913" s="88" t="str">
        <f t="shared" si="13"/>
        <v>-</v>
      </c>
      <c r="G913" s="89">
        <v>0.35</v>
      </c>
    </row>
    <row r="914" ht="15.75" customHeight="1">
      <c r="A914" s="86">
        <v>46027.0</v>
      </c>
      <c r="B914" s="86">
        <v>46043.0</v>
      </c>
      <c r="C914" s="87" t="s">
        <v>317</v>
      </c>
      <c r="D914" s="87" t="s">
        <v>341</v>
      </c>
      <c r="E914" s="65" t="s">
        <v>4</v>
      </c>
      <c r="F914" s="88" t="str">
        <f t="shared" si="13"/>
        <v>-</v>
      </c>
      <c r="G914" s="89">
        <v>0.2</v>
      </c>
    </row>
    <row r="915" ht="15.75" customHeight="1">
      <c r="A915" s="86">
        <v>46027.0</v>
      </c>
      <c r="B915" s="86">
        <v>46043.0</v>
      </c>
      <c r="C915" s="87" t="s">
        <v>317</v>
      </c>
      <c r="D915" s="87" t="s">
        <v>411</v>
      </c>
      <c r="E915" s="65" t="s">
        <v>4</v>
      </c>
      <c r="F915" s="88" t="str">
        <f t="shared" si="13"/>
        <v>-</v>
      </c>
      <c r="G915" s="89">
        <v>0.35</v>
      </c>
    </row>
    <row r="916" ht="15.75" customHeight="1">
      <c r="A916" s="86">
        <v>46027.0</v>
      </c>
      <c r="B916" s="86">
        <v>46043.0</v>
      </c>
      <c r="C916" s="87" t="s">
        <v>317</v>
      </c>
      <c r="D916" s="87" t="s">
        <v>448</v>
      </c>
      <c r="E916" s="65" t="s">
        <v>4</v>
      </c>
      <c r="F916" s="88" t="str">
        <f t="shared" si="13"/>
        <v>-</v>
      </c>
      <c r="G916" s="89">
        <v>0.35</v>
      </c>
    </row>
    <row r="917" ht="15.75" customHeight="1">
      <c r="A917" s="86">
        <v>46027.0</v>
      </c>
      <c r="B917" s="86">
        <v>46043.0</v>
      </c>
      <c r="C917" s="87" t="s">
        <v>317</v>
      </c>
      <c r="D917" s="87" t="s">
        <v>449</v>
      </c>
      <c r="E917" s="65" t="s">
        <v>4</v>
      </c>
      <c r="F917" s="88" t="str">
        <f t="shared" si="13"/>
        <v>-</v>
      </c>
      <c r="G917" s="89">
        <v>0.35</v>
      </c>
    </row>
    <row r="918" ht="15.75" customHeight="1">
      <c r="A918" s="86">
        <v>46027.0</v>
      </c>
      <c r="B918" s="86">
        <v>46043.0</v>
      </c>
      <c r="C918" s="87" t="s">
        <v>317</v>
      </c>
      <c r="D918" s="87" t="s">
        <v>195</v>
      </c>
      <c r="E918" s="65" t="s">
        <v>4</v>
      </c>
      <c r="F918" s="88" t="str">
        <f t="shared" si="13"/>
        <v>-</v>
      </c>
      <c r="G918" s="89">
        <v>0.35</v>
      </c>
    </row>
    <row r="919" ht="15.75" customHeight="1">
      <c r="A919" s="86">
        <v>46027.0</v>
      </c>
      <c r="B919" s="86">
        <v>46043.0</v>
      </c>
      <c r="C919" s="87" t="s">
        <v>317</v>
      </c>
      <c r="D919" s="87" t="s">
        <v>296</v>
      </c>
      <c r="E919" s="65" t="s">
        <v>4</v>
      </c>
      <c r="F919" s="88" t="str">
        <f t="shared" si="13"/>
        <v>-</v>
      </c>
      <c r="G919" s="89">
        <v>0.35</v>
      </c>
    </row>
    <row r="920" ht="15.75" customHeight="1">
      <c r="A920" s="86">
        <v>46027.0</v>
      </c>
      <c r="B920" s="86">
        <v>46043.0</v>
      </c>
      <c r="C920" s="87" t="s">
        <v>317</v>
      </c>
      <c r="D920" s="87" t="s">
        <v>221</v>
      </c>
      <c r="E920" s="65" t="s">
        <v>4</v>
      </c>
      <c r="F920" s="88" t="str">
        <f t="shared" si="13"/>
        <v>-</v>
      </c>
      <c r="G920" s="89">
        <v>0.35</v>
      </c>
    </row>
    <row r="921" ht="15.75" customHeight="1">
      <c r="A921" s="86">
        <v>46027.0</v>
      </c>
      <c r="B921" s="86">
        <v>46043.0</v>
      </c>
      <c r="C921" s="87" t="s">
        <v>317</v>
      </c>
      <c r="D921" s="87" t="s">
        <v>224</v>
      </c>
      <c r="E921" s="65" t="s">
        <v>4</v>
      </c>
      <c r="F921" s="88" t="str">
        <f t="shared" si="13"/>
        <v>-</v>
      </c>
      <c r="G921" s="89">
        <v>0.35</v>
      </c>
    </row>
    <row r="922" ht="15.75" customHeight="1">
      <c r="A922" s="86">
        <v>46027.0</v>
      </c>
      <c r="B922" s="86">
        <v>46043.0</v>
      </c>
      <c r="C922" s="87" t="s">
        <v>317</v>
      </c>
      <c r="D922" s="87" t="s">
        <v>226</v>
      </c>
      <c r="E922" s="65" t="s">
        <v>4</v>
      </c>
      <c r="F922" s="88" t="str">
        <f t="shared" si="13"/>
        <v>-</v>
      </c>
      <c r="G922" s="89">
        <v>0.3</v>
      </c>
    </row>
    <row r="923" ht="15.75" customHeight="1">
      <c r="A923" s="86">
        <v>46027.0</v>
      </c>
      <c r="B923" s="86">
        <v>46043.0</v>
      </c>
      <c r="C923" s="87" t="s">
        <v>317</v>
      </c>
      <c r="D923" s="87" t="s">
        <v>229</v>
      </c>
      <c r="E923" s="65" t="s">
        <v>4</v>
      </c>
      <c r="F923" s="88" t="str">
        <f t="shared" si="13"/>
        <v>-</v>
      </c>
      <c r="G923" s="89">
        <v>0.25</v>
      </c>
    </row>
    <row r="924" ht="15.75" customHeight="1">
      <c r="A924" s="86">
        <v>46027.0</v>
      </c>
      <c r="B924" s="86">
        <v>46043.0</v>
      </c>
      <c r="C924" s="87" t="s">
        <v>317</v>
      </c>
      <c r="D924" s="87" t="s">
        <v>201</v>
      </c>
      <c r="E924" s="65" t="s">
        <v>4</v>
      </c>
      <c r="F924" s="88" t="str">
        <f t="shared" si="13"/>
        <v>-</v>
      </c>
      <c r="G924" s="89">
        <v>0.35</v>
      </c>
    </row>
    <row r="925" ht="15.75" customHeight="1">
      <c r="A925" s="86">
        <v>46027.0</v>
      </c>
      <c r="B925" s="86">
        <v>46043.0</v>
      </c>
      <c r="C925" s="87" t="s">
        <v>317</v>
      </c>
      <c r="D925" s="87" t="s">
        <v>203</v>
      </c>
      <c r="E925" s="65" t="s">
        <v>4</v>
      </c>
      <c r="F925" s="88" t="str">
        <f t="shared" si="13"/>
        <v>-</v>
      </c>
      <c r="G925" s="89">
        <v>0.35</v>
      </c>
    </row>
    <row r="926" ht="15.75" customHeight="1">
      <c r="A926" s="86">
        <v>46027.0</v>
      </c>
      <c r="B926" s="86">
        <v>46043.0</v>
      </c>
      <c r="C926" s="87" t="s">
        <v>317</v>
      </c>
      <c r="D926" s="87" t="s">
        <v>205</v>
      </c>
      <c r="E926" s="65" t="s">
        <v>4</v>
      </c>
      <c r="F926" s="88" t="str">
        <f t="shared" si="13"/>
        <v>-</v>
      </c>
      <c r="G926" s="89">
        <v>0.35</v>
      </c>
    </row>
    <row r="927" ht="15.75" customHeight="1">
      <c r="A927" s="86">
        <v>46027.0</v>
      </c>
      <c r="B927" s="86">
        <v>46043.0</v>
      </c>
      <c r="C927" s="87" t="s">
        <v>317</v>
      </c>
      <c r="D927" s="87" t="s">
        <v>209</v>
      </c>
      <c r="E927" s="65" t="s">
        <v>4</v>
      </c>
      <c r="F927" s="88" t="str">
        <f t="shared" si="13"/>
        <v>-</v>
      </c>
      <c r="G927" s="89">
        <v>0.35</v>
      </c>
    </row>
    <row r="928" ht="15.75" customHeight="1">
      <c r="A928" s="86">
        <v>46027.0</v>
      </c>
      <c r="B928" s="86">
        <v>46043.0</v>
      </c>
      <c r="C928" s="87" t="s">
        <v>317</v>
      </c>
      <c r="D928" s="87" t="s">
        <v>291</v>
      </c>
      <c r="E928" s="65" t="s">
        <v>4</v>
      </c>
      <c r="F928" s="88" t="str">
        <f t="shared" si="13"/>
        <v>-</v>
      </c>
      <c r="G928" s="89">
        <v>0.35</v>
      </c>
    </row>
    <row r="929" ht="15.75" customHeight="1">
      <c r="A929" s="86">
        <v>46027.0</v>
      </c>
      <c r="B929" s="86">
        <v>46043.0</v>
      </c>
      <c r="C929" s="87" t="s">
        <v>317</v>
      </c>
      <c r="D929" s="87" t="s">
        <v>292</v>
      </c>
      <c r="E929" s="65" t="s">
        <v>4</v>
      </c>
      <c r="F929" s="88" t="str">
        <f t="shared" si="13"/>
        <v>-</v>
      </c>
      <c r="G929" s="89">
        <v>0.35</v>
      </c>
    </row>
    <row r="930" ht="15.75" customHeight="1">
      <c r="A930" s="86">
        <v>46027.0</v>
      </c>
      <c r="B930" s="86">
        <v>46043.0</v>
      </c>
      <c r="C930" s="87" t="s">
        <v>317</v>
      </c>
      <c r="D930" s="87" t="s">
        <v>293</v>
      </c>
      <c r="E930" s="65" t="s">
        <v>4</v>
      </c>
      <c r="F930" s="88" t="str">
        <f t="shared" si="13"/>
        <v>-</v>
      </c>
      <c r="G930" s="89">
        <v>0.35</v>
      </c>
    </row>
    <row r="931" ht="15.75" customHeight="1">
      <c r="A931" s="86">
        <v>46027.0</v>
      </c>
      <c r="B931" s="86">
        <v>46043.0</v>
      </c>
      <c r="C931" s="87" t="s">
        <v>317</v>
      </c>
      <c r="D931" s="87" t="s">
        <v>295</v>
      </c>
      <c r="E931" s="65" t="s">
        <v>4</v>
      </c>
      <c r="F931" s="88" t="str">
        <f t="shared" si="13"/>
        <v>-</v>
      </c>
      <c r="G931" s="89">
        <v>0.35</v>
      </c>
    </row>
    <row r="932" ht="15.75" customHeight="1">
      <c r="A932" s="86">
        <v>46027.0</v>
      </c>
      <c r="B932" s="86">
        <v>46043.0</v>
      </c>
      <c r="C932" s="87" t="s">
        <v>317</v>
      </c>
      <c r="D932" s="87" t="s">
        <v>452</v>
      </c>
      <c r="E932" s="65" t="s">
        <v>4</v>
      </c>
      <c r="F932" s="88" t="str">
        <f t="shared" si="13"/>
        <v>-</v>
      </c>
      <c r="G932" s="89">
        <v>0.35</v>
      </c>
    </row>
    <row r="933" ht="15.75" customHeight="1">
      <c r="A933" s="86">
        <v>46027.0</v>
      </c>
      <c r="B933" s="86">
        <v>46043.0</v>
      </c>
      <c r="C933" s="87" t="s">
        <v>317</v>
      </c>
      <c r="D933" s="87" t="s">
        <v>414</v>
      </c>
      <c r="E933" s="65" t="s">
        <v>4</v>
      </c>
      <c r="F933" s="88" t="str">
        <f t="shared" si="13"/>
        <v>-</v>
      </c>
      <c r="G933" s="89">
        <v>0.35</v>
      </c>
    </row>
    <row r="934" ht="15.75" customHeight="1">
      <c r="A934" s="86">
        <v>46027.0</v>
      </c>
      <c r="B934" s="86">
        <v>46043.0</v>
      </c>
      <c r="C934" s="87" t="s">
        <v>317</v>
      </c>
      <c r="D934" s="87" t="s">
        <v>329</v>
      </c>
      <c r="E934" s="65" t="s">
        <v>4</v>
      </c>
      <c r="F934" s="88" t="str">
        <f t="shared" si="13"/>
        <v>-</v>
      </c>
      <c r="G934" s="89">
        <v>0.35</v>
      </c>
    </row>
    <row r="935" ht="15.75" customHeight="1">
      <c r="A935" s="86">
        <v>46027.0</v>
      </c>
      <c r="B935" s="86">
        <v>46043.0</v>
      </c>
      <c r="C935" s="87" t="s">
        <v>317</v>
      </c>
      <c r="D935" s="87" t="s">
        <v>455</v>
      </c>
      <c r="E935" s="65" t="s">
        <v>4</v>
      </c>
      <c r="F935" s="88" t="str">
        <f t="shared" si="13"/>
        <v>-</v>
      </c>
      <c r="G935" s="89">
        <v>0.35</v>
      </c>
    </row>
    <row r="936" ht="15.75" customHeight="1">
      <c r="A936" s="86">
        <v>46027.0</v>
      </c>
      <c r="B936" s="86">
        <v>46043.0</v>
      </c>
      <c r="C936" s="87" t="s">
        <v>317</v>
      </c>
      <c r="D936" s="87" t="s">
        <v>418</v>
      </c>
      <c r="E936" s="65" t="s">
        <v>4</v>
      </c>
      <c r="F936" s="88" t="str">
        <f t="shared" si="13"/>
        <v>-</v>
      </c>
      <c r="G936" s="89">
        <v>0.35</v>
      </c>
    </row>
    <row r="937" ht="15.75" customHeight="1">
      <c r="A937" s="86">
        <v>46027.0</v>
      </c>
      <c r="B937" s="86">
        <v>46043.0</v>
      </c>
      <c r="C937" s="87" t="s">
        <v>317</v>
      </c>
      <c r="D937" s="87" t="s">
        <v>336</v>
      </c>
      <c r="E937" s="65" t="s">
        <v>4</v>
      </c>
      <c r="F937" s="88" t="str">
        <f t="shared" si="13"/>
        <v>-</v>
      </c>
      <c r="G937" s="89">
        <v>0.35</v>
      </c>
    </row>
    <row r="938" ht="15.75" customHeight="1">
      <c r="A938" s="86">
        <v>46027.0</v>
      </c>
      <c r="B938" s="86">
        <v>46043.0</v>
      </c>
      <c r="C938" s="87" t="s">
        <v>317</v>
      </c>
      <c r="D938" s="87" t="s">
        <v>18</v>
      </c>
      <c r="E938" s="65">
        <v>24.99</v>
      </c>
      <c r="F938" s="88">
        <f t="shared" si="13"/>
        <v>16.7433</v>
      </c>
      <c r="G938" s="89">
        <v>0.33</v>
      </c>
    </row>
    <row r="939" ht="15.75" customHeight="1">
      <c r="A939" s="86">
        <v>46027.0</v>
      </c>
      <c r="B939" s="86">
        <v>46043.0</v>
      </c>
      <c r="C939" s="87" t="s">
        <v>317</v>
      </c>
      <c r="D939" s="87" t="s">
        <v>32</v>
      </c>
      <c r="E939" s="65">
        <v>24.99</v>
      </c>
      <c r="F939" s="88">
        <f t="shared" si="13"/>
        <v>16.7433</v>
      </c>
      <c r="G939" s="89">
        <v>0.33</v>
      </c>
    </row>
    <row r="940" ht="15.75" customHeight="1">
      <c r="A940" s="86">
        <v>46027.0</v>
      </c>
      <c r="B940" s="86">
        <v>46043.0</v>
      </c>
      <c r="C940" s="87" t="s">
        <v>317</v>
      </c>
      <c r="D940" s="87" t="s">
        <v>34</v>
      </c>
      <c r="E940" s="65">
        <v>24.99</v>
      </c>
      <c r="F940" s="88">
        <f t="shared" si="13"/>
        <v>16.7433</v>
      </c>
      <c r="G940" s="89">
        <v>0.33</v>
      </c>
    </row>
    <row r="941" ht="15.75" customHeight="1">
      <c r="A941" s="86">
        <v>46027.0</v>
      </c>
      <c r="B941" s="86">
        <v>46043.0</v>
      </c>
      <c r="C941" s="87" t="s">
        <v>317</v>
      </c>
      <c r="D941" s="87" t="s">
        <v>307</v>
      </c>
      <c r="E941" s="65">
        <v>24.99</v>
      </c>
      <c r="F941" s="88">
        <f t="shared" si="13"/>
        <v>19.992</v>
      </c>
      <c r="G941" s="89">
        <v>0.2</v>
      </c>
    </row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G1"/>
    <mergeCell ref="A3:G3"/>
    <mergeCell ref="A191:G191"/>
    <mergeCell ref="A577:G577"/>
  </mergeCells>
  <drawing r:id="rId1"/>
  <tableParts count="2">
    <tablePart r:id="rId4"/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75"/>
    <col customWidth="1" min="2" max="2" width="7.88"/>
    <col customWidth="1" min="3" max="3" width="31.5"/>
    <col customWidth="1" min="4" max="4" width="39.38"/>
    <col customWidth="1" min="5" max="5" width="15.75"/>
    <col customWidth="1" min="6" max="6" width="15.0"/>
    <col customWidth="1" min="7" max="7" width="9.38"/>
  </cols>
  <sheetData>
    <row r="1" ht="15.75" customHeight="1">
      <c r="A1" s="2">
        <v>2025.0</v>
      </c>
    </row>
    <row r="2" ht="15.75" customHeight="1">
      <c r="A2" s="4" t="s">
        <v>2</v>
      </c>
      <c r="B2" s="4" t="s">
        <v>6</v>
      </c>
      <c r="C2" s="4" t="s">
        <v>7</v>
      </c>
      <c r="D2" s="4" t="s">
        <v>8</v>
      </c>
      <c r="E2" s="7" t="s">
        <v>9</v>
      </c>
      <c r="F2" s="7" t="s">
        <v>10</v>
      </c>
      <c r="G2" s="7" t="s">
        <v>11</v>
      </c>
    </row>
    <row r="3" ht="15.75" customHeight="1">
      <c r="A3" s="9" t="s">
        <v>14</v>
      </c>
    </row>
    <row r="4" ht="15.75" customHeight="1">
      <c r="A4" s="43">
        <v>45715.0</v>
      </c>
      <c r="B4" s="43">
        <v>45729.0</v>
      </c>
      <c r="C4" s="44" t="s">
        <v>486</v>
      </c>
      <c r="D4" s="13" t="s">
        <v>35</v>
      </c>
      <c r="E4" s="8">
        <v>39.99</v>
      </c>
      <c r="F4" s="8">
        <f t="shared" ref="F4:F11" si="1">E4*(1-G4)</f>
        <v>23.994</v>
      </c>
      <c r="G4" s="32">
        <v>0.4</v>
      </c>
    </row>
    <row r="5" ht="15.75" customHeight="1">
      <c r="A5" s="43">
        <v>45715.0</v>
      </c>
      <c r="B5" s="43">
        <v>45729.0</v>
      </c>
      <c r="C5" s="44" t="s">
        <v>486</v>
      </c>
      <c r="D5" s="13" t="s">
        <v>37</v>
      </c>
      <c r="E5" s="8">
        <v>59.99</v>
      </c>
      <c r="F5" s="8">
        <f t="shared" si="1"/>
        <v>35.994</v>
      </c>
      <c r="G5" s="32">
        <v>0.4</v>
      </c>
    </row>
    <row r="6" ht="15.75" customHeight="1">
      <c r="A6" s="43">
        <v>45715.0</v>
      </c>
      <c r="B6" s="43">
        <v>45729.0</v>
      </c>
      <c r="C6" s="44" t="s">
        <v>486</v>
      </c>
      <c r="D6" s="13" t="s">
        <v>36</v>
      </c>
      <c r="E6" s="8">
        <v>69.99</v>
      </c>
      <c r="F6" s="8">
        <f t="shared" si="1"/>
        <v>39.8943</v>
      </c>
      <c r="G6" s="32">
        <v>0.43</v>
      </c>
    </row>
    <row r="7" ht="15.75" customHeight="1">
      <c r="A7" s="43">
        <v>45715.0</v>
      </c>
      <c r="B7" s="43">
        <v>45729.0</v>
      </c>
      <c r="C7" s="44" t="s">
        <v>486</v>
      </c>
      <c r="D7" s="13" t="s">
        <v>212</v>
      </c>
      <c r="E7" s="8">
        <v>29.99</v>
      </c>
      <c r="F7" s="8">
        <f t="shared" si="1"/>
        <v>22.4925</v>
      </c>
      <c r="G7" s="32">
        <v>0.25</v>
      </c>
    </row>
    <row r="8" ht="15.75" customHeight="1">
      <c r="A8" s="43">
        <v>45715.0</v>
      </c>
      <c r="B8" s="43">
        <v>45729.0</v>
      </c>
      <c r="C8" s="44" t="s">
        <v>486</v>
      </c>
      <c r="D8" s="13" t="s">
        <v>216</v>
      </c>
      <c r="E8" s="8">
        <v>11.99</v>
      </c>
      <c r="F8" s="8">
        <f t="shared" si="1"/>
        <v>8.9925</v>
      </c>
      <c r="G8" s="19">
        <v>0.25</v>
      </c>
    </row>
    <row r="9" ht="15.75" customHeight="1">
      <c r="A9" s="43">
        <v>45715.0</v>
      </c>
      <c r="B9" s="43">
        <v>45729.0</v>
      </c>
      <c r="C9" s="44" t="s">
        <v>486</v>
      </c>
      <c r="D9" s="6" t="s">
        <v>219</v>
      </c>
      <c r="E9" s="8">
        <v>2.99</v>
      </c>
      <c r="F9" s="8">
        <f t="shared" si="1"/>
        <v>2.392</v>
      </c>
      <c r="G9" s="19">
        <v>0.2</v>
      </c>
    </row>
    <row r="10" ht="15.75" customHeight="1">
      <c r="A10" s="43">
        <v>45715.0</v>
      </c>
      <c r="B10" s="43">
        <v>45729.0</v>
      </c>
      <c r="C10" s="44" t="s">
        <v>486</v>
      </c>
      <c r="D10" s="6" t="s">
        <v>222</v>
      </c>
      <c r="E10" s="8">
        <v>2.99</v>
      </c>
      <c r="F10" s="8">
        <f t="shared" si="1"/>
        <v>2.392</v>
      </c>
      <c r="G10" s="19">
        <v>0.2</v>
      </c>
    </row>
    <row r="11" ht="15.75" customHeight="1">
      <c r="A11" s="43">
        <v>45715.0</v>
      </c>
      <c r="B11" s="43">
        <v>45729.0</v>
      </c>
      <c r="C11" s="44" t="s">
        <v>486</v>
      </c>
      <c r="D11" s="55" t="s">
        <v>227</v>
      </c>
      <c r="E11" s="55">
        <v>6.99</v>
      </c>
      <c r="F11" s="8">
        <f t="shared" si="1"/>
        <v>5.2425</v>
      </c>
      <c r="G11" s="32">
        <v>0.25</v>
      </c>
    </row>
    <row r="12" ht="15.75" customHeight="1"/>
    <row r="13" ht="15.75" customHeight="1">
      <c r="G13" s="52"/>
    </row>
    <row r="14" ht="15.75" customHeight="1">
      <c r="A14" s="11">
        <v>45729.0</v>
      </c>
      <c r="B14" s="12">
        <v>45734.0</v>
      </c>
      <c r="C14" s="1" t="s">
        <v>54</v>
      </c>
      <c r="D14" s="13" t="s">
        <v>35</v>
      </c>
      <c r="E14" s="8">
        <v>39.99</v>
      </c>
      <c r="F14" s="8">
        <f t="shared" ref="F14:F22" si="2">E14*(1-G14)</f>
        <v>23.994</v>
      </c>
      <c r="G14" s="19">
        <v>0.4</v>
      </c>
    </row>
    <row r="15" ht="15.75" customHeight="1">
      <c r="A15" s="11">
        <v>45729.0</v>
      </c>
      <c r="B15" s="12">
        <v>45734.0</v>
      </c>
      <c r="C15" s="1" t="s">
        <v>54</v>
      </c>
      <c r="D15" s="13" t="s">
        <v>37</v>
      </c>
      <c r="E15" s="8">
        <v>59.99</v>
      </c>
      <c r="F15" s="8">
        <f t="shared" si="2"/>
        <v>35.994</v>
      </c>
      <c r="G15" s="19">
        <v>0.4</v>
      </c>
    </row>
    <row r="16" ht="15.75" customHeight="1">
      <c r="A16" s="11">
        <v>45729.0</v>
      </c>
      <c r="B16" s="12">
        <v>45734.0</v>
      </c>
      <c r="C16" s="1" t="s">
        <v>54</v>
      </c>
      <c r="D16" s="13" t="s">
        <v>36</v>
      </c>
      <c r="E16" s="8">
        <v>69.99</v>
      </c>
      <c r="F16" s="8">
        <f t="shared" si="2"/>
        <v>39.8943</v>
      </c>
      <c r="G16" s="19">
        <v>0.43</v>
      </c>
    </row>
    <row r="17" ht="15.75" customHeight="1">
      <c r="A17" s="11">
        <v>45729.0</v>
      </c>
      <c r="B17" s="12">
        <v>45734.0</v>
      </c>
      <c r="C17" s="1" t="s">
        <v>54</v>
      </c>
      <c r="D17" s="13" t="s">
        <v>212</v>
      </c>
      <c r="E17" s="8">
        <v>29.99</v>
      </c>
      <c r="F17" s="8">
        <f t="shared" si="2"/>
        <v>22.4925</v>
      </c>
      <c r="G17" s="19">
        <v>0.25</v>
      </c>
    </row>
    <row r="18" ht="15.75" customHeight="1">
      <c r="A18" s="11">
        <v>45729.0</v>
      </c>
      <c r="B18" s="12">
        <v>45734.0</v>
      </c>
      <c r="C18" s="1" t="s">
        <v>54</v>
      </c>
      <c r="D18" s="13" t="s">
        <v>216</v>
      </c>
      <c r="E18" s="8">
        <v>11.99</v>
      </c>
      <c r="F18" s="8">
        <f t="shared" si="2"/>
        <v>8.9925</v>
      </c>
      <c r="G18" s="19">
        <v>0.25</v>
      </c>
    </row>
    <row r="19" ht="15.75" customHeight="1">
      <c r="A19" s="11">
        <v>45729.0</v>
      </c>
      <c r="B19" s="12">
        <v>45734.0</v>
      </c>
      <c r="C19" s="1" t="s">
        <v>54</v>
      </c>
      <c r="D19" s="6" t="s">
        <v>219</v>
      </c>
      <c r="E19" s="8">
        <v>2.99</v>
      </c>
      <c r="F19" s="8">
        <f t="shared" si="2"/>
        <v>2.392</v>
      </c>
      <c r="G19" s="19">
        <v>0.2</v>
      </c>
    </row>
    <row r="20" ht="15.75" customHeight="1">
      <c r="A20" s="11">
        <v>45729.0</v>
      </c>
      <c r="B20" s="12">
        <v>45734.0</v>
      </c>
      <c r="C20" s="1" t="s">
        <v>54</v>
      </c>
      <c r="D20" s="6" t="s">
        <v>222</v>
      </c>
      <c r="E20" s="8">
        <v>2.99</v>
      </c>
      <c r="F20" s="8">
        <f t="shared" si="2"/>
        <v>2.392</v>
      </c>
      <c r="G20" s="19">
        <v>0.2</v>
      </c>
    </row>
    <row r="21" ht="15.75" customHeight="1">
      <c r="A21" s="11">
        <v>45729.0</v>
      </c>
      <c r="B21" s="12">
        <v>45734.0</v>
      </c>
      <c r="C21" s="1" t="s">
        <v>54</v>
      </c>
      <c r="D21" s="55" t="s">
        <v>227</v>
      </c>
      <c r="E21" s="55">
        <v>6.99</v>
      </c>
      <c r="F21" s="8">
        <f t="shared" si="2"/>
        <v>5.2425</v>
      </c>
      <c r="G21" s="19">
        <v>0.25</v>
      </c>
    </row>
    <row r="22" ht="15.75" customHeight="1">
      <c r="A22" s="11">
        <v>45729.0</v>
      </c>
      <c r="B22" s="12">
        <v>45734.0</v>
      </c>
      <c r="C22" s="44" t="s">
        <v>492</v>
      </c>
      <c r="D22" s="55" t="s">
        <v>231</v>
      </c>
      <c r="E22" s="55">
        <v>6.99</v>
      </c>
      <c r="F22" s="8">
        <f t="shared" si="2"/>
        <v>6.99</v>
      </c>
      <c r="G22" s="19">
        <v>0.0</v>
      </c>
    </row>
    <row r="23" ht="15.75" customHeight="1"/>
    <row r="24" ht="15.75" customHeight="1">
      <c r="A24" s="11">
        <v>45759.0</v>
      </c>
      <c r="B24" s="12">
        <v>45766.0</v>
      </c>
      <c r="C24" s="1" t="s">
        <v>27</v>
      </c>
      <c r="D24" s="13" t="s">
        <v>35</v>
      </c>
      <c r="E24" s="8">
        <v>39.99</v>
      </c>
      <c r="F24" s="8">
        <f t="shared" ref="F24:F32" si="3">E24*(1-G24)</f>
        <v>23.994</v>
      </c>
      <c r="G24" s="19">
        <v>0.4</v>
      </c>
    </row>
    <row r="25" ht="15.75" customHeight="1">
      <c r="A25" s="11">
        <v>45759.0</v>
      </c>
      <c r="B25" s="12">
        <v>45766.0</v>
      </c>
      <c r="C25" s="1" t="s">
        <v>27</v>
      </c>
      <c r="D25" s="13" t="s">
        <v>37</v>
      </c>
      <c r="E25" s="8">
        <v>59.99</v>
      </c>
      <c r="F25" s="8">
        <f t="shared" si="3"/>
        <v>35.994</v>
      </c>
      <c r="G25" s="19">
        <v>0.4</v>
      </c>
    </row>
    <row r="26" ht="15.75" customHeight="1">
      <c r="A26" s="11">
        <v>45759.0</v>
      </c>
      <c r="B26" s="12">
        <v>45766.0</v>
      </c>
      <c r="C26" s="1" t="s">
        <v>27</v>
      </c>
      <c r="D26" s="13" t="s">
        <v>36</v>
      </c>
      <c r="E26" s="8">
        <v>69.99</v>
      </c>
      <c r="F26" s="8">
        <f t="shared" si="3"/>
        <v>39.8943</v>
      </c>
      <c r="G26" s="19">
        <v>0.43</v>
      </c>
    </row>
    <row r="27" ht="15.75" customHeight="1">
      <c r="A27" s="11">
        <v>45759.0</v>
      </c>
      <c r="B27" s="12">
        <v>45766.0</v>
      </c>
      <c r="C27" s="1" t="s">
        <v>27</v>
      </c>
      <c r="D27" s="13" t="s">
        <v>212</v>
      </c>
      <c r="E27" s="8">
        <v>29.99</v>
      </c>
      <c r="F27" s="8">
        <f t="shared" si="3"/>
        <v>22.4925</v>
      </c>
      <c r="G27" s="19">
        <v>0.25</v>
      </c>
    </row>
    <row r="28" ht="15.75" customHeight="1">
      <c r="A28" s="11">
        <v>45759.0</v>
      </c>
      <c r="B28" s="12">
        <v>45766.0</v>
      </c>
      <c r="C28" s="1" t="s">
        <v>27</v>
      </c>
      <c r="D28" s="13" t="s">
        <v>216</v>
      </c>
      <c r="E28" s="8">
        <v>11.99</v>
      </c>
      <c r="F28" s="8">
        <f t="shared" si="3"/>
        <v>8.9925</v>
      </c>
      <c r="G28" s="19">
        <v>0.25</v>
      </c>
    </row>
    <row r="29" ht="15.75" customHeight="1">
      <c r="A29" s="11">
        <v>45759.0</v>
      </c>
      <c r="B29" s="12">
        <v>45766.0</v>
      </c>
      <c r="C29" s="1" t="s">
        <v>27</v>
      </c>
      <c r="D29" s="6" t="s">
        <v>219</v>
      </c>
      <c r="E29" s="8">
        <v>2.99</v>
      </c>
      <c r="F29" s="8">
        <f t="shared" si="3"/>
        <v>2.392</v>
      </c>
      <c r="G29" s="19">
        <v>0.2</v>
      </c>
    </row>
    <row r="30" ht="15.75" customHeight="1">
      <c r="A30" s="11">
        <v>45759.0</v>
      </c>
      <c r="B30" s="12">
        <v>45766.0</v>
      </c>
      <c r="C30" s="1" t="s">
        <v>27</v>
      </c>
      <c r="D30" s="6" t="s">
        <v>222</v>
      </c>
      <c r="E30" s="8">
        <v>2.99</v>
      </c>
      <c r="F30" s="8">
        <f t="shared" si="3"/>
        <v>2.392</v>
      </c>
      <c r="G30" s="19">
        <v>0.2</v>
      </c>
    </row>
    <row r="31" ht="15.75" customHeight="1">
      <c r="A31" s="11">
        <v>45759.0</v>
      </c>
      <c r="B31" s="12">
        <v>45766.0</v>
      </c>
      <c r="C31" s="1" t="s">
        <v>27</v>
      </c>
      <c r="D31" s="55" t="s">
        <v>227</v>
      </c>
      <c r="E31" s="55">
        <v>6.99</v>
      </c>
      <c r="F31" s="8">
        <f t="shared" si="3"/>
        <v>5.2425</v>
      </c>
      <c r="G31" s="19">
        <v>0.25</v>
      </c>
    </row>
    <row r="32" ht="15.75" customHeight="1">
      <c r="A32" s="11">
        <v>45759.0</v>
      </c>
      <c r="B32" s="12">
        <v>45766.0</v>
      </c>
      <c r="C32" s="1" t="s">
        <v>27</v>
      </c>
      <c r="D32" s="55" t="s">
        <v>231</v>
      </c>
      <c r="E32" s="55">
        <v>6.99</v>
      </c>
      <c r="F32" s="8">
        <f t="shared" si="3"/>
        <v>6.99</v>
      </c>
      <c r="G32" s="19">
        <v>0.0</v>
      </c>
      <c r="H32" s="53" t="s">
        <v>495</v>
      </c>
    </row>
    <row r="33" ht="15.75" customHeight="1"/>
    <row r="34" ht="15.75" customHeight="1">
      <c r="A34" s="11">
        <v>45796.0</v>
      </c>
      <c r="B34" s="12">
        <v>45810.0</v>
      </c>
      <c r="C34" s="1" t="s">
        <v>27</v>
      </c>
      <c r="D34" s="13" t="s">
        <v>35</v>
      </c>
      <c r="E34" s="8">
        <v>39.99</v>
      </c>
      <c r="F34" s="8">
        <f t="shared" ref="F34:F42" si="4">E34*(1-G34)</f>
        <v>23.994</v>
      </c>
      <c r="G34" s="19">
        <v>0.4</v>
      </c>
    </row>
    <row r="35" ht="15.75" customHeight="1">
      <c r="A35" s="11">
        <v>45796.0</v>
      </c>
      <c r="B35" s="12">
        <v>45810.0</v>
      </c>
      <c r="C35" s="1" t="s">
        <v>27</v>
      </c>
      <c r="D35" s="13" t="s">
        <v>37</v>
      </c>
      <c r="E35" s="8">
        <v>59.99</v>
      </c>
      <c r="F35" s="8">
        <f t="shared" si="4"/>
        <v>35.994</v>
      </c>
      <c r="G35" s="19">
        <v>0.4</v>
      </c>
    </row>
    <row r="36" ht="15.75" customHeight="1">
      <c r="A36" s="11">
        <v>45796.0</v>
      </c>
      <c r="B36" s="12">
        <v>45810.0</v>
      </c>
      <c r="C36" s="1" t="s">
        <v>27</v>
      </c>
      <c r="D36" s="13" t="s">
        <v>36</v>
      </c>
      <c r="E36" s="8">
        <v>69.99</v>
      </c>
      <c r="F36" s="8">
        <f t="shared" si="4"/>
        <v>39.8943</v>
      </c>
      <c r="G36" s="19">
        <v>0.43</v>
      </c>
    </row>
    <row r="37" ht="15.75" customHeight="1">
      <c r="A37" s="11">
        <v>45796.0</v>
      </c>
      <c r="B37" s="12">
        <v>45810.0</v>
      </c>
      <c r="C37" s="1" t="s">
        <v>27</v>
      </c>
      <c r="D37" s="13" t="s">
        <v>212</v>
      </c>
      <c r="E37" s="8">
        <v>29.99</v>
      </c>
      <c r="F37" s="8">
        <f t="shared" si="4"/>
        <v>22.4925</v>
      </c>
      <c r="G37" s="19">
        <v>0.25</v>
      </c>
    </row>
    <row r="38" ht="15.75" customHeight="1">
      <c r="A38" s="11">
        <v>45796.0</v>
      </c>
      <c r="B38" s="12">
        <v>45810.0</v>
      </c>
      <c r="C38" s="1" t="s">
        <v>27</v>
      </c>
      <c r="D38" s="13" t="s">
        <v>216</v>
      </c>
      <c r="E38" s="8">
        <v>11.99</v>
      </c>
      <c r="F38" s="8">
        <f t="shared" si="4"/>
        <v>8.9925</v>
      </c>
      <c r="G38" s="19">
        <v>0.25</v>
      </c>
    </row>
    <row r="39" ht="15.75" customHeight="1">
      <c r="A39" s="11">
        <v>45796.0</v>
      </c>
      <c r="B39" s="12">
        <v>45810.0</v>
      </c>
      <c r="C39" s="1" t="s">
        <v>27</v>
      </c>
      <c r="D39" s="6" t="s">
        <v>219</v>
      </c>
      <c r="E39" s="8">
        <v>2.99</v>
      </c>
      <c r="F39" s="8">
        <f t="shared" si="4"/>
        <v>2.392</v>
      </c>
      <c r="G39" s="19">
        <v>0.2</v>
      </c>
    </row>
    <row r="40" ht="15.75" customHeight="1">
      <c r="A40" s="11">
        <v>45796.0</v>
      </c>
      <c r="B40" s="12">
        <v>45810.0</v>
      </c>
      <c r="C40" s="1" t="s">
        <v>27</v>
      </c>
      <c r="D40" s="6" t="s">
        <v>222</v>
      </c>
      <c r="E40" s="8">
        <v>2.99</v>
      </c>
      <c r="F40" s="8">
        <f t="shared" si="4"/>
        <v>2.392</v>
      </c>
      <c r="G40" s="19">
        <v>0.2</v>
      </c>
    </row>
    <row r="41" ht="15.75" customHeight="1">
      <c r="A41" s="11">
        <v>45796.0</v>
      </c>
      <c r="B41" s="12">
        <v>45810.0</v>
      </c>
      <c r="C41" s="1" t="s">
        <v>27</v>
      </c>
      <c r="D41" s="55" t="s">
        <v>227</v>
      </c>
      <c r="E41" s="55">
        <v>6.99</v>
      </c>
      <c r="F41" s="8">
        <f t="shared" si="4"/>
        <v>5.2425</v>
      </c>
      <c r="G41" s="19">
        <v>0.25</v>
      </c>
    </row>
    <row r="42" ht="15.75" customHeight="1">
      <c r="A42" s="11">
        <v>45796.0</v>
      </c>
      <c r="B42" s="12">
        <v>45810.0</v>
      </c>
      <c r="C42" s="1" t="s">
        <v>27</v>
      </c>
      <c r="D42" s="55" t="s">
        <v>231</v>
      </c>
      <c r="E42" s="55">
        <v>6.99</v>
      </c>
      <c r="F42" s="8">
        <f t="shared" si="4"/>
        <v>5.592</v>
      </c>
      <c r="G42" s="32">
        <v>0.2</v>
      </c>
      <c r="H42" s="53" t="s">
        <v>495</v>
      </c>
    </row>
    <row r="43" ht="15.75" customHeight="1"/>
    <row r="44" ht="15.75" customHeight="1">
      <c r="A44" s="11">
        <v>45834.0</v>
      </c>
      <c r="B44" s="12">
        <v>45848.0</v>
      </c>
      <c r="C44" s="1" t="s">
        <v>443</v>
      </c>
      <c r="D44" s="13" t="s">
        <v>35</v>
      </c>
      <c r="E44" s="8">
        <v>39.99</v>
      </c>
      <c r="F44" s="8">
        <f t="shared" ref="F44:F52" si="5">E44*(1-G44)</f>
        <v>19.995</v>
      </c>
      <c r="G44" s="32">
        <v>0.5</v>
      </c>
    </row>
    <row r="45" ht="15.75" customHeight="1">
      <c r="A45" s="11">
        <v>45834.0</v>
      </c>
      <c r="B45" s="12">
        <v>45848.0</v>
      </c>
      <c r="C45" s="1" t="s">
        <v>443</v>
      </c>
      <c r="D45" s="13" t="s">
        <v>37</v>
      </c>
      <c r="E45" s="8">
        <v>59.99</v>
      </c>
      <c r="F45" s="8">
        <f t="shared" si="5"/>
        <v>29.995</v>
      </c>
      <c r="G45" s="32">
        <v>0.5</v>
      </c>
    </row>
    <row r="46" ht="15.75" customHeight="1">
      <c r="A46" s="11">
        <v>45834.0</v>
      </c>
      <c r="B46" s="12">
        <v>45848.0</v>
      </c>
      <c r="C46" s="1" t="s">
        <v>443</v>
      </c>
      <c r="D46" s="13" t="s">
        <v>36</v>
      </c>
      <c r="E46" s="8">
        <v>69.99</v>
      </c>
      <c r="F46" s="8">
        <f t="shared" si="5"/>
        <v>34.995</v>
      </c>
      <c r="G46" s="32">
        <v>0.5</v>
      </c>
    </row>
    <row r="47" ht="15.75" customHeight="1">
      <c r="A47" s="11">
        <v>45834.0</v>
      </c>
      <c r="B47" s="12">
        <v>45848.0</v>
      </c>
      <c r="C47" s="1" t="s">
        <v>443</v>
      </c>
      <c r="D47" s="13" t="s">
        <v>212</v>
      </c>
      <c r="E47" s="8">
        <v>29.99</v>
      </c>
      <c r="F47" s="8">
        <f t="shared" si="5"/>
        <v>22.4925</v>
      </c>
      <c r="G47" s="19">
        <v>0.25</v>
      </c>
    </row>
    <row r="48" ht="15.75" customHeight="1">
      <c r="A48" s="11">
        <v>45834.0</v>
      </c>
      <c r="B48" s="12">
        <v>45848.0</v>
      </c>
      <c r="C48" s="1" t="s">
        <v>443</v>
      </c>
      <c r="D48" s="13" t="s">
        <v>216</v>
      </c>
      <c r="E48" s="8">
        <v>11.99</v>
      </c>
      <c r="F48" s="8">
        <f t="shared" si="5"/>
        <v>8.9925</v>
      </c>
      <c r="G48" s="19">
        <v>0.25</v>
      </c>
    </row>
    <row r="49" ht="15.75" customHeight="1">
      <c r="A49" s="11">
        <v>45834.0</v>
      </c>
      <c r="B49" s="12">
        <v>45848.0</v>
      </c>
      <c r="C49" s="1" t="s">
        <v>443</v>
      </c>
      <c r="D49" s="6" t="s">
        <v>219</v>
      </c>
      <c r="E49" s="8">
        <v>2.99</v>
      </c>
      <c r="F49" s="8">
        <f t="shared" si="5"/>
        <v>2.392</v>
      </c>
      <c r="G49" s="19">
        <v>0.2</v>
      </c>
    </row>
    <row r="50" ht="15.75" customHeight="1">
      <c r="A50" s="11">
        <v>45834.0</v>
      </c>
      <c r="B50" s="12">
        <v>45848.0</v>
      </c>
      <c r="C50" s="1" t="s">
        <v>443</v>
      </c>
      <c r="D50" s="6" t="s">
        <v>222</v>
      </c>
      <c r="E50" s="8">
        <v>2.99</v>
      </c>
      <c r="F50" s="8">
        <f t="shared" si="5"/>
        <v>2.392</v>
      </c>
      <c r="G50" s="19">
        <v>0.2</v>
      </c>
    </row>
    <row r="51" ht="15.75" customHeight="1">
      <c r="A51" s="11">
        <v>45834.0</v>
      </c>
      <c r="B51" s="12">
        <v>45848.0</v>
      </c>
      <c r="C51" s="1" t="s">
        <v>443</v>
      </c>
      <c r="D51" s="55" t="s">
        <v>227</v>
      </c>
      <c r="E51" s="55">
        <v>6.99</v>
      </c>
      <c r="F51" s="8">
        <f t="shared" si="5"/>
        <v>5.2425</v>
      </c>
      <c r="G51" s="19">
        <v>0.25</v>
      </c>
    </row>
    <row r="52" ht="15.75" customHeight="1">
      <c r="A52" s="11">
        <v>45834.0</v>
      </c>
      <c r="B52" s="12">
        <v>45848.0</v>
      </c>
      <c r="C52" s="1" t="s">
        <v>443</v>
      </c>
      <c r="D52" s="55" t="s">
        <v>231</v>
      </c>
      <c r="E52" s="55">
        <v>6.99</v>
      </c>
      <c r="F52" s="8">
        <f t="shared" si="5"/>
        <v>5.592</v>
      </c>
      <c r="G52" s="19">
        <v>0.2</v>
      </c>
      <c r="H52" s="53" t="s">
        <v>495</v>
      </c>
    </row>
    <row r="53" ht="15.75" customHeight="1">
      <c r="G53" s="52"/>
    </row>
    <row r="54" ht="15.75" customHeight="1">
      <c r="A54" s="11">
        <v>45848.0</v>
      </c>
      <c r="B54" s="12">
        <v>45862.0</v>
      </c>
      <c r="C54" s="1" t="s">
        <v>445</v>
      </c>
      <c r="D54" s="13" t="s">
        <v>35</v>
      </c>
      <c r="E54" s="8">
        <v>39.99</v>
      </c>
      <c r="F54" s="8">
        <f t="shared" ref="F54:F63" si="6">E54*(1-G54)</f>
        <v>19.995</v>
      </c>
      <c r="G54" s="19">
        <v>0.5</v>
      </c>
    </row>
    <row r="55" ht="15.75" customHeight="1">
      <c r="A55" s="11">
        <v>45848.0</v>
      </c>
      <c r="B55" s="12">
        <v>45862.0</v>
      </c>
      <c r="C55" s="1" t="s">
        <v>445</v>
      </c>
      <c r="D55" s="13" t="s">
        <v>37</v>
      </c>
      <c r="E55" s="8">
        <v>59.99</v>
      </c>
      <c r="F55" s="8">
        <f t="shared" si="6"/>
        <v>29.995</v>
      </c>
      <c r="G55" s="19">
        <v>0.5</v>
      </c>
    </row>
    <row r="56" ht="15.75" customHeight="1">
      <c r="A56" s="11">
        <v>45848.0</v>
      </c>
      <c r="B56" s="12">
        <v>45862.0</v>
      </c>
      <c r="C56" s="1" t="s">
        <v>445</v>
      </c>
      <c r="D56" s="13" t="s">
        <v>36</v>
      </c>
      <c r="E56" s="8">
        <v>69.99</v>
      </c>
      <c r="F56" s="8">
        <f t="shared" si="6"/>
        <v>34.995</v>
      </c>
      <c r="G56" s="19">
        <v>0.5</v>
      </c>
    </row>
    <row r="57" ht="15.75" customHeight="1">
      <c r="A57" s="11">
        <v>45848.0</v>
      </c>
      <c r="B57" s="12">
        <v>45862.0</v>
      </c>
      <c r="C57" s="1" t="s">
        <v>445</v>
      </c>
      <c r="D57" s="13" t="s">
        <v>212</v>
      </c>
      <c r="E57" s="8">
        <v>29.99</v>
      </c>
      <c r="F57" s="8">
        <f t="shared" si="6"/>
        <v>22.4925</v>
      </c>
      <c r="G57" s="19">
        <v>0.25</v>
      </c>
    </row>
    <row r="58" ht="15.75" customHeight="1">
      <c r="A58" s="11">
        <v>45848.0</v>
      </c>
      <c r="B58" s="12">
        <v>45862.0</v>
      </c>
      <c r="C58" s="1" t="s">
        <v>445</v>
      </c>
      <c r="D58" s="13" t="s">
        <v>216</v>
      </c>
      <c r="E58" s="8">
        <v>11.99</v>
      </c>
      <c r="F58" s="8">
        <f t="shared" si="6"/>
        <v>8.9925</v>
      </c>
      <c r="G58" s="19">
        <v>0.25</v>
      </c>
    </row>
    <row r="59" ht="15.75" customHeight="1">
      <c r="A59" s="11">
        <v>45848.0</v>
      </c>
      <c r="B59" s="12">
        <v>45862.0</v>
      </c>
      <c r="C59" s="1" t="s">
        <v>445</v>
      </c>
      <c r="D59" s="6" t="s">
        <v>219</v>
      </c>
      <c r="E59" s="8">
        <v>2.99</v>
      </c>
      <c r="F59" s="8">
        <f t="shared" si="6"/>
        <v>2.392</v>
      </c>
      <c r="G59" s="19">
        <v>0.2</v>
      </c>
    </row>
    <row r="60" ht="15.75" customHeight="1">
      <c r="A60" s="11">
        <v>45848.0</v>
      </c>
      <c r="B60" s="12">
        <v>45862.0</v>
      </c>
      <c r="C60" s="1" t="s">
        <v>445</v>
      </c>
      <c r="D60" s="6" t="s">
        <v>222</v>
      </c>
      <c r="E60" s="8">
        <v>2.99</v>
      </c>
      <c r="F60" s="8">
        <f t="shared" si="6"/>
        <v>2.392</v>
      </c>
      <c r="G60" s="19">
        <v>0.2</v>
      </c>
    </row>
    <row r="61" ht="15.75" customHeight="1">
      <c r="A61" s="11">
        <v>45848.0</v>
      </c>
      <c r="B61" s="12">
        <v>45862.0</v>
      </c>
      <c r="C61" s="1" t="s">
        <v>445</v>
      </c>
      <c r="D61" s="55" t="s">
        <v>227</v>
      </c>
      <c r="E61" s="55">
        <v>6.99</v>
      </c>
      <c r="F61" s="8">
        <f t="shared" si="6"/>
        <v>5.2425</v>
      </c>
      <c r="G61" s="19">
        <v>0.25</v>
      </c>
    </row>
    <row r="62" ht="15.75" customHeight="1">
      <c r="A62" s="11">
        <v>45848.0</v>
      </c>
      <c r="B62" s="12">
        <v>45862.0</v>
      </c>
      <c r="C62" s="1" t="s">
        <v>445</v>
      </c>
      <c r="D62" s="55" t="s">
        <v>231</v>
      </c>
      <c r="E62" s="55">
        <v>6.99</v>
      </c>
      <c r="F62" s="8">
        <f t="shared" si="6"/>
        <v>5.592</v>
      </c>
      <c r="G62" s="19">
        <v>0.2</v>
      </c>
      <c r="H62" s="53" t="s">
        <v>495</v>
      </c>
    </row>
    <row r="63" ht="15.75" customHeight="1">
      <c r="A63" s="11">
        <v>45848.0</v>
      </c>
      <c r="B63" s="12">
        <v>45862.0</v>
      </c>
      <c r="C63" s="1" t="s">
        <v>445</v>
      </c>
      <c r="D63" s="55" t="s">
        <v>232</v>
      </c>
      <c r="E63" s="55">
        <v>6.99</v>
      </c>
      <c r="F63" s="8">
        <f t="shared" si="6"/>
        <v>6.99</v>
      </c>
      <c r="G63" s="19">
        <v>0.0</v>
      </c>
      <c r="H63" s="53" t="s">
        <v>161</v>
      </c>
    </row>
    <row r="64" ht="15.75" customHeight="1"/>
    <row r="65" ht="15.75" customHeight="1">
      <c r="A65" s="11">
        <v>45904.0</v>
      </c>
      <c r="B65" s="12">
        <v>45915.0</v>
      </c>
      <c r="C65" s="1" t="s">
        <v>72</v>
      </c>
      <c r="D65" s="13" t="s">
        <v>35</v>
      </c>
      <c r="E65" s="8">
        <v>39.99</v>
      </c>
      <c r="F65" s="8">
        <f t="shared" ref="F65:F74" si="7">E65*(1-G65)</f>
        <v>19.995</v>
      </c>
      <c r="G65" s="19">
        <v>0.5</v>
      </c>
    </row>
    <row r="66" ht="15.75" customHeight="1">
      <c r="A66" s="11">
        <v>45904.0</v>
      </c>
      <c r="B66" s="12">
        <v>45915.0</v>
      </c>
      <c r="C66" s="1" t="s">
        <v>72</v>
      </c>
      <c r="D66" s="13" t="s">
        <v>37</v>
      </c>
      <c r="E66" s="8">
        <v>59.99</v>
      </c>
      <c r="F66" s="8">
        <f t="shared" si="7"/>
        <v>29.995</v>
      </c>
      <c r="G66" s="19">
        <v>0.5</v>
      </c>
    </row>
    <row r="67" ht="15.75" customHeight="1">
      <c r="A67" s="11">
        <v>45904.0</v>
      </c>
      <c r="B67" s="12">
        <v>45915.0</v>
      </c>
      <c r="C67" s="1" t="s">
        <v>72</v>
      </c>
      <c r="D67" s="13" t="s">
        <v>36</v>
      </c>
      <c r="E67" s="8">
        <v>69.99</v>
      </c>
      <c r="F67" s="8">
        <f t="shared" si="7"/>
        <v>34.995</v>
      </c>
      <c r="G67" s="19">
        <v>0.5</v>
      </c>
    </row>
    <row r="68" ht="15.75" customHeight="1">
      <c r="A68" s="11">
        <v>45904.0</v>
      </c>
      <c r="B68" s="12">
        <v>45915.0</v>
      </c>
      <c r="C68" s="1" t="s">
        <v>72</v>
      </c>
      <c r="D68" s="13" t="s">
        <v>212</v>
      </c>
      <c r="E68" s="8">
        <v>29.99</v>
      </c>
      <c r="F68" s="8">
        <f t="shared" si="7"/>
        <v>22.4925</v>
      </c>
      <c r="G68" s="19">
        <v>0.25</v>
      </c>
    </row>
    <row r="69" ht="15.75" customHeight="1">
      <c r="A69" s="11">
        <v>45904.0</v>
      </c>
      <c r="B69" s="12">
        <v>45915.0</v>
      </c>
      <c r="C69" s="1" t="s">
        <v>72</v>
      </c>
      <c r="D69" s="13" t="s">
        <v>216</v>
      </c>
      <c r="E69" s="8">
        <v>11.99</v>
      </c>
      <c r="F69" s="8">
        <f t="shared" si="7"/>
        <v>8.9925</v>
      </c>
      <c r="G69" s="19">
        <v>0.25</v>
      </c>
    </row>
    <row r="70" ht="15.75" customHeight="1">
      <c r="A70" s="11">
        <v>45904.0</v>
      </c>
      <c r="B70" s="12">
        <v>45915.0</v>
      </c>
      <c r="C70" s="1" t="s">
        <v>72</v>
      </c>
      <c r="D70" s="6" t="s">
        <v>219</v>
      </c>
      <c r="E70" s="8">
        <v>2.99</v>
      </c>
      <c r="F70" s="8">
        <f t="shared" si="7"/>
        <v>2.392</v>
      </c>
      <c r="G70" s="19">
        <v>0.2</v>
      </c>
    </row>
    <row r="71" ht="15.75" customHeight="1">
      <c r="A71" s="11">
        <v>45904.0</v>
      </c>
      <c r="B71" s="12">
        <v>45915.0</v>
      </c>
      <c r="C71" s="1" t="s">
        <v>72</v>
      </c>
      <c r="D71" s="6" t="s">
        <v>222</v>
      </c>
      <c r="E71" s="8">
        <v>2.99</v>
      </c>
      <c r="F71" s="8">
        <f t="shared" si="7"/>
        <v>2.392</v>
      </c>
      <c r="G71" s="19">
        <v>0.2</v>
      </c>
    </row>
    <row r="72" ht="15.75" customHeight="1">
      <c r="A72" s="11">
        <v>45904.0</v>
      </c>
      <c r="B72" s="12">
        <v>45915.0</v>
      </c>
      <c r="C72" s="1" t="s">
        <v>72</v>
      </c>
      <c r="D72" s="55" t="s">
        <v>227</v>
      </c>
      <c r="E72" s="55">
        <v>6.99</v>
      </c>
      <c r="F72" s="8">
        <f t="shared" si="7"/>
        <v>5.2425</v>
      </c>
      <c r="G72" s="19">
        <v>0.25</v>
      </c>
    </row>
    <row r="73" ht="15.75" customHeight="1">
      <c r="A73" s="11">
        <v>45904.0</v>
      </c>
      <c r="B73" s="12">
        <v>45915.0</v>
      </c>
      <c r="C73" s="1" t="s">
        <v>72</v>
      </c>
      <c r="D73" s="55" t="s">
        <v>231</v>
      </c>
      <c r="E73" s="55">
        <v>6.99</v>
      </c>
      <c r="F73" s="8">
        <f t="shared" si="7"/>
        <v>5.592</v>
      </c>
      <c r="G73" s="19">
        <v>0.2</v>
      </c>
      <c r="H73" s="53" t="s">
        <v>495</v>
      </c>
    </row>
    <row r="74" ht="15.75" customHeight="1">
      <c r="A74" s="11">
        <v>45904.0</v>
      </c>
      <c r="B74" s="12">
        <v>45915.0</v>
      </c>
      <c r="C74" s="1" t="s">
        <v>72</v>
      </c>
      <c r="D74" s="55" t="s">
        <v>232</v>
      </c>
      <c r="E74" s="55">
        <v>6.99</v>
      </c>
      <c r="F74" s="8">
        <f t="shared" si="7"/>
        <v>5.592</v>
      </c>
      <c r="G74" s="32">
        <v>0.2</v>
      </c>
      <c r="H74" s="53" t="s">
        <v>161</v>
      </c>
    </row>
    <row r="75" ht="15.75" customHeight="1"/>
    <row r="76" ht="15.75" customHeight="1">
      <c r="A76" s="11">
        <v>45929.0</v>
      </c>
      <c r="B76" s="12">
        <v>45936.0</v>
      </c>
      <c r="C76" s="1" t="s">
        <v>75</v>
      </c>
      <c r="D76" s="13" t="s">
        <v>35</v>
      </c>
      <c r="E76" s="8">
        <v>39.99</v>
      </c>
      <c r="F76" s="8">
        <f t="shared" ref="F76:F85" si="8">E76*(1-G76)</f>
        <v>19.995</v>
      </c>
      <c r="G76" s="19">
        <v>0.5</v>
      </c>
    </row>
    <row r="77" ht="15.75" customHeight="1">
      <c r="A77" s="11">
        <v>45929.0</v>
      </c>
      <c r="B77" s="12">
        <v>45936.0</v>
      </c>
      <c r="C77" s="1" t="s">
        <v>75</v>
      </c>
      <c r="D77" s="13" t="s">
        <v>37</v>
      </c>
      <c r="E77" s="8">
        <v>59.99</v>
      </c>
      <c r="F77" s="8">
        <f t="shared" si="8"/>
        <v>29.995</v>
      </c>
      <c r="G77" s="19">
        <v>0.5</v>
      </c>
    </row>
    <row r="78" ht="15.75" customHeight="1">
      <c r="A78" s="11">
        <v>45929.0</v>
      </c>
      <c r="B78" s="12">
        <v>45936.0</v>
      </c>
      <c r="C78" s="1" t="s">
        <v>75</v>
      </c>
      <c r="D78" s="13" t="s">
        <v>36</v>
      </c>
      <c r="E78" s="8">
        <v>69.99</v>
      </c>
      <c r="F78" s="8">
        <f t="shared" si="8"/>
        <v>34.995</v>
      </c>
      <c r="G78" s="19">
        <v>0.5</v>
      </c>
    </row>
    <row r="79" ht="15.75" customHeight="1">
      <c r="A79" s="11">
        <v>45929.0</v>
      </c>
      <c r="B79" s="12">
        <v>45936.0</v>
      </c>
      <c r="C79" s="1" t="s">
        <v>75</v>
      </c>
      <c r="D79" s="13" t="s">
        <v>212</v>
      </c>
      <c r="E79" s="8">
        <v>29.99</v>
      </c>
      <c r="F79" s="8">
        <f t="shared" si="8"/>
        <v>22.4925</v>
      </c>
      <c r="G79" s="19">
        <v>0.25</v>
      </c>
    </row>
    <row r="80" ht="15.75" customHeight="1">
      <c r="A80" s="11">
        <v>45929.0</v>
      </c>
      <c r="B80" s="12">
        <v>45936.0</v>
      </c>
      <c r="C80" s="1" t="s">
        <v>75</v>
      </c>
      <c r="D80" s="13" t="s">
        <v>216</v>
      </c>
      <c r="E80" s="8">
        <v>11.99</v>
      </c>
      <c r="F80" s="8">
        <f t="shared" si="8"/>
        <v>8.9925</v>
      </c>
      <c r="G80" s="19">
        <v>0.25</v>
      </c>
    </row>
    <row r="81" ht="15.75" customHeight="1">
      <c r="A81" s="11">
        <v>45929.0</v>
      </c>
      <c r="B81" s="12">
        <v>45936.0</v>
      </c>
      <c r="C81" s="1" t="s">
        <v>75</v>
      </c>
      <c r="D81" s="6" t="s">
        <v>219</v>
      </c>
      <c r="E81" s="8">
        <v>2.99</v>
      </c>
      <c r="F81" s="8">
        <f t="shared" si="8"/>
        <v>2.392</v>
      </c>
      <c r="G81" s="19">
        <v>0.2</v>
      </c>
    </row>
    <row r="82" ht="15.75" customHeight="1">
      <c r="A82" s="11">
        <v>45929.0</v>
      </c>
      <c r="B82" s="12">
        <v>45936.0</v>
      </c>
      <c r="C82" s="1" t="s">
        <v>75</v>
      </c>
      <c r="D82" s="6" t="s">
        <v>222</v>
      </c>
      <c r="E82" s="8">
        <v>2.99</v>
      </c>
      <c r="F82" s="8">
        <f t="shared" si="8"/>
        <v>2.392</v>
      </c>
      <c r="G82" s="19">
        <v>0.2</v>
      </c>
    </row>
    <row r="83" ht="15.75" customHeight="1">
      <c r="A83" s="11">
        <v>45929.0</v>
      </c>
      <c r="B83" s="12">
        <v>45936.0</v>
      </c>
      <c r="C83" s="1" t="s">
        <v>75</v>
      </c>
      <c r="D83" s="55" t="s">
        <v>227</v>
      </c>
      <c r="E83" s="55">
        <v>6.99</v>
      </c>
      <c r="F83" s="8">
        <f t="shared" si="8"/>
        <v>5.2425</v>
      </c>
      <c r="G83" s="19">
        <v>0.25</v>
      </c>
    </row>
    <row r="84" ht="15.75" customHeight="1">
      <c r="A84" s="11">
        <v>45929.0</v>
      </c>
      <c r="B84" s="12">
        <v>45936.0</v>
      </c>
      <c r="C84" s="1" t="s">
        <v>75</v>
      </c>
      <c r="D84" s="55" t="s">
        <v>231</v>
      </c>
      <c r="E84" s="55">
        <v>6.99</v>
      </c>
      <c r="F84" s="8">
        <f t="shared" si="8"/>
        <v>5.592</v>
      </c>
      <c r="G84" s="19">
        <v>0.2</v>
      </c>
      <c r="H84" s="53" t="s">
        <v>495</v>
      </c>
    </row>
    <row r="85" ht="15.75" customHeight="1">
      <c r="A85" s="11">
        <v>45929.0</v>
      </c>
      <c r="B85" s="12">
        <v>45936.0</v>
      </c>
      <c r="C85" s="1" t="s">
        <v>75</v>
      </c>
      <c r="D85" s="55" t="s">
        <v>232</v>
      </c>
      <c r="E85" s="55">
        <v>6.99</v>
      </c>
      <c r="F85" s="8">
        <f t="shared" si="8"/>
        <v>5.592</v>
      </c>
      <c r="G85" s="19">
        <v>0.2</v>
      </c>
      <c r="H85" s="53" t="s">
        <v>161</v>
      </c>
    </row>
    <row r="86" ht="15.75" customHeight="1"/>
    <row r="87" ht="15.75" customHeight="1">
      <c r="A87" s="11">
        <v>46350.0</v>
      </c>
      <c r="B87" s="12">
        <v>46357.0</v>
      </c>
      <c r="C87" s="1" t="s">
        <v>408</v>
      </c>
      <c r="D87" s="18" t="s">
        <v>35</v>
      </c>
      <c r="E87" s="8">
        <v>39.99</v>
      </c>
      <c r="F87" s="8">
        <f t="shared" ref="F87:F97" si="9">E87*(1-G87)</f>
        <v>17.9955</v>
      </c>
      <c r="G87" s="19">
        <v>0.55</v>
      </c>
    </row>
    <row r="88" ht="15.75" customHeight="1">
      <c r="A88" s="11">
        <v>46350.0</v>
      </c>
      <c r="B88" s="12">
        <v>46357.0</v>
      </c>
      <c r="C88" s="1" t="s">
        <v>408</v>
      </c>
      <c r="D88" s="18" t="s">
        <v>37</v>
      </c>
      <c r="E88" s="8">
        <v>59.99</v>
      </c>
      <c r="F88" s="8">
        <f t="shared" si="9"/>
        <v>26.9955</v>
      </c>
      <c r="G88" s="19">
        <v>0.55</v>
      </c>
    </row>
    <row r="89" ht="15.75" customHeight="1">
      <c r="A89" s="11">
        <v>46350.0</v>
      </c>
      <c r="B89" s="12">
        <v>46357.0</v>
      </c>
      <c r="C89" s="1" t="s">
        <v>408</v>
      </c>
      <c r="D89" s="18" t="s">
        <v>36</v>
      </c>
      <c r="E89" s="8">
        <v>69.99</v>
      </c>
      <c r="F89" s="8">
        <f t="shared" si="9"/>
        <v>31.4955</v>
      </c>
      <c r="G89" s="19">
        <v>0.55</v>
      </c>
    </row>
    <row r="90" ht="15.75" customHeight="1">
      <c r="A90" s="11">
        <v>46350.0</v>
      </c>
      <c r="B90" s="12">
        <v>46357.0</v>
      </c>
      <c r="C90" s="1" t="s">
        <v>408</v>
      </c>
      <c r="D90" s="13" t="s">
        <v>212</v>
      </c>
      <c r="E90" s="8">
        <v>29.99</v>
      </c>
      <c r="F90" s="8">
        <f t="shared" si="9"/>
        <v>22.4925</v>
      </c>
      <c r="G90" s="19">
        <v>0.25</v>
      </c>
    </row>
    <row r="91" ht="15.75" customHeight="1">
      <c r="A91" s="11">
        <v>46350.0</v>
      </c>
      <c r="B91" s="12">
        <v>46357.0</v>
      </c>
      <c r="C91" s="1" t="s">
        <v>408</v>
      </c>
      <c r="D91" s="13" t="s">
        <v>216</v>
      </c>
      <c r="E91" s="8">
        <v>11.99</v>
      </c>
      <c r="F91" s="8">
        <f t="shared" si="9"/>
        <v>8.9925</v>
      </c>
      <c r="G91" s="19">
        <v>0.25</v>
      </c>
    </row>
    <row r="92" ht="15.75" customHeight="1">
      <c r="A92" s="11">
        <v>46350.0</v>
      </c>
      <c r="B92" s="12">
        <v>46357.0</v>
      </c>
      <c r="C92" s="1" t="s">
        <v>408</v>
      </c>
      <c r="D92" s="6" t="s">
        <v>219</v>
      </c>
      <c r="E92" s="8">
        <v>2.99</v>
      </c>
      <c r="F92" s="8">
        <f t="shared" si="9"/>
        <v>2.392</v>
      </c>
      <c r="G92" s="19">
        <v>0.2</v>
      </c>
    </row>
    <row r="93" ht="15.75" customHeight="1">
      <c r="A93" s="11">
        <v>46350.0</v>
      </c>
      <c r="B93" s="12">
        <v>46357.0</v>
      </c>
      <c r="C93" s="1" t="s">
        <v>408</v>
      </c>
      <c r="D93" s="6" t="s">
        <v>222</v>
      </c>
      <c r="E93" s="8">
        <v>2.99</v>
      </c>
      <c r="F93" s="8">
        <f t="shared" si="9"/>
        <v>2.392</v>
      </c>
      <c r="G93" s="19">
        <v>0.2</v>
      </c>
    </row>
    <row r="94" ht="15.75" customHeight="1">
      <c r="A94" s="11">
        <v>46350.0</v>
      </c>
      <c r="B94" s="12">
        <v>46357.0</v>
      </c>
      <c r="C94" s="1" t="s">
        <v>408</v>
      </c>
      <c r="D94" s="55" t="s">
        <v>227</v>
      </c>
      <c r="E94" s="55">
        <v>6.99</v>
      </c>
      <c r="F94" s="8">
        <f t="shared" si="9"/>
        <v>5.2425</v>
      </c>
      <c r="G94" s="19">
        <v>0.25</v>
      </c>
    </row>
    <row r="95" ht="15.75" customHeight="1">
      <c r="A95" s="11">
        <v>46350.0</v>
      </c>
      <c r="B95" s="12">
        <v>46357.0</v>
      </c>
      <c r="C95" s="1" t="s">
        <v>408</v>
      </c>
      <c r="D95" s="55" t="s">
        <v>231</v>
      </c>
      <c r="E95" s="55">
        <v>6.99</v>
      </c>
      <c r="F95" s="8">
        <f t="shared" si="9"/>
        <v>5.592</v>
      </c>
      <c r="G95" s="19">
        <v>0.2</v>
      </c>
    </row>
    <row r="96" ht="15.75" customHeight="1">
      <c r="A96" s="11">
        <v>46350.0</v>
      </c>
      <c r="B96" s="12">
        <v>46357.0</v>
      </c>
      <c r="C96" s="1" t="s">
        <v>408</v>
      </c>
      <c r="D96" s="55" t="s">
        <v>232</v>
      </c>
      <c r="E96" s="55">
        <v>6.99</v>
      </c>
      <c r="F96" s="8">
        <f t="shared" si="9"/>
        <v>5.592</v>
      </c>
      <c r="G96" s="19">
        <v>0.2</v>
      </c>
    </row>
    <row r="97" ht="15.75" customHeight="1">
      <c r="A97" s="11">
        <v>46350.0</v>
      </c>
      <c r="B97" s="12">
        <v>46357.0</v>
      </c>
      <c r="C97" s="1" t="s">
        <v>408</v>
      </c>
      <c r="D97" s="55" t="s">
        <v>235</v>
      </c>
      <c r="E97" s="55">
        <v>6.99</v>
      </c>
      <c r="F97" s="8">
        <f t="shared" si="9"/>
        <v>6.99</v>
      </c>
      <c r="G97" s="19">
        <v>0.0</v>
      </c>
    </row>
    <row r="98" ht="15.75" customHeight="1"/>
    <row r="99" ht="15.75" customHeight="1"/>
    <row r="100" ht="15.75" customHeight="1">
      <c r="A100" s="11">
        <v>46374.0</v>
      </c>
      <c r="B100" s="12">
        <v>46027.0</v>
      </c>
      <c r="C100" s="1" t="s">
        <v>410</v>
      </c>
      <c r="D100" s="6" t="s">
        <v>35</v>
      </c>
      <c r="E100" s="8">
        <v>39.99</v>
      </c>
      <c r="F100" s="8">
        <f t="shared" ref="F100:F110" si="10">E100*(1-G100)</f>
        <v>17.9955</v>
      </c>
      <c r="G100" s="19">
        <v>0.55</v>
      </c>
    </row>
    <row r="101" ht="15.75" customHeight="1">
      <c r="A101" s="11">
        <v>46374.0</v>
      </c>
      <c r="B101" s="12">
        <v>46027.0</v>
      </c>
      <c r="C101" s="1" t="s">
        <v>410</v>
      </c>
      <c r="D101" s="6" t="s">
        <v>37</v>
      </c>
      <c r="E101" s="8">
        <v>59.99</v>
      </c>
      <c r="F101" s="8">
        <f t="shared" si="10"/>
        <v>26.9955</v>
      </c>
      <c r="G101" s="19">
        <v>0.55</v>
      </c>
    </row>
    <row r="102" ht="15.75" customHeight="1">
      <c r="A102" s="11">
        <v>46374.0</v>
      </c>
      <c r="B102" s="12">
        <v>46027.0</v>
      </c>
      <c r="C102" s="1" t="s">
        <v>410</v>
      </c>
      <c r="D102" s="6" t="s">
        <v>36</v>
      </c>
      <c r="E102" s="8">
        <v>69.99</v>
      </c>
      <c r="F102" s="8">
        <f t="shared" si="10"/>
        <v>31.4955</v>
      </c>
      <c r="G102" s="19">
        <v>0.55</v>
      </c>
    </row>
    <row r="103" ht="15.75" customHeight="1">
      <c r="A103" s="11">
        <v>46374.0</v>
      </c>
      <c r="B103" s="12">
        <v>46027.0</v>
      </c>
      <c r="C103" s="1" t="s">
        <v>410</v>
      </c>
      <c r="D103" s="13" t="s">
        <v>212</v>
      </c>
      <c r="E103" s="8">
        <v>29.99</v>
      </c>
      <c r="F103" s="8">
        <f t="shared" si="10"/>
        <v>22.4925</v>
      </c>
      <c r="G103" s="19">
        <v>0.25</v>
      </c>
    </row>
    <row r="104" ht="15.75" customHeight="1">
      <c r="A104" s="11">
        <v>46374.0</v>
      </c>
      <c r="B104" s="12">
        <v>46027.0</v>
      </c>
      <c r="C104" s="1" t="s">
        <v>410</v>
      </c>
      <c r="D104" s="13" t="s">
        <v>216</v>
      </c>
      <c r="E104" s="8">
        <v>11.99</v>
      </c>
      <c r="F104" s="8">
        <f t="shared" si="10"/>
        <v>8.9925</v>
      </c>
      <c r="G104" s="19">
        <v>0.25</v>
      </c>
    </row>
    <row r="105" ht="15.75" customHeight="1">
      <c r="A105" s="11">
        <v>46374.0</v>
      </c>
      <c r="B105" s="12">
        <v>46027.0</v>
      </c>
      <c r="C105" s="1" t="s">
        <v>410</v>
      </c>
      <c r="D105" s="6" t="s">
        <v>219</v>
      </c>
      <c r="E105" s="8">
        <v>2.99</v>
      </c>
      <c r="F105" s="8">
        <f t="shared" si="10"/>
        <v>2.392</v>
      </c>
      <c r="G105" s="19">
        <v>0.2</v>
      </c>
    </row>
    <row r="106" ht="15.75" customHeight="1">
      <c r="A106" s="11">
        <v>46374.0</v>
      </c>
      <c r="B106" s="12">
        <v>46027.0</v>
      </c>
      <c r="C106" s="1" t="s">
        <v>410</v>
      </c>
      <c r="D106" s="6" t="s">
        <v>222</v>
      </c>
      <c r="E106" s="8">
        <v>2.99</v>
      </c>
      <c r="F106" s="8">
        <f t="shared" si="10"/>
        <v>2.392</v>
      </c>
      <c r="G106" s="19">
        <v>0.2</v>
      </c>
    </row>
    <row r="107" ht="15.75" customHeight="1">
      <c r="A107" s="11">
        <v>46374.0</v>
      </c>
      <c r="B107" s="12">
        <v>46027.0</v>
      </c>
      <c r="C107" s="1" t="s">
        <v>410</v>
      </c>
      <c r="D107" s="55" t="s">
        <v>227</v>
      </c>
      <c r="E107" s="55">
        <v>6.99</v>
      </c>
      <c r="F107" s="8">
        <f t="shared" si="10"/>
        <v>5.2425</v>
      </c>
      <c r="G107" s="19">
        <v>0.25</v>
      </c>
    </row>
    <row r="108" ht="15.75" customHeight="1">
      <c r="A108" s="11">
        <v>46374.0</v>
      </c>
      <c r="B108" s="12">
        <v>46027.0</v>
      </c>
      <c r="C108" s="1" t="s">
        <v>410</v>
      </c>
      <c r="D108" s="55" t="s">
        <v>231</v>
      </c>
      <c r="E108" s="55">
        <v>6.99</v>
      </c>
      <c r="F108" s="8">
        <f t="shared" si="10"/>
        <v>5.592</v>
      </c>
      <c r="G108" s="19">
        <v>0.2</v>
      </c>
    </row>
    <row r="109" ht="15.75" customHeight="1">
      <c r="A109" s="11">
        <v>46374.0</v>
      </c>
      <c r="B109" s="12">
        <v>46027.0</v>
      </c>
      <c r="C109" s="1" t="s">
        <v>410</v>
      </c>
      <c r="D109" s="55" t="s">
        <v>232</v>
      </c>
      <c r="E109" s="55">
        <v>6.99</v>
      </c>
      <c r="F109" s="8">
        <f t="shared" si="10"/>
        <v>5.592</v>
      </c>
      <c r="G109" s="19">
        <v>0.2</v>
      </c>
    </row>
    <row r="110" ht="15.75" customHeight="1">
      <c r="A110" s="11">
        <v>46374.0</v>
      </c>
      <c r="B110" s="12">
        <v>46027.0</v>
      </c>
      <c r="C110" s="1" t="s">
        <v>410</v>
      </c>
      <c r="D110" s="55" t="s">
        <v>235</v>
      </c>
      <c r="E110" s="55">
        <v>6.99</v>
      </c>
      <c r="F110" s="8">
        <f t="shared" si="10"/>
        <v>6.99</v>
      </c>
      <c r="G110" s="19">
        <v>0.0</v>
      </c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>
      <c r="A116" s="39" t="s">
        <v>78</v>
      </c>
    </row>
    <row r="117" ht="15.75" customHeight="1">
      <c r="A117" s="43">
        <v>45671.0</v>
      </c>
      <c r="B117" s="43">
        <v>45684.0</v>
      </c>
      <c r="C117" s="44" t="s">
        <v>98</v>
      </c>
      <c r="D117" s="6" t="s">
        <v>322</v>
      </c>
      <c r="E117" s="8" t="s">
        <v>95</v>
      </c>
      <c r="F117" s="8" t="s">
        <v>112</v>
      </c>
      <c r="G117" s="46">
        <v>0.35</v>
      </c>
    </row>
    <row r="118" ht="15.75" customHeight="1">
      <c r="A118" s="43">
        <v>45671.0</v>
      </c>
      <c r="B118" s="43">
        <v>45684.0</v>
      </c>
      <c r="C118" s="44" t="s">
        <v>98</v>
      </c>
      <c r="D118" s="6" t="s">
        <v>322</v>
      </c>
      <c r="E118" s="8" t="s">
        <v>88</v>
      </c>
      <c r="F118" s="8" t="s">
        <v>89</v>
      </c>
      <c r="G118" s="46">
        <v>0.35</v>
      </c>
    </row>
    <row r="119" ht="15.75" customHeight="1">
      <c r="A119" s="43">
        <v>45681.0</v>
      </c>
      <c r="B119" s="43">
        <v>45694.0</v>
      </c>
      <c r="C119" s="44" t="s">
        <v>190</v>
      </c>
      <c r="D119" s="6" t="s">
        <v>321</v>
      </c>
      <c r="E119" s="8" t="s">
        <v>269</v>
      </c>
      <c r="F119" s="8" t="s">
        <v>502</v>
      </c>
      <c r="G119" s="46">
        <v>0.35</v>
      </c>
    </row>
    <row r="120" ht="15.75" customHeight="1">
      <c r="A120" s="43">
        <v>45681.0</v>
      </c>
      <c r="B120" s="43">
        <v>45694.0</v>
      </c>
      <c r="C120" s="44" t="s">
        <v>190</v>
      </c>
      <c r="D120" s="6" t="s">
        <v>321</v>
      </c>
      <c r="E120" s="8" t="s">
        <v>179</v>
      </c>
      <c r="F120" s="8" t="s">
        <v>456</v>
      </c>
      <c r="G120" s="46">
        <v>0.35</v>
      </c>
    </row>
    <row r="121" ht="15.75" customHeight="1">
      <c r="A121" s="43">
        <v>45692.0</v>
      </c>
      <c r="B121" s="43">
        <v>45698.0</v>
      </c>
      <c r="C121" s="44" t="s">
        <v>92</v>
      </c>
      <c r="D121" s="6" t="s">
        <v>352</v>
      </c>
      <c r="E121" s="8" t="s">
        <v>179</v>
      </c>
      <c r="F121" s="8" t="s">
        <v>459</v>
      </c>
      <c r="G121" s="46">
        <v>0.35</v>
      </c>
    </row>
    <row r="122" ht="15.75" customHeight="1">
      <c r="A122" s="43">
        <v>45692.0</v>
      </c>
      <c r="B122" s="43">
        <v>45698.0</v>
      </c>
      <c r="C122" s="44" t="s">
        <v>92</v>
      </c>
      <c r="D122" s="6" t="s">
        <v>352</v>
      </c>
      <c r="E122" s="8" t="s">
        <v>132</v>
      </c>
      <c r="F122" s="8" t="s">
        <v>464</v>
      </c>
      <c r="G122" s="46">
        <v>0.35</v>
      </c>
    </row>
    <row r="123" ht="15.75" customHeight="1">
      <c r="A123" s="43">
        <v>45713.0</v>
      </c>
      <c r="B123" s="43">
        <v>45719.0</v>
      </c>
      <c r="C123" s="44" t="s">
        <v>92</v>
      </c>
      <c r="D123" s="6" t="s">
        <v>322</v>
      </c>
      <c r="E123" s="8" t="s">
        <v>95</v>
      </c>
      <c r="F123" s="8" t="s">
        <v>112</v>
      </c>
      <c r="G123" s="46">
        <v>0.35</v>
      </c>
    </row>
    <row r="124" ht="15.75" customHeight="1">
      <c r="A124" s="43">
        <v>45713.0</v>
      </c>
      <c r="B124" s="43">
        <v>45719.0</v>
      </c>
      <c r="C124" s="44" t="s">
        <v>92</v>
      </c>
      <c r="D124" s="6" t="s">
        <v>322</v>
      </c>
      <c r="E124" s="8" t="s">
        <v>88</v>
      </c>
      <c r="F124" s="8" t="s">
        <v>89</v>
      </c>
      <c r="G124" s="46">
        <v>0.35</v>
      </c>
    </row>
    <row r="125" ht="15.75" customHeight="1">
      <c r="A125" s="43">
        <v>45727.0</v>
      </c>
      <c r="B125" s="43">
        <v>45733.0</v>
      </c>
      <c r="C125" s="44" t="s">
        <v>92</v>
      </c>
      <c r="D125" s="6" t="s">
        <v>352</v>
      </c>
      <c r="E125" s="8" t="s">
        <v>179</v>
      </c>
      <c r="F125" s="8" t="s">
        <v>459</v>
      </c>
      <c r="G125" s="46">
        <v>0.35</v>
      </c>
    </row>
    <row r="126" ht="15.75" customHeight="1">
      <c r="A126" s="43">
        <v>45727.0</v>
      </c>
      <c r="B126" s="43">
        <v>45733.0</v>
      </c>
      <c r="C126" s="44" t="s">
        <v>92</v>
      </c>
      <c r="D126" s="6" t="s">
        <v>352</v>
      </c>
      <c r="E126" s="8" t="s">
        <v>132</v>
      </c>
      <c r="F126" s="8" t="s">
        <v>464</v>
      </c>
      <c r="G126" s="46">
        <v>0.35</v>
      </c>
    </row>
    <row r="127" ht="15.75" customHeight="1">
      <c r="A127" s="43">
        <v>45734.0</v>
      </c>
      <c r="B127" s="43">
        <v>45740.0</v>
      </c>
      <c r="C127" s="44" t="s">
        <v>92</v>
      </c>
      <c r="D127" s="6" t="s">
        <v>321</v>
      </c>
      <c r="E127" s="8" t="s">
        <v>269</v>
      </c>
      <c r="F127" s="8" t="s">
        <v>502</v>
      </c>
      <c r="G127" s="46">
        <v>0.35</v>
      </c>
    </row>
    <row r="128" ht="15.75" customHeight="1">
      <c r="A128" s="43">
        <v>45734.0</v>
      </c>
      <c r="B128" s="43">
        <v>45740.0</v>
      </c>
      <c r="C128" s="44" t="s">
        <v>92</v>
      </c>
      <c r="D128" s="6" t="s">
        <v>321</v>
      </c>
      <c r="E128" s="8" t="s">
        <v>179</v>
      </c>
      <c r="F128" s="8" t="s">
        <v>456</v>
      </c>
      <c r="G128" s="46">
        <v>0.35</v>
      </c>
    </row>
    <row r="129" ht="15.75" customHeight="1">
      <c r="A129" s="43">
        <v>45755.0</v>
      </c>
      <c r="B129" s="43">
        <v>45763.0</v>
      </c>
      <c r="C129" s="44" t="s">
        <v>457</v>
      </c>
      <c r="D129" s="6" t="s">
        <v>322</v>
      </c>
      <c r="E129" s="8" t="s">
        <v>95</v>
      </c>
      <c r="F129" s="8" t="s">
        <v>112</v>
      </c>
      <c r="G129" s="46">
        <v>0.35</v>
      </c>
    </row>
    <row r="130" ht="15.75" customHeight="1">
      <c r="A130" s="43">
        <v>45755.0</v>
      </c>
      <c r="B130" s="43">
        <v>45763.0</v>
      </c>
      <c r="C130" s="44" t="s">
        <v>457</v>
      </c>
      <c r="D130" s="6" t="s">
        <v>322</v>
      </c>
      <c r="E130" s="8" t="s">
        <v>88</v>
      </c>
      <c r="F130" s="8" t="s">
        <v>89</v>
      </c>
      <c r="G130" s="46">
        <v>0.35</v>
      </c>
    </row>
    <row r="131" ht="15.75" customHeight="1">
      <c r="A131" s="43">
        <v>45764.0</v>
      </c>
      <c r="B131" s="43">
        <v>45777.0</v>
      </c>
      <c r="C131" s="44" t="s">
        <v>122</v>
      </c>
      <c r="D131" s="6" t="s">
        <v>322</v>
      </c>
      <c r="E131" s="8" t="s">
        <v>95</v>
      </c>
      <c r="F131" s="8" t="s">
        <v>112</v>
      </c>
      <c r="G131" s="46">
        <v>0.35</v>
      </c>
    </row>
    <row r="132" ht="15.75" customHeight="1">
      <c r="A132" s="43">
        <v>45764.0</v>
      </c>
      <c r="B132" s="43">
        <v>45777.0</v>
      </c>
      <c r="C132" s="44" t="s">
        <v>122</v>
      </c>
      <c r="D132" s="6" t="s">
        <v>322</v>
      </c>
      <c r="E132" s="8" t="s">
        <v>88</v>
      </c>
      <c r="F132" s="8" t="s">
        <v>89</v>
      </c>
      <c r="G132" s="46">
        <v>0.35</v>
      </c>
    </row>
    <row r="133" ht="15.75" customHeight="1">
      <c r="A133" s="43">
        <v>45764.0</v>
      </c>
      <c r="B133" s="43">
        <v>45777.0</v>
      </c>
      <c r="C133" s="44" t="s">
        <v>122</v>
      </c>
      <c r="D133" s="6" t="s">
        <v>352</v>
      </c>
      <c r="E133" s="8" t="s">
        <v>179</v>
      </c>
      <c r="F133" s="8" t="s">
        <v>459</v>
      </c>
      <c r="G133" s="46">
        <v>0.35</v>
      </c>
    </row>
    <row r="134" ht="15.75" customHeight="1">
      <c r="A134" s="43">
        <v>45764.0</v>
      </c>
      <c r="B134" s="43">
        <v>45777.0</v>
      </c>
      <c r="C134" s="44" t="s">
        <v>122</v>
      </c>
      <c r="D134" s="6" t="s">
        <v>352</v>
      </c>
      <c r="E134" s="8" t="s">
        <v>132</v>
      </c>
      <c r="F134" s="8" t="s">
        <v>464</v>
      </c>
      <c r="G134" s="46">
        <v>0.35</v>
      </c>
    </row>
    <row r="135" ht="15.75" customHeight="1">
      <c r="A135" s="43">
        <v>45769.0</v>
      </c>
      <c r="B135" s="43">
        <v>45775.0</v>
      </c>
      <c r="C135" s="44" t="s">
        <v>92</v>
      </c>
      <c r="D135" s="6" t="s">
        <v>321</v>
      </c>
      <c r="E135" s="8" t="s">
        <v>269</v>
      </c>
      <c r="F135" s="8" t="s">
        <v>502</v>
      </c>
      <c r="G135" s="46">
        <v>0.35</v>
      </c>
    </row>
    <row r="136" ht="15.75" customHeight="1">
      <c r="A136" s="43">
        <v>45769.0</v>
      </c>
      <c r="B136" s="43">
        <v>45775.0</v>
      </c>
      <c r="C136" s="44" t="s">
        <v>92</v>
      </c>
      <c r="D136" s="6" t="s">
        <v>321</v>
      </c>
      <c r="E136" s="8" t="s">
        <v>179</v>
      </c>
      <c r="F136" s="8" t="s">
        <v>456</v>
      </c>
      <c r="G136" s="46">
        <v>0.35</v>
      </c>
    </row>
    <row r="137" ht="15.75" customHeight="1">
      <c r="A137" s="43">
        <v>45811.0</v>
      </c>
      <c r="B137" s="43">
        <v>45817.0</v>
      </c>
      <c r="C137" s="44" t="s">
        <v>463</v>
      </c>
      <c r="D137" s="6" t="s">
        <v>352</v>
      </c>
      <c r="E137" s="8" t="s">
        <v>179</v>
      </c>
      <c r="F137" s="8" t="s">
        <v>459</v>
      </c>
      <c r="G137" s="46">
        <v>0.35</v>
      </c>
    </row>
    <row r="138" ht="15.75" customHeight="1">
      <c r="A138" s="43">
        <v>45811.0</v>
      </c>
      <c r="B138" s="43">
        <v>45817.0</v>
      </c>
      <c r="C138" s="44" t="s">
        <v>463</v>
      </c>
      <c r="D138" s="6" t="s">
        <v>352</v>
      </c>
      <c r="E138" s="8" t="s">
        <v>132</v>
      </c>
      <c r="F138" s="8" t="s">
        <v>464</v>
      </c>
      <c r="G138" s="46">
        <v>0.35</v>
      </c>
    </row>
    <row r="139" ht="15.75" customHeight="1">
      <c r="A139" s="43">
        <v>45818.0</v>
      </c>
      <c r="B139" s="43">
        <v>45831.0</v>
      </c>
      <c r="C139" s="44" t="s">
        <v>125</v>
      </c>
      <c r="D139" s="6" t="s">
        <v>322</v>
      </c>
      <c r="E139" s="8" t="s">
        <v>95</v>
      </c>
      <c r="F139" s="8" t="s">
        <v>112</v>
      </c>
      <c r="G139" s="46">
        <v>0.35</v>
      </c>
    </row>
    <row r="140" ht="15.75" customHeight="1">
      <c r="A140" s="43">
        <v>45818.0</v>
      </c>
      <c r="B140" s="43">
        <v>45831.0</v>
      </c>
      <c r="C140" s="44" t="s">
        <v>125</v>
      </c>
      <c r="D140" s="6" t="s">
        <v>322</v>
      </c>
      <c r="E140" s="8" t="s">
        <v>88</v>
      </c>
      <c r="F140" s="8" t="s">
        <v>89</v>
      </c>
      <c r="G140" s="46">
        <v>0.35</v>
      </c>
    </row>
    <row r="141" ht="15.75" customHeight="1">
      <c r="A141" s="43">
        <v>45832.0</v>
      </c>
      <c r="B141" s="43">
        <v>45838.0</v>
      </c>
      <c r="C141" s="44" t="s">
        <v>507</v>
      </c>
      <c r="D141" s="6" t="s">
        <v>321</v>
      </c>
      <c r="E141" s="8" t="s">
        <v>269</v>
      </c>
      <c r="F141" s="8" t="s">
        <v>502</v>
      </c>
      <c r="G141" s="46">
        <v>0.35</v>
      </c>
    </row>
    <row r="142" ht="15.75" customHeight="1">
      <c r="A142" s="43">
        <v>45832.0</v>
      </c>
      <c r="B142" s="43">
        <v>45838.0</v>
      </c>
      <c r="C142" s="44" t="s">
        <v>507</v>
      </c>
      <c r="D142" s="6" t="s">
        <v>321</v>
      </c>
      <c r="E142" s="8" t="s">
        <v>179</v>
      </c>
      <c r="F142" s="8" t="s">
        <v>456</v>
      </c>
      <c r="G142" s="46">
        <v>0.35</v>
      </c>
    </row>
    <row r="143" ht="15.75" customHeight="1">
      <c r="A143" s="43">
        <v>45839.0</v>
      </c>
      <c r="B143" s="43">
        <v>45845.0</v>
      </c>
      <c r="C143" s="44" t="s">
        <v>92</v>
      </c>
      <c r="D143" s="6" t="s">
        <v>321</v>
      </c>
      <c r="E143" s="8" t="s">
        <v>269</v>
      </c>
      <c r="F143" s="8" t="s">
        <v>502</v>
      </c>
      <c r="G143" s="46">
        <v>0.4</v>
      </c>
    </row>
    <row r="144" ht="15.75" customHeight="1">
      <c r="A144" s="43">
        <v>45839.0</v>
      </c>
      <c r="B144" s="43">
        <v>45845.0</v>
      </c>
      <c r="C144" s="44" t="s">
        <v>92</v>
      </c>
      <c r="D144" s="6" t="s">
        <v>321</v>
      </c>
      <c r="E144" s="8" t="s">
        <v>179</v>
      </c>
      <c r="F144" s="8" t="s">
        <v>459</v>
      </c>
      <c r="G144" s="46">
        <v>0.4</v>
      </c>
    </row>
    <row r="145" ht="15.75" customHeight="1">
      <c r="A145" s="43">
        <v>45846.0</v>
      </c>
      <c r="B145" s="43">
        <v>45854.0</v>
      </c>
      <c r="C145" s="44" t="s">
        <v>86</v>
      </c>
      <c r="D145" s="6" t="s">
        <v>352</v>
      </c>
      <c r="E145" s="8" t="s">
        <v>179</v>
      </c>
      <c r="F145" s="8" t="s">
        <v>459</v>
      </c>
      <c r="G145" s="46">
        <v>0.4</v>
      </c>
    </row>
    <row r="146" ht="15.75" customHeight="1">
      <c r="A146" s="43">
        <v>45846.0</v>
      </c>
      <c r="B146" s="43">
        <v>45854.0</v>
      </c>
      <c r="C146" s="44" t="s">
        <v>86</v>
      </c>
      <c r="D146" s="6" t="s">
        <v>352</v>
      </c>
      <c r="E146" s="8" t="s">
        <v>132</v>
      </c>
      <c r="F146" s="8" t="s">
        <v>511</v>
      </c>
      <c r="G146" s="46">
        <v>0.4</v>
      </c>
    </row>
    <row r="147" ht="15.75" customHeight="1">
      <c r="A147" s="43">
        <v>45854.0</v>
      </c>
      <c r="B147" s="43">
        <v>45869.0</v>
      </c>
      <c r="C147" s="44" t="s">
        <v>465</v>
      </c>
      <c r="D147" s="6" t="s">
        <v>352</v>
      </c>
      <c r="E147" s="8" t="s">
        <v>179</v>
      </c>
      <c r="F147" s="8" t="s">
        <v>459</v>
      </c>
      <c r="G147" s="46">
        <v>0.4</v>
      </c>
    </row>
    <row r="148" ht="15.75" customHeight="1">
      <c r="A148" s="43">
        <v>45854.0</v>
      </c>
      <c r="B148" s="43">
        <v>45869.0</v>
      </c>
      <c r="C148" s="44" t="s">
        <v>465</v>
      </c>
      <c r="D148" s="6" t="s">
        <v>352</v>
      </c>
      <c r="E148" s="8" t="s">
        <v>132</v>
      </c>
      <c r="F148" s="8" t="s">
        <v>511</v>
      </c>
      <c r="G148" s="46">
        <v>0.4</v>
      </c>
    </row>
    <row r="149" ht="15.75" customHeight="1">
      <c r="A149" s="43">
        <v>45874.0</v>
      </c>
      <c r="B149" s="43">
        <v>45880.0</v>
      </c>
      <c r="C149" s="44" t="s">
        <v>92</v>
      </c>
      <c r="D149" s="6" t="s">
        <v>321</v>
      </c>
      <c r="E149" s="8" t="s">
        <v>269</v>
      </c>
      <c r="F149" s="8" t="s">
        <v>502</v>
      </c>
      <c r="G149" s="46">
        <v>0.4</v>
      </c>
    </row>
    <row r="150" ht="15.75" customHeight="1">
      <c r="A150" s="43">
        <v>45874.0</v>
      </c>
      <c r="B150" s="43">
        <v>45880.0</v>
      </c>
      <c r="C150" s="44" t="s">
        <v>92</v>
      </c>
      <c r="D150" s="6" t="s">
        <v>321</v>
      </c>
      <c r="E150" s="8" t="s">
        <v>179</v>
      </c>
      <c r="F150" s="8" t="s">
        <v>459</v>
      </c>
      <c r="G150" s="46">
        <v>0.4</v>
      </c>
    </row>
    <row r="151" ht="15.75" customHeight="1">
      <c r="A151" s="43">
        <v>45881.0</v>
      </c>
      <c r="B151" s="43">
        <v>45887.0</v>
      </c>
      <c r="C151" s="44" t="s">
        <v>497</v>
      </c>
      <c r="D151" s="6" t="s">
        <v>322</v>
      </c>
      <c r="E151" s="8" t="s">
        <v>95</v>
      </c>
      <c r="F151" s="8" t="s">
        <v>112</v>
      </c>
      <c r="G151" s="46">
        <v>0.4</v>
      </c>
    </row>
    <row r="152" ht="15.75" customHeight="1">
      <c r="A152" s="43">
        <v>45881.0</v>
      </c>
      <c r="B152" s="43">
        <v>45887.0</v>
      </c>
      <c r="C152" s="44" t="s">
        <v>497</v>
      </c>
      <c r="D152" s="6" t="s">
        <v>322</v>
      </c>
      <c r="E152" s="8" t="s">
        <v>88</v>
      </c>
      <c r="F152" s="8" t="s">
        <v>134</v>
      </c>
      <c r="G152" s="46">
        <v>0.4</v>
      </c>
    </row>
    <row r="153" ht="15.75" customHeight="1">
      <c r="A153" s="43">
        <v>45902.0</v>
      </c>
      <c r="B153" s="43">
        <v>45908.0</v>
      </c>
      <c r="C153" s="44" t="s">
        <v>92</v>
      </c>
      <c r="D153" s="6" t="s">
        <v>352</v>
      </c>
      <c r="E153" s="8" t="s">
        <v>179</v>
      </c>
      <c r="F153" s="8" t="s">
        <v>459</v>
      </c>
      <c r="G153" s="46">
        <v>0.4</v>
      </c>
    </row>
    <row r="154" ht="15.75" customHeight="1">
      <c r="A154" s="43">
        <v>45902.0</v>
      </c>
      <c r="B154" s="43">
        <v>45908.0</v>
      </c>
      <c r="C154" s="44" t="s">
        <v>92</v>
      </c>
      <c r="D154" s="6" t="s">
        <v>352</v>
      </c>
      <c r="E154" s="8" t="s">
        <v>132</v>
      </c>
      <c r="F154" s="8" t="s">
        <v>511</v>
      </c>
      <c r="G154" s="46">
        <v>0.4</v>
      </c>
    </row>
    <row r="155" ht="15.75" customHeight="1">
      <c r="A155" s="43">
        <v>45909.0</v>
      </c>
      <c r="B155" s="43">
        <v>45915.0</v>
      </c>
      <c r="C155" s="44" t="s">
        <v>92</v>
      </c>
      <c r="D155" s="6" t="s">
        <v>321</v>
      </c>
      <c r="E155" s="8" t="s">
        <v>269</v>
      </c>
      <c r="F155" s="8" t="s">
        <v>502</v>
      </c>
      <c r="G155" s="46">
        <v>0.4</v>
      </c>
    </row>
    <row r="156" ht="15.75" customHeight="1">
      <c r="A156" s="43">
        <v>45909.0</v>
      </c>
      <c r="B156" s="43">
        <v>45915.0</v>
      </c>
      <c r="C156" s="44" t="s">
        <v>92</v>
      </c>
      <c r="D156" s="6" t="s">
        <v>321</v>
      </c>
      <c r="E156" s="8" t="s">
        <v>179</v>
      </c>
      <c r="F156" s="8" t="s">
        <v>459</v>
      </c>
      <c r="G156" s="46">
        <v>0.4</v>
      </c>
    </row>
    <row r="157" ht="15.75" customHeight="1">
      <c r="A157" s="43">
        <v>45923.0</v>
      </c>
      <c r="B157" s="43">
        <v>45929.0</v>
      </c>
      <c r="C157" s="44" t="s">
        <v>92</v>
      </c>
      <c r="D157" s="6" t="s">
        <v>322</v>
      </c>
      <c r="E157" s="8" t="s">
        <v>95</v>
      </c>
      <c r="F157" s="8" t="s">
        <v>112</v>
      </c>
      <c r="G157" s="46">
        <v>0.4</v>
      </c>
    </row>
    <row r="158" ht="15.75" customHeight="1">
      <c r="A158" s="43">
        <v>45923.0</v>
      </c>
      <c r="B158" s="43">
        <v>45929.0</v>
      </c>
      <c r="C158" s="44" t="s">
        <v>92</v>
      </c>
      <c r="D158" s="6" t="s">
        <v>322</v>
      </c>
      <c r="E158" s="8" t="s">
        <v>88</v>
      </c>
      <c r="F158" s="8" t="s">
        <v>134</v>
      </c>
      <c r="G158" s="46">
        <v>0.4</v>
      </c>
    </row>
    <row r="159" ht="15.75" customHeight="1">
      <c r="A159" s="43">
        <v>46302.0</v>
      </c>
      <c r="B159" s="43">
        <v>46315.0</v>
      </c>
      <c r="C159" s="44" t="s">
        <v>413</v>
      </c>
      <c r="D159" s="6" t="s">
        <v>352</v>
      </c>
      <c r="E159" s="8" t="s">
        <v>179</v>
      </c>
      <c r="F159" s="13" t="s">
        <v>464</v>
      </c>
      <c r="G159" s="46">
        <v>0.4</v>
      </c>
    </row>
    <row r="160" ht="15.75" customHeight="1">
      <c r="A160" s="43">
        <v>46302.0</v>
      </c>
      <c r="B160" s="43">
        <v>46315.0</v>
      </c>
      <c r="C160" s="44" t="s">
        <v>413</v>
      </c>
      <c r="D160" s="6" t="s">
        <v>352</v>
      </c>
      <c r="E160" s="8" t="s">
        <v>132</v>
      </c>
      <c r="F160" s="13" t="s">
        <v>263</v>
      </c>
      <c r="G160" s="46">
        <v>0.5</v>
      </c>
    </row>
    <row r="161" ht="15.75" customHeight="1">
      <c r="A161" s="43">
        <v>46309.0</v>
      </c>
      <c r="B161" s="43">
        <v>46315.0</v>
      </c>
      <c r="C161" s="44" t="s">
        <v>92</v>
      </c>
      <c r="D161" s="6" t="s">
        <v>321</v>
      </c>
      <c r="E161" s="8" t="s">
        <v>269</v>
      </c>
      <c r="F161" s="13" t="s">
        <v>479</v>
      </c>
      <c r="G161" s="46">
        <v>0.4</v>
      </c>
    </row>
    <row r="162" ht="15.75" customHeight="1">
      <c r="A162" s="43">
        <v>46309.0</v>
      </c>
      <c r="B162" s="43">
        <v>46315.0</v>
      </c>
      <c r="C162" s="44" t="s">
        <v>92</v>
      </c>
      <c r="D162" s="6" t="s">
        <v>321</v>
      </c>
      <c r="E162" s="8" t="s">
        <v>179</v>
      </c>
      <c r="F162" s="13" t="s">
        <v>237</v>
      </c>
      <c r="G162" s="46">
        <v>0.5</v>
      </c>
    </row>
    <row r="163" ht="15.75" customHeight="1">
      <c r="A163" s="43">
        <v>46346.0</v>
      </c>
      <c r="B163" s="43">
        <v>46359.0</v>
      </c>
      <c r="C163" s="44" t="s">
        <v>103</v>
      </c>
      <c r="D163" s="6" t="s">
        <v>322</v>
      </c>
      <c r="E163" s="8" t="s">
        <v>95</v>
      </c>
      <c r="F163" s="13" t="s">
        <v>305</v>
      </c>
      <c r="G163" s="46">
        <v>0.5</v>
      </c>
    </row>
    <row r="164" ht="15.75" customHeight="1">
      <c r="A164" s="43">
        <v>46346.0</v>
      </c>
      <c r="B164" s="43">
        <v>46359.0</v>
      </c>
      <c r="C164" s="44" t="s">
        <v>103</v>
      </c>
      <c r="D164" s="6" t="s">
        <v>322</v>
      </c>
      <c r="E164" s="8" t="s">
        <v>88</v>
      </c>
      <c r="F164" s="13" t="s">
        <v>137</v>
      </c>
      <c r="G164" s="46">
        <v>0.5</v>
      </c>
    </row>
    <row r="165" ht="15.75" customHeight="1">
      <c r="A165" s="43">
        <v>46346.0</v>
      </c>
      <c r="B165" s="43">
        <v>46359.0</v>
      </c>
      <c r="C165" s="44" t="s">
        <v>103</v>
      </c>
      <c r="D165" s="6" t="s">
        <v>352</v>
      </c>
      <c r="E165" s="8" t="s">
        <v>179</v>
      </c>
      <c r="F165" s="13" t="s">
        <v>237</v>
      </c>
      <c r="G165" s="46">
        <v>0.5</v>
      </c>
    </row>
    <row r="166" ht="15.75" customHeight="1">
      <c r="A166" s="43">
        <v>46346.0</v>
      </c>
      <c r="B166" s="43">
        <v>46359.0</v>
      </c>
      <c r="C166" s="44" t="s">
        <v>103</v>
      </c>
      <c r="D166" s="6" t="s">
        <v>352</v>
      </c>
      <c r="E166" s="8" t="s">
        <v>132</v>
      </c>
      <c r="F166" s="13" t="s">
        <v>263</v>
      </c>
      <c r="G166" s="46">
        <v>0.5</v>
      </c>
    </row>
    <row r="167" ht="15.75" customHeight="1">
      <c r="A167" s="43">
        <v>46360.0</v>
      </c>
      <c r="B167" s="43">
        <v>46373.0</v>
      </c>
      <c r="C167" s="44" t="s">
        <v>417</v>
      </c>
      <c r="D167" s="6" t="s">
        <v>321</v>
      </c>
      <c r="E167" s="8" t="s">
        <v>269</v>
      </c>
      <c r="F167" s="13" t="s">
        <v>479</v>
      </c>
      <c r="G167" s="46">
        <v>0.4</v>
      </c>
    </row>
    <row r="168" ht="15.75" customHeight="1">
      <c r="A168" s="43">
        <v>46360.0</v>
      </c>
      <c r="B168" s="43">
        <v>46373.0</v>
      </c>
      <c r="C168" s="44" t="s">
        <v>417</v>
      </c>
      <c r="D168" s="6" t="s">
        <v>321</v>
      </c>
      <c r="E168" s="8" t="s">
        <v>179</v>
      </c>
      <c r="F168" s="13" t="s">
        <v>237</v>
      </c>
      <c r="G168" s="46">
        <v>0.5</v>
      </c>
    </row>
    <row r="169" ht="15.75" customHeight="1">
      <c r="A169" s="43">
        <v>46374.0</v>
      </c>
      <c r="B169" s="43">
        <v>46029.0</v>
      </c>
      <c r="C169" s="44" t="s">
        <v>106</v>
      </c>
      <c r="D169" s="6" t="s">
        <v>322</v>
      </c>
      <c r="E169" s="8" t="s">
        <v>95</v>
      </c>
      <c r="F169" s="13" t="s">
        <v>305</v>
      </c>
      <c r="G169" s="46">
        <v>0.5</v>
      </c>
    </row>
    <row r="170" ht="15.75" customHeight="1">
      <c r="A170" s="43">
        <v>46374.0</v>
      </c>
      <c r="B170" s="43">
        <v>46029.0</v>
      </c>
      <c r="C170" s="44" t="s">
        <v>106</v>
      </c>
      <c r="D170" s="6" t="s">
        <v>322</v>
      </c>
      <c r="E170" s="8" t="s">
        <v>88</v>
      </c>
      <c r="F170" s="13" t="s">
        <v>137</v>
      </c>
      <c r="G170" s="46">
        <v>0.5</v>
      </c>
    </row>
    <row r="171" ht="15.75" customHeight="1"/>
    <row r="172" ht="15.75" customHeight="1">
      <c r="A172" s="42" t="s">
        <v>107</v>
      </c>
    </row>
    <row r="173" ht="15.75" customHeight="1">
      <c r="A173" s="43">
        <v>45686.0</v>
      </c>
      <c r="B173" s="43">
        <v>45700.0</v>
      </c>
      <c r="C173" s="44" t="s">
        <v>476</v>
      </c>
      <c r="D173" s="6" t="s">
        <v>322</v>
      </c>
      <c r="E173" s="8">
        <v>39.99</v>
      </c>
      <c r="F173" s="8">
        <f t="shared" ref="F173:F207" si="11">E173*(1-G173)</f>
        <v>25.9935</v>
      </c>
      <c r="G173" s="46">
        <v>0.35</v>
      </c>
    </row>
    <row r="174" ht="15.75" customHeight="1">
      <c r="A174" s="43"/>
      <c r="B174" s="43"/>
      <c r="C174" s="44"/>
      <c r="D174" s="6" t="s">
        <v>321</v>
      </c>
      <c r="E174" s="8">
        <v>79.99</v>
      </c>
      <c r="F174" s="8">
        <f t="shared" si="11"/>
        <v>51.9935</v>
      </c>
      <c r="G174" s="46">
        <v>0.35</v>
      </c>
    </row>
    <row r="175" ht="15.75" customHeight="1">
      <c r="A175" s="43">
        <v>45700.0</v>
      </c>
      <c r="B175" s="43">
        <v>45714.0</v>
      </c>
      <c r="C175" s="44" t="s">
        <v>424</v>
      </c>
      <c r="D175" s="6" t="s">
        <v>352</v>
      </c>
      <c r="E175" s="8">
        <v>69.99</v>
      </c>
      <c r="F175" s="8">
        <f t="shared" si="11"/>
        <v>45.4935</v>
      </c>
      <c r="G175" s="46">
        <v>0.35</v>
      </c>
    </row>
    <row r="176" ht="15.75" customHeight="1">
      <c r="A176" s="99">
        <v>45716.0</v>
      </c>
      <c r="B176" s="99">
        <v>45719.0</v>
      </c>
      <c r="C176" s="44" t="s">
        <v>517</v>
      </c>
      <c r="D176" s="6" t="s">
        <v>322</v>
      </c>
      <c r="E176" s="8">
        <v>39.99</v>
      </c>
      <c r="F176" s="8">
        <f t="shared" si="11"/>
        <v>25.9935</v>
      </c>
      <c r="G176" s="46">
        <v>0.35</v>
      </c>
    </row>
    <row r="177" ht="15.75" customHeight="1">
      <c r="A177" s="43"/>
      <c r="B177" s="43"/>
      <c r="C177" s="44"/>
      <c r="D177" s="6" t="s">
        <v>321</v>
      </c>
      <c r="E177" s="8">
        <v>79.99</v>
      </c>
      <c r="F177" s="8">
        <f t="shared" si="11"/>
        <v>51.9935</v>
      </c>
      <c r="G177" s="46">
        <v>0.35</v>
      </c>
    </row>
    <row r="178" ht="15.75" customHeight="1">
      <c r="A178" s="99">
        <v>45730.0</v>
      </c>
      <c r="B178" s="99">
        <v>45733.0</v>
      </c>
      <c r="C178" s="44" t="s">
        <v>518</v>
      </c>
      <c r="D178" s="6" t="s">
        <v>352</v>
      </c>
      <c r="E178" s="8">
        <v>69.99</v>
      </c>
      <c r="F178" s="8">
        <f t="shared" si="11"/>
        <v>45.4935</v>
      </c>
      <c r="G178" s="46">
        <v>0.35</v>
      </c>
    </row>
    <row r="179" ht="15.75" customHeight="1">
      <c r="A179" s="43">
        <v>45742.0</v>
      </c>
      <c r="B179" s="99">
        <v>45757.0</v>
      </c>
      <c r="C179" s="44" t="s">
        <v>519</v>
      </c>
      <c r="D179" s="6" t="s">
        <v>322</v>
      </c>
      <c r="E179" s="8">
        <v>39.99</v>
      </c>
      <c r="F179" s="8">
        <f t="shared" si="11"/>
        <v>25.9935</v>
      </c>
      <c r="G179" s="46">
        <v>0.35</v>
      </c>
    </row>
    <row r="180" ht="15.75" customHeight="1">
      <c r="A180" s="43"/>
      <c r="B180" s="43"/>
      <c r="C180" s="44"/>
      <c r="D180" s="6" t="s">
        <v>321</v>
      </c>
      <c r="E180" s="8">
        <v>79.99</v>
      </c>
      <c r="F180" s="8">
        <f t="shared" si="11"/>
        <v>51.9935</v>
      </c>
      <c r="G180" s="46">
        <v>0.35</v>
      </c>
    </row>
    <row r="181" ht="15.75" customHeight="1">
      <c r="A181" s="99">
        <v>45756.0</v>
      </c>
      <c r="B181" s="43">
        <v>45770.0</v>
      </c>
      <c r="C181" s="44" t="s">
        <v>521</v>
      </c>
      <c r="D181" s="6" t="s">
        <v>352</v>
      </c>
      <c r="E181" s="8">
        <v>69.99</v>
      </c>
      <c r="F181" s="8">
        <f t="shared" si="11"/>
        <v>45.4935</v>
      </c>
      <c r="G181" s="46">
        <v>0.35</v>
      </c>
    </row>
    <row r="182" ht="15.75" customHeight="1">
      <c r="A182" s="63">
        <v>45786.0</v>
      </c>
      <c r="B182" s="63">
        <v>45913.0</v>
      </c>
      <c r="C182" s="64" t="s">
        <v>480</v>
      </c>
      <c r="D182" s="64" t="s">
        <v>321</v>
      </c>
      <c r="E182" s="65">
        <v>79.99</v>
      </c>
      <c r="F182" s="8">
        <f t="shared" si="11"/>
        <v>51.9935</v>
      </c>
      <c r="G182" s="66">
        <v>0.35</v>
      </c>
    </row>
    <row r="183" ht="15.75" customHeight="1">
      <c r="A183" s="63">
        <v>45786.0</v>
      </c>
      <c r="B183" s="63">
        <v>45913.0</v>
      </c>
      <c r="C183" s="64" t="s">
        <v>480</v>
      </c>
      <c r="D183" s="64" t="s">
        <v>322</v>
      </c>
      <c r="E183" s="65">
        <v>39.99</v>
      </c>
      <c r="F183" s="8">
        <f t="shared" si="11"/>
        <v>25.9935</v>
      </c>
      <c r="G183" s="66">
        <v>0.35</v>
      </c>
    </row>
    <row r="184" ht="15.75" customHeight="1">
      <c r="A184" s="63">
        <v>45798.0</v>
      </c>
      <c r="B184" s="63">
        <v>45806.0</v>
      </c>
      <c r="C184" s="64" t="s">
        <v>522</v>
      </c>
      <c r="D184" s="64" t="s">
        <v>352</v>
      </c>
      <c r="E184" s="65">
        <v>69.99</v>
      </c>
      <c r="F184" s="8">
        <f t="shared" si="11"/>
        <v>45.4935</v>
      </c>
      <c r="G184" s="66">
        <v>0.35</v>
      </c>
    </row>
    <row r="185" ht="15.75" customHeight="1">
      <c r="A185" s="63">
        <v>45805.0</v>
      </c>
      <c r="B185" s="63">
        <v>45820.0</v>
      </c>
      <c r="C185" s="64" t="s">
        <v>151</v>
      </c>
      <c r="D185" s="64" t="s">
        <v>321</v>
      </c>
      <c r="E185" s="65">
        <v>79.99</v>
      </c>
      <c r="F185" s="8">
        <f t="shared" si="11"/>
        <v>51.9935</v>
      </c>
      <c r="G185" s="66">
        <v>0.35</v>
      </c>
    </row>
    <row r="186" ht="15.75" customHeight="1">
      <c r="A186" s="63">
        <v>45805.0</v>
      </c>
      <c r="B186" s="63">
        <v>45820.0</v>
      </c>
      <c r="C186" s="64" t="s">
        <v>151</v>
      </c>
      <c r="D186" s="64" t="s">
        <v>322</v>
      </c>
      <c r="E186" s="65">
        <v>39.99</v>
      </c>
      <c r="F186" s="8">
        <f t="shared" si="11"/>
        <v>25.9935</v>
      </c>
      <c r="G186" s="66">
        <v>0.35</v>
      </c>
    </row>
    <row r="187" ht="15.75" customHeight="1">
      <c r="A187" s="63">
        <v>45826.0</v>
      </c>
      <c r="B187" s="63">
        <v>45841.0</v>
      </c>
      <c r="C187" s="64" t="s">
        <v>357</v>
      </c>
      <c r="D187" s="64" t="s">
        <v>352</v>
      </c>
      <c r="E187" s="65">
        <v>69.99</v>
      </c>
      <c r="F187" s="8">
        <f t="shared" si="11"/>
        <v>45.4935</v>
      </c>
      <c r="G187" s="66">
        <v>0.35</v>
      </c>
    </row>
    <row r="188" ht="15.75" customHeight="1">
      <c r="A188" s="63">
        <v>45850.0</v>
      </c>
      <c r="B188" s="63">
        <v>45868.0</v>
      </c>
      <c r="C188" s="64" t="s">
        <v>485</v>
      </c>
      <c r="D188" s="64" t="s">
        <v>322</v>
      </c>
      <c r="E188" s="65">
        <v>39.99</v>
      </c>
      <c r="F188" s="8">
        <f t="shared" si="11"/>
        <v>23.994</v>
      </c>
      <c r="G188" s="66">
        <v>0.4</v>
      </c>
    </row>
    <row r="189" ht="15.75" customHeight="1">
      <c r="A189" s="63"/>
      <c r="B189" s="63"/>
      <c r="C189" s="64"/>
      <c r="D189" s="64" t="s">
        <v>321</v>
      </c>
      <c r="E189" s="65">
        <v>79.99</v>
      </c>
      <c r="F189" s="8">
        <f t="shared" si="11"/>
        <v>47.994</v>
      </c>
      <c r="G189" s="66">
        <v>0.4</v>
      </c>
    </row>
    <row r="190" ht="15.75" customHeight="1">
      <c r="A190" s="63">
        <v>45868.0</v>
      </c>
      <c r="B190" s="63">
        <v>45882.0</v>
      </c>
      <c r="C190" s="64" t="s">
        <v>487</v>
      </c>
      <c r="D190" s="64" t="s">
        <v>352</v>
      </c>
      <c r="E190" s="65">
        <v>69.99</v>
      </c>
      <c r="F190" s="8">
        <f t="shared" si="11"/>
        <v>41.994</v>
      </c>
      <c r="G190" s="66">
        <v>0.4</v>
      </c>
    </row>
    <row r="191" ht="15.75" customHeight="1">
      <c r="A191" s="63">
        <v>45884.0</v>
      </c>
      <c r="B191" s="63">
        <v>45887.0</v>
      </c>
      <c r="C191" s="64" t="s">
        <v>480</v>
      </c>
      <c r="D191" s="64" t="s">
        <v>321</v>
      </c>
      <c r="E191" s="65">
        <v>79.99</v>
      </c>
      <c r="F191" s="8">
        <f t="shared" si="11"/>
        <v>47.994</v>
      </c>
      <c r="G191" s="66">
        <v>0.4</v>
      </c>
    </row>
    <row r="192" ht="15.75" customHeight="1">
      <c r="A192" s="63">
        <v>45884.0</v>
      </c>
      <c r="B192" s="63">
        <v>45887.0</v>
      </c>
      <c r="C192" s="64" t="s">
        <v>480</v>
      </c>
      <c r="D192" s="64" t="s">
        <v>322</v>
      </c>
      <c r="E192" s="65">
        <v>39.99</v>
      </c>
      <c r="F192" s="8">
        <f t="shared" si="11"/>
        <v>23.994</v>
      </c>
      <c r="G192" s="66">
        <v>0.4</v>
      </c>
    </row>
    <row r="193" ht="15.75" customHeight="1">
      <c r="A193" s="63">
        <v>45896.0</v>
      </c>
      <c r="B193" s="63">
        <v>45910.0</v>
      </c>
      <c r="C193" s="64" t="s">
        <v>421</v>
      </c>
      <c r="D193" s="64" t="s">
        <v>321</v>
      </c>
      <c r="E193" s="65">
        <v>79.99</v>
      </c>
      <c r="F193" s="8">
        <f t="shared" si="11"/>
        <v>47.994</v>
      </c>
      <c r="G193" s="66">
        <v>0.4</v>
      </c>
    </row>
    <row r="194" ht="15.75" customHeight="1">
      <c r="A194" s="63">
        <v>45896.0</v>
      </c>
      <c r="B194" s="63">
        <v>45910.0</v>
      </c>
      <c r="C194" s="64" t="s">
        <v>421</v>
      </c>
      <c r="D194" s="64" t="s">
        <v>322</v>
      </c>
      <c r="E194" s="65">
        <v>39.99</v>
      </c>
      <c r="F194" s="8">
        <f t="shared" si="11"/>
        <v>23.994</v>
      </c>
      <c r="G194" s="66">
        <v>0.4</v>
      </c>
    </row>
    <row r="195" ht="15.75" customHeight="1">
      <c r="A195" s="63">
        <v>45898.0</v>
      </c>
      <c r="B195" s="63">
        <v>45901.0</v>
      </c>
      <c r="C195" s="64" t="s">
        <v>480</v>
      </c>
      <c r="D195" s="64" t="s">
        <v>352</v>
      </c>
      <c r="E195" s="65">
        <v>69.99</v>
      </c>
      <c r="F195" s="8">
        <f t="shared" si="11"/>
        <v>41.994</v>
      </c>
      <c r="G195" s="66">
        <v>0.4</v>
      </c>
    </row>
    <row r="196" ht="15.75" customHeight="1">
      <c r="A196" s="63">
        <v>45910.0</v>
      </c>
      <c r="B196" s="63">
        <v>45924.0</v>
      </c>
      <c r="C196" s="64" t="s">
        <v>422</v>
      </c>
      <c r="D196" s="64" t="s">
        <v>352</v>
      </c>
      <c r="E196" s="65">
        <v>69.99</v>
      </c>
      <c r="F196" s="8">
        <f t="shared" si="11"/>
        <v>41.994</v>
      </c>
      <c r="G196" s="66">
        <v>0.4</v>
      </c>
    </row>
    <row r="197" ht="15.75" customHeight="1">
      <c r="A197" s="63">
        <v>45938.0</v>
      </c>
      <c r="B197" s="63">
        <v>45952.0</v>
      </c>
      <c r="C197" s="64" t="s">
        <v>423</v>
      </c>
      <c r="D197" s="64" t="s">
        <v>321</v>
      </c>
      <c r="E197" s="65">
        <v>79.99</v>
      </c>
      <c r="F197" s="8">
        <f t="shared" si="11"/>
        <v>47.994</v>
      </c>
      <c r="G197" s="66">
        <v>0.4</v>
      </c>
    </row>
    <row r="198" ht="15.75" customHeight="1">
      <c r="A198" s="63">
        <v>45938.0</v>
      </c>
      <c r="B198" s="63">
        <v>45952.0</v>
      </c>
      <c r="C198" s="64" t="s">
        <v>423</v>
      </c>
      <c r="D198" s="64" t="s">
        <v>322</v>
      </c>
      <c r="E198" s="65">
        <v>39.99</v>
      </c>
      <c r="F198" s="8">
        <f t="shared" si="11"/>
        <v>23.994</v>
      </c>
      <c r="G198" s="66">
        <v>0.4</v>
      </c>
    </row>
    <row r="199" ht="15.75" customHeight="1">
      <c r="A199" s="63">
        <v>45952.0</v>
      </c>
      <c r="B199" s="63">
        <v>45966.0</v>
      </c>
      <c r="C199" s="64" t="s">
        <v>424</v>
      </c>
      <c r="D199" s="64" t="s">
        <v>352</v>
      </c>
      <c r="E199" s="65">
        <v>69.99</v>
      </c>
      <c r="F199" s="8">
        <f t="shared" si="11"/>
        <v>41.994</v>
      </c>
      <c r="G199" s="66">
        <v>0.4</v>
      </c>
    </row>
    <row r="200" ht="15.75" customHeight="1">
      <c r="A200" s="63">
        <v>45982.0</v>
      </c>
      <c r="B200" s="63">
        <v>45992.0</v>
      </c>
      <c r="C200" s="64" t="s">
        <v>425</v>
      </c>
      <c r="D200" s="64" t="s">
        <v>321</v>
      </c>
      <c r="E200" s="65">
        <v>79.99</v>
      </c>
      <c r="F200" s="8">
        <f t="shared" si="11"/>
        <v>39.995</v>
      </c>
      <c r="G200" s="66">
        <v>0.5</v>
      </c>
    </row>
    <row r="201" ht="15.75" customHeight="1">
      <c r="A201" s="63">
        <v>45982.0</v>
      </c>
      <c r="B201" s="63">
        <v>45992.0</v>
      </c>
      <c r="C201" s="64" t="s">
        <v>425</v>
      </c>
      <c r="D201" s="64" t="s">
        <v>322</v>
      </c>
      <c r="E201" s="65">
        <v>39.99</v>
      </c>
      <c r="F201" s="8">
        <f t="shared" si="11"/>
        <v>19.995</v>
      </c>
      <c r="G201" s="66">
        <v>0.5</v>
      </c>
    </row>
    <row r="202" ht="15.75" customHeight="1">
      <c r="A202" s="63">
        <v>45992.0</v>
      </c>
      <c r="B202" s="63">
        <v>46007.0</v>
      </c>
      <c r="C202" s="64" t="s">
        <v>426</v>
      </c>
      <c r="D202" s="64" t="s">
        <v>352</v>
      </c>
      <c r="E202" s="65">
        <v>69.99</v>
      </c>
      <c r="F202" s="8">
        <f t="shared" si="11"/>
        <v>34.995</v>
      </c>
      <c r="G202" s="66">
        <v>0.5</v>
      </c>
    </row>
    <row r="203" ht="15.75" customHeight="1">
      <c r="A203" s="63">
        <v>46010.0</v>
      </c>
      <c r="B203" s="63">
        <v>46012.0</v>
      </c>
      <c r="C203" s="64" t="s">
        <v>526</v>
      </c>
      <c r="D203" s="64" t="s">
        <v>321</v>
      </c>
      <c r="E203" s="65">
        <v>79.99</v>
      </c>
      <c r="F203" s="8">
        <f t="shared" si="11"/>
        <v>39.995</v>
      </c>
      <c r="G203" s="66">
        <v>0.5</v>
      </c>
    </row>
    <row r="204" ht="15.75" customHeight="1">
      <c r="A204" s="63">
        <v>46010.0</v>
      </c>
      <c r="B204" s="63">
        <v>46012.0</v>
      </c>
      <c r="C204" s="64" t="s">
        <v>526</v>
      </c>
      <c r="D204" s="64" t="s">
        <v>322</v>
      </c>
      <c r="E204" s="65">
        <v>39.99</v>
      </c>
      <c r="F204" s="8">
        <f t="shared" si="11"/>
        <v>19.995</v>
      </c>
      <c r="G204" s="66">
        <v>0.5</v>
      </c>
    </row>
    <row r="205" ht="15.75" customHeight="1">
      <c r="A205" s="63">
        <v>46013.0</v>
      </c>
      <c r="B205" s="63">
        <v>46029.0</v>
      </c>
      <c r="C205" s="64" t="s">
        <v>316</v>
      </c>
      <c r="D205" s="64" t="s">
        <v>321</v>
      </c>
      <c r="E205" s="65">
        <v>79.99</v>
      </c>
      <c r="F205" s="8">
        <f t="shared" si="11"/>
        <v>39.995</v>
      </c>
      <c r="G205" s="66">
        <v>0.5</v>
      </c>
    </row>
    <row r="206" ht="15.75" customHeight="1">
      <c r="A206" s="63">
        <v>46013.0</v>
      </c>
      <c r="B206" s="63">
        <v>46029.0</v>
      </c>
      <c r="C206" s="64" t="s">
        <v>316</v>
      </c>
      <c r="D206" s="64" t="s">
        <v>322</v>
      </c>
      <c r="E206" s="65">
        <v>39.99</v>
      </c>
      <c r="F206" s="8">
        <f t="shared" si="11"/>
        <v>19.995</v>
      </c>
      <c r="G206" s="66">
        <v>0.5</v>
      </c>
    </row>
    <row r="207" ht="15.75" customHeight="1">
      <c r="A207" s="63">
        <v>46027.0</v>
      </c>
      <c r="B207" s="63">
        <v>46043.0</v>
      </c>
      <c r="C207" s="64" t="s">
        <v>317</v>
      </c>
      <c r="D207" s="64" t="s">
        <v>352</v>
      </c>
      <c r="E207" s="65">
        <v>69.99</v>
      </c>
      <c r="F207" s="8">
        <f t="shared" si="11"/>
        <v>34.995</v>
      </c>
      <c r="G207" s="66">
        <v>0.5</v>
      </c>
    </row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G1"/>
    <mergeCell ref="A3:G3"/>
    <mergeCell ref="A116:G116"/>
    <mergeCell ref="A172:G172"/>
  </mergeCells>
  <drawing r:id="rId1"/>
  <tableParts count="2">
    <tablePart r:id="rId4"/>
    <tablePart r:id="rId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75"/>
    <col customWidth="1" min="2" max="2" width="7.88"/>
    <col customWidth="1" min="3" max="3" width="32.13"/>
    <col customWidth="1" min="4" max="4" width="33.0"/>
    <col customWidth="1" min="5" max="5" width="15.75"/>
    <col customWidth="1" min="6" max="6" width="15.0"/>
    <col customWidth="1" min="7" max="7" width="9.38"/>
  </cols>
  <sheetData>
    <row r="1" ht="15.75" customHeight="1">
      <c r="A1" s="2">
        <v>2025.0</v>
      </c>
    </row>
    <row r="2" ht="15.75" customHeight="1">
      <c r="A2" s="4" t="s">
        <v>2</v>
      </c>
      <c r="B2" s="4" t="s">
        <v>6</v>
      </c>
      <c r="C2" s="4" t="s">
        <v>7</v>
      </c>
      <c r="D2" s="4" t="s">
        <v>8</v>
      </c>
      <c r="E2" s="7" t="s">
        <v>9</v>
      </c>
      <c r="F2" s="7" t="s">
        <v>10</v>
      </c>
      <c r="G2" s="7" t="s">
        <v>11</v>
      </c>
    </row>
    <row r="3" ht="15.75" customHeight="1">
      <c r="A3" s="9" t="s">
        <v>14</v>
      </c>
    </row>
    <row r="4" ht="15.75" customHeight="1">
      <c r="A4" s="12">
        <v>45698.0</v>
      </c>
      <c r="B4" s="12">
        <v>45712.0</v>
      </c>
      <c r="C4" s="1" t="s">
        <v>500</v>
      </c>
      <c r="D4" s="56" t="s">
        <v>239</v>
      </c>
      <c r="E4" s="56">
        <v>29.99</v>
      </c>
      <c r="F4" s="14">
        <f t="shared" ref="F4:F12" si="1">E4*(1-G4)</f>
        <v>9.8967</v>
      </c>
      <c r="G4" s="91">
        <v>0.67</v>
      </c>
    </row>
    <row r="5" ht="15.75" customHeight="1">
      <c r="A5" s="12">
        <v>45698.0</v>
      </c>
      <c r="B5" s="12">
        <v>45712.0</v>
      </c>
      <c r="C5" s="1" t="s">
        <v>500</v>
      </c>
      <c r="D5" s="56" t="s">
        <v>384</v>
      </c>
      <c r="E5" s="58">
        <v>39.99</v>
      </c>
      <c r="F5" s="14">
        <f t="shared" si="1"/>
        <v>13.9965</v>
      </c>
      <c r="G5" s="60">
        <v>0.65</v>
      </c>
    </row>
    <row r="6" ht="15.75" customHeight="1">
      <c r="A6" s="12">
        <v>45698.0</v>
      </c>
      <c r="B6" s="12">
        <v>45712.0</v>
      </c>
      <c r="C6" s="1" t="s">
        <v>500</v>
      </c>
      <c r="D6" s="56" t="s">
        <v>253</v>
      </c>
      <c r="E6" s="58">
        <v>59.99</v>
      </c>
      <c r="F6" s="14">
        <f t="shared" si="1"/>
        <v>17.997</v>
      </c>
      <c r="G6" s="60">
        <v>0.7</v>
      </c>
    </row>
    <row r="7" ht="15.75" customHeight="1">
      <c r="A7" s="12">
        <v>45698.0</v>
      </c>
      <c r="B7" s="12">
        <v>45712.0</v>
      </c>
      <c r="C7" s="1" t="s">
        <v>500</v>
      </c>
      <c r="D7" s="56" t="s">
        <v>257</v>
      </c>
      <c r="E7" s="58">
        <v>69.99</v>
      </c>
      <c r="F7" s="14">
        <f t="shared" si="1"/>
        <v>34.995</v>
      </c>
      <c r="G7" s="60">
        <v>0.5</v>
      </c>
    </row>
    <row r="8" ht="15.75" customHeight="1">
      <c r="A8" s="12">
        <v>45698.0</v>
      </c>
      <c r="B8" s="12">
        <v>45712.0</v>
      </c>
      <c r="C8" s="1" t="s">
        <v>500</v>
      </c>
      <c r="D8" s="56" t="s">
        <v>260</v>
      </c>
      <c r="E8" s="58">
        <v>24.99</v>
      </c>
      <c r="F8" s="14">
        <f t="shared" si="1"/>
        <v>12.495</v>
      </c>
      <c r="G8" s="57">
        <v>0.5</v>
      </c>
    </row>
    <row r="9" ht="15.75" customHeight="1">
      <c r="A9" s="12">
        <v>45698.0</v>
      </c>
      <c r="B9" s="12">
        <v>45712.0</v>
      </c>
      <c r="C9" s="1" t="s">
        <v>500</v>
      </c>
      <c r="D9" s="56" t="s">
        <v>266</v>
      </c>
      <c r="E9" s="58">
        <v>29.99</v>
      </c>
      <c r="F9" s="14">
        <f t="shared" si="1"/>
        <v>14.995</v>
      </c>
      <c r="G9" s="57">
        <v>0.5</v>
      </c>
    </row>
    <row r="10" ht="15.75" customHeight="1">
      <c r="A10" s="12">
        <v>45698.0</v>
      </c>
      <c r="B10" s="12">
        <v>45712.0</v>
      </c>
      <c r="C10" s="1" t="s">
        <v>500</v>
      </c>
      <c r="D10" s="56" t="s">
        <v>271</v>
      </c>
      <c r="E10" s="58">
        <v>34.99</v>
      </c>
      <c r="F10" s="14">
        <f t="shared" si="1"/>
        <v>24.493</v>
      </c>
      <c r="G10" s="60">
        <v>0.3</v>
      </c>
    </row>
    <row r="11" ht="15.75" customHeight="1">
      <c r="A11" s="12">
        <v>45698.0</v>
      </c>
      <c r="B11" s="12">
        <v>45712.0</v>
      </c>
      <c r="C11" s="1" t="s">
        <v>500</v>
      </c>
      <c r="D11" s="56" t="s">
        <v>274</v>
      </c>
      <c r="E11" s="58">
        <v>44.99</v>
      </c>
      <c r="F11" s="14">
        <f t="shared" si="1"/>
        <v>22.495</v>
      </c>
      <c r="G11" s="57">
        <v>0.5</v>
      </c>
    </row>
    <row r="12" ht="15.75" customHeight="1">
      <c r="A12" s="12">
        <v>45698.0</v>
      </c>
      <c r="B12" s="12">
        <v>45712.0</v>
      </c>
      <c r="C12" s="1" t="s">
        <v>500</v>
      </c>
      <c r="D12" s="56" t="s">
        <v>501</v>
      </c>
      <c r="E12" s="56">
        <v>59.99</v>
      </c>
      <c r="F12" s="14">
        <f t="shared" si="1"/>
        <v>41.993</v>
      </c>
      <c r="G12" s="60">
        <v>0.3</v>
      </c>
    </row>
    <row r="13" ht="15.75" customHeight="1"/>
    <row r="14" ht="15.75" customHeight="1">
      <c r="A14" s="11">
        <v>45729.0</v>
      </c>
      <c r="B14" s="12">
        <v>45734.0</v>
      </c>
      <c r="C14" s="1" t="s">
        <v>54</v>
      </c>
      <c r="D14" s="56" t="s">
        <v>239</v>
      </c>
      <c r="E14" s="56">
        <v>29.99</v>
      </c>
      <c r="F14" s="14">
        <f t="shared" ref="F14:F22" si="2">E14*(1-G14)</f>
        <v>9.8967</v>
      </c>
      <c r="G14" s="57">
        <v>0.67</v>
      </c>
    </row>
    <row r="15" ht="15.75" customHeight="1">
      <c r="A15" s="11">
        <v>45729.0</v>
      </c>
      <c r="B15" s="12">
        <v>45734.0</v>
      </c>
      <c r="C15" s="1" t="s">
        <v>54</v>
      </c>
      <c r="D15" s="56" t="s">
        <v>384</v>
      </c>
      <c r="E15" s="58">
        <v>39.99</v>
      </c>
      <c r="F15" s="14">
        <f t="shared" si="2"/>
        <v>13.9965</v>
      </c>
      <c r="G15" s="57">
        <v>0.65</v>
      </c>
    </row>
    <row r="16" ht="15.75" customHeight="1">
      <c r="A16" s="11">
        <v>45729.0</v>
      </c>
      <c r="B16" s="12">
        <v>45734.0</v>
      </c>
      <c r="C16" s="1" t="s">
        <v>54</v>
      </c>
      <c r="D16" s="56" t="s">
        <v>253</v>
      </c>
      <c r="E16" s="58">
        <v>59.99</v>
      </c>
      <c r="F16" s="14">
        <f t="shared" si="2"/>
        <v>17.997</v>
      </c>
      <c r="G16" s="57">
        <v>0.7</v>
      </c>
    </row>
    <row r="17" ht="15.75" customHeight="1">
      <c r="A17" s="11">
        <v>45729.0</v>
      </c>
      <c r="B17" s="12">
        <v>45734.0</v>
      </c>
      <c r="C17" s="1" t="s">
        <v>54</v>
      </c>
      <c r="D17" s="56" t="s">
        <v>257</v>
      </c>
      <c r="E17" s="58">
        <v>69.99</v>
      </c>
      <c r="F17" s="14">
        <f t="shared" si="2"/>
        <v>34.995</v>
      </c>
      <c r="G17" s="57">
        <v>0.5</v>
      </c>
    </row>
    <row r="18" ht="15.75" customHeight="1">
      <c r="A18" s="11">
        <v>45729.0</v>
      </c>
      <c r="B18" s="12">
        <v>45734.0</v>
      </c>
      <c r="C18" s="1" t="s">
        <v>54</v>
      </c>
      <c r="D18" s="56" t="s">
        <v>260</v>
      </c>
      <c r="E18" s="58">
        <v>24.99</v>
      </c>
      <c r="F18" s="14">
        <f t="shared" si="2"/>
        <v>12.495</v>
      </c>
      <c r="G18" s="57">
        <v>0.5</v>
      </c>
    </row>
    <row r="19" ht="15.75" customHeight="1">
      <c r="A19" s="11">
        <v>45729.0</v>
      </c>
      <c r="B19" s="12">
        <v>45734.0</v>
      </c>
      <c r="C19" s="1" t="s">
        <v>54</v>
      </c>
      <c r="D19" s="56" t="s">
        <v>266</v>
      </c>
      <c r="E19" s="58">
        <v>29.99</v>
      </c>
      <c r="F19" s="14">
        <f t="shared" si="2"/>
        <v>14.995</v>
      </c>
      <c r="G19" s="57">
        <v>0.5</v>
      </c>
    </row>
    <row r="20" ht="15.75" customHeight="1">
      <c r="A20" s="11">
        <v>45729.0</v>
      </c>
      <c r="B20" s="12">
        <v>45734.0</v>
      </c>
      <c r="C20" s="1" t="s">
        <v>54</v>
      </c>
      <c r="D20" s="56" t="s">
        <v>271</v>
      </c>
      <c r="E20" s="58">
        <v>34.99</v>
      </c>
      <c r="F20" s="14">
        <f t="shared" si="2"/>
        <v>24.493</v>
      </c>
      <c r="G20" s="57">
        <v>0.3</v>
      </c>
    </row>
    <row r="21" ht="15.75" customHeight="1">
      <c r="A21" s="11">
        <v>45729.0</v>
      </c>
      <c r="B21" s="12">
        <v>45734.0</v>
      </c>
      <c r="C21" s="1" t="s">
        <v>54</v>
      </c>
      <c r="D21" s="56" t="s">
        <v>274</v>
      </c>
      <c r="E21" s="58">
        <v>44.99</v>
      </c>
      <c r="F21" s="14">
        <f t="shared" si="2"/>
        <v>22.495</v>
      </c>
      <c r="G21" s="57">
        <v>0.5</v>
      </c>
    </row>
    <row r="22" ht="15.75" customHeight="1">
      <c r="A22" s="11">
        <v>45729.0</v>
      </c>
      <c r="B22" s="12">
        <v>45734.0</v>
      </c>
      <c r="C22" s="1" t="s">
        <v>54</v>
      </c>
      <c r="D22" s="56" t="s">
        <v>501</v>
      </c>
      <c r="E22" s="56">
        <v>59.99</v>
      </c>
      <c r="F22" s="14">
        <f t="shared" si="2"/>
        <v>41.993</v>
      </c>
      <c r="G22" s="57">
        <v>0.3</v>
      </c>
    </row>
    <row r="23" ht="15.75" customHeight="1"/>
    <row r="24" ht="15.75" customHeight="1">
      <c r="A24" s="1" t="s">
        <v>503</v>
      </c>
      <c r="B24" s="12">
        <v>45773.0</v>
      </c>
      <c r="C24" s="1" t="s">
        <v>504</v>
      </c>
      <c r="D24" s="56" t="s">
        <v>239</v>
      </c>
      <c r="E24" s="56">
        <v>29.99</v>
      </c>
      <c r="F24" s="14">
        <f t="shared" ref="F24:F32" si="3">E24*(1-G24)</f>
        <v>9.8967</v>
      </c>
      <c r="G24" s="57">
        <v>0.67</v>
      </c>
    </row>
    <row r="25" ht="15.75" customHeight="1">
      <c r="A25" s="1" t="s">
        <v>503</v>
      </c>
      <c r="B25" s="12">
        <v>45773.0</v>
      </c>
      <c r="C25" s="1" t="s">
        <v>504</v>
      </c>
      <c r="D25" s="56" t="s">
        <v>384</v>
      </c>
      <c r="E25" s="58">
        <v>39.99</v>
      </c>
      <c r="F25" s="14">
        <f t="shared" si="3"/>
        <v>13.9965</v>
      </c>
      <c r="G25" s="57">
        <v>0.65</v>
      </c>
    </row>
    <row r="26" ht="15.75" customHeight="1">
      <c r="A26" s="1" t="s">
        <v>503</v>
      </c>
      <c r="B26" s="12">
        <v>45773.0</v>
      </c>
      <c r="C26" s="1" t="s">
        <v>504</v>
      </c>
      <c r="D26" s="56" t="s">
        <v>253</v>
      </c>
      <c r="E26" s="58">
        <v>59.99</v>
      </c>
      <c r="F26" s="14">
        <f t="shared" si="3"/>
        <v>17.997</v>
      </c>
      <c r="G26" s="57">
        <v>0.7</v>
      </c>
    </row>
    <row r="27" ht="15.75" customHeight="1">
      <c r="A27" s="1" t="s">
        <v>503</v>
      </c>
      <c r="B27" s="12">
        <v>45773.0</v>
      </c>
      <c r="C27" s="1" t="s">
        <v>504</v>
      </c>
      <c r="D27" s="56" t="s">
        <v>257</v>
      </c>
      <c r="E27" s="58">
        <v>69.99</v>
      </c>
      <c r="F27" s="14">
        <f t="shared" si="3"/>
        <v>34.995</v>
      </c>
      <c r="G27" s="57">
        <v>0.5</v>
      </c>
    </row>
    <row r="28" ht="15.75" customHeight="1">
      <c r="A28" s="1" t="s">
        <v>503</v>
      </c>
      <c r="B28" s="12">
        <v>45773.0</v>
      </c>
      <c r="C28" s="1" t="s">
        <v>504</v>
      </c>
      <c r="D28" s="56" t="s">
        <v>260</v>
      </c>
      <c r="E28" s="58">
        <v>24.99</v>
      </c>
      <c r="F28" s="14">
        <f t="shared" si="3"/>
        <v>12.495</v>
      </c>
      <c r="G28" s="57">
        <v>0.5</v>
      </c>
    </row>
    <row r="29" ht="15.75" customHeight="1">
      <c r="A29" s="1" t="s">
        <v>503</v>
      </c>
      <c r="B29" s="12">
        <v>45773.0</v>
      </c>
      <c r="C29" s="1" t="s">
        <v>504</v>
      </c>
      <c r="D29" s="56" t="s">
        <v>266</v>
      </c>
      <c r="E29" s="58">
        <v>29.99</v>
      </c>
      <c r="F29" s="14">
        <f t="shared" si="3"/>
        <v>14.995</v>
      </c>
      <c r="G29" s="57">
        <v>0.5</v>
      </c>
    </row>
    <row r="30" ht="15.75" customHeight="1">
      <c r="A30" s="1" t="s">
        <v>503</v>
      </c>
      <c r="B30" s="12">
        <v>45773.0</v>
      </c>
      <c r="C30" s="1" t="s">
        <v>504</v>
      </c>
      <c r="D30" s="56" t="s">
        <v>271</v>
      </c>
      <c r="E30" s="58">
        <v>34.99</v>
      </c>
      <c r="F30" s="14">
        <f t="shared" si="3"/>
        <v>24.493</v>
      </c>
      <c r="G30" s="57">
        <v>0.3</v>
      </c>
    </row>
    <row r="31" ht="15.75" customHeight="1">
      <c r="A31" s="1" t="s">
        <v>503</v>
      </c>
      <c r="B31" s="12">
        <v>45773.0</v>
      </c>
      <c r="C31" s="1" t="s">
        <v>504</v>
      </c>
      <c r="D31" s="56" t="s">
        <v>274</v>
      </c>
      <c r="E31" s="58">
        <v>44.99</v>
      </c>
      <c r="F31" s="14">
        <f t="shared" si="3"/>
        <v>22.495</v>
      </c>
      <c r="G31" s="57">
        <v>0.5</v>
      </c>
    </row>
    <row r="32" ht="15.75" customHeight="1">
      <c r="A32" s="1" t="s">
        <v>503</v>
      </c>
      <c r="B32" s="12">
        <v>45773.0</v>
      </c>
      <c r="C32" s="1" t="s">
        <v>504</v>
      </c>
      <c r="D32" s="56" t="s">
        <v>501</v>
      </c>
      <c r="E32" s="56">
        <v>59.99</v>
      </c>
      <c r="F32" s="14">
        <f t="shared" si="3"/>
        <v>41.993</v>
      </c>
      <c r="G32" s="57">
        <v>0.3</v>
      </c>
    </row>
    <row r="33" ht="15.75" customHeight="1"/>
    <row r="34" ht="15.75" customHeight="1">
      <c r="A34" s="11">
        <v>45803.0</v>
      </c>
      <c r="B34" s="12">
        <v>45817.0</v>
      </c>
      <c r="C34" s="1" t="s">
        <v>505</v>
      </c>
      <c r="D34" s="56" t="s">
        <v>239</v>
      </c>
      <c r="E34" s="56">
        <v>29.99</v>
      </c>
      <c r="F34" s="14">
        <f t="shared" ref="F34:F42" si="4">E34*(1-G34)</f>
        <v>9.8967</v>
      </c>
      <c r="G34" s="57">
        <v>0.67</v>
      </c>
    </row>
    <row r="35" ht="15.75" customHeight="1">
      <c r="A35" s="11">
        <v>45803.0</v>
      </c>
      <c r="B35" s="12">
        <v>45817.0</v>
      </c>
      <c r="C35" s="1" t="s">
        <v>505</v>
      </c>
      <c r="D35" s="56" t="s">
        <v>384</v>
      </c>
      <c r="E35" s="58">
        <v>39.99</v>
      </c>
      <c r="F35" s="14">
        <f t="shared" si="4"/>
        <v>13.9965</v>
      </c>
      <c r="G35" s="57">
        <v>0.65</v>
      </c>
    </row>
    <row r="36" ht="15.75" customHeight="1">
      <c r="A36" s="11">
        <v>45803.0</v>
      </c>
      <c r="B36" s="12">
        <v>45817.0</v>
      </c>
      <c r="C36" s="1" t="s">
        <v>505</v>
      </c>
      <c r="D36" s="56" t="s">
        <v>253</v>
      </c>
      <c r="E36" s="58">
        <v>59.99</v>
      </c>
      <c r="F36" s="14">
        <f t="shared" si="4"/>
        <v>17.997</v>
      </c>
      <c r="G36" s="57">
        <v>0.7</v>
      </c>
    </row>
    <row r="37" ht="15.75" customHeight="1">
      <c r="A37" s="11">
        <v>45803.0</v>
      </c>
      <c r="B37" s="12">
        <v>45817.0</v>
      </c>
      <c r="C37" s="1" t="s">
        <v>505</v>
      </c>
      <c r="D37" s="56" t="s">
        <v>257</v>
      </c>
      <c r="E37" s="58">
        <v>69.99</v>
      </c>
      <c r="F37" s="14">
        <f t="shared" si="4"/>
        <v>34.995</v>
      </c>
      <c r="G37" s="57">
        <v>0.5</v>
      </c>
    </row>
    <row r="38" ht="15.75" customHeight="1">
      <c r="A38" s="11">
        <v>45803.0</v>
      </c>
      <c r="B38" s="12">
        <v>45817.0</v>
      </c>
      <c r="C38" s="1" t="s">
        <v>505</v>
      </c>
      <c r="D38" s="56" t="s">
        <v>260</v>
      </c>
      <c r="E38" s="58">
        <v>24.99</v>
      </c>
      <c r="F38" s="14">
        <f t="shared" si="4"/>
        <v>12.495</v>
      </c>
      <c r="G38" s="57">
        <v>0.5</v>
      </c>
    </row>
    <row r="39" ht="15.75" customHeight="1">
      <c r="A39" s="11">
        <v>45803.0</v>
      </c>
      <c r="B39" s="12">
        <v>45817.0</v>
      </c>
      <c r="C39" s="1" t="s">
        <v>505</v>
      </c>
      <c r="D39" s="56" t="s">
        <v>266</v>
      </c>
      <c r="E39" s="58">
        <v>29.99</v>
      </c>
      <c r="F39" s="14">
        <f t="shared" si="4"/>
        <v>14.995</v>
      </c>
      <c r="G39" s="57">
        <v>0.5</v>
      </c>
    </row>
    <row r="40" ht="15.75" customHeight="1">
      <c r="A40" s="11">
        <v>45803.0</v>
      </c>
      <c r="B40" s="12">
        <v>45817.0</v>
      </c>
      <c r="C40" s="1" t="s">
        <v>505</v>
      </c>
      <c r="D40" s="56" t="s">
        <v>271</v>
      </c>
      <c r="E40" s="58">
        <v>34.99</v>
      </c>
      <c r="F40" s="14">
        <f t="shared" si="4"/>
        <v>24.493</v>
      </c>
      <c r="G40" s="57">
        <v>0.3</v>
      </c>
    </row>
    <row r="41" ht="15.75" customHeight="1">
      <c r="A41" s="11">
        <v>45803.0</v>
      </c>
      <c r="B41" s="12">
        <v>45817.0</v>
      </c>
      <c r="C41" s="1" t="s">
        <v>505</v>
      </c>
      <c r="D41" s="56" t="s">
        <v>274</v>
      </c>
      <c r="E41" s="58">
        <v>44.99</v>
      </c>
      <c r="F41" s="14">
        <f t="shared" si="4"/>
        <v>22.495</v>
      </c>
      <c r="G41" s="57">
        <v>0.5</v>
      </c>
    </row>
    <row r="42" ht="15.75" customHeight="1">
      <c r="A42" s="11">
        <v>45803.0</v>
      </c>
      <c r="B42" s="12">
        <v>45817.0</v>
      </c>
      <c r="C42" s="1" t="s">
        <v>505</v>
      </c>
      <c r="D42" s="56" t="s">
        <v>501</v>
      </c>
      <c r="E42" s="56">
        <v>59.99</v>
      </c>
      <c r="F42" s="14">
        <f t="shared" si="4"/>
        <v>41.993</v>
      </c>
      <c r="G42" s="57">
        <v>0.3</v>
      </c>
    </row>
    <row r="43" ht="15.75" customHeight="1"/>
    <row r="44" ht="15.75" customHeight="1">
      <c r="A44" s="11">
        <v>45834.0</v>
      </c>
      <c r="B44" s="12">
        <v>45848.0</v>
      </c>
      <c r="C44" s="1" t="s">
        <v>443</v>
      </c>
      <c r="D44" s="56" t="s">
        <v>239</v>
      </c>
      <c r="E44" s="56">
        <v>29.99</v>
      </c>
      <c r="F44" s="14">
        <f t="shared" ref="F44:F52" si="5">E44*(1-G44)</f>
        <v>9.8967</v>
      </c>
      <c r="G44" s="57">
        <v>0.67</v>
      </c>
    </row>
    <row r="45" ht="15.75" customHeight="1">
      <c r="A45" s="11">
        <v>45834.0</v>
      </c>
      <c r="B45" s="12">
        <v>45848.0</v>
      </c>
      <c r="C45" s="1" t="s">
        <v>443</v>
      </c>
      <c r="D45" s="56" t="s">
        <v>384</v>
      </c>
      <c r="E45" s="58">
        <v>39.99</v>
      </c>
      <c r="F45" s="14">
        <f t="shared" si="5"/>
        <v>13.9965</v>
      </c>
      <c r="G45" s="57">
        <v>0.65</v>
      </c>
      <c r="H45" s="81">
        <f>F45-F44</f>
        <v>4.0998</v>
      </c>
    </row>
    <row r="46" ht="15.75" customHeight="1">
      <c r="A46" s="11">
        <v>45834.0</v>
      </c>
      <c r="B46" s="12">
        <v>45848.0</v>
      </c>
      <c r="C46" s="1" t="s">
        <v>443</v>
      </c>
      <c r="D46" s="56" t="s">
        <v>253</v>
      </c>
      <c r="E46" s="58">
        <v>59.99</v>
      </c>
      <c r="F46" s="14">
        <f t="shared" si="5"/>
        <v>17.997</v>
      </c>
      <c r="G46" s="57">
        <v>0.7</v>
      </c>
    </row>
    <row r="47" ht="15.75" customHeight="1">
      <c r="A47" s="11">
        <v>45834.0</v>
      </c>
      <c r="B47" s="12">
        <v>45848.0</v>
      </c>
      <c r="C47" s="1" t="s">
        <v>443</v>
      </c>
      <c r="D47" s="56" t="s">
        <v>257</v>
      </c>
      <c r="E47" s="58">
        <v>69.99</v>
      </c>
      <c r="F47" s="14">
        <f t="shared" si="5"/>
        <v>34.995</v>
      </c>
      <c r="G47" s="57">
        <v>0.5</v>
      </c>
    </row>
    <row r="48" ht="15.75" customHeight="1">
      <c r="A48" s="11">
        <v>45834.0</v>
      </c>
      <c r="B48" s="12">
        <v>45848.0</v>
      </c>
      <c r="C48" s="1" t="s">
        <v>443</v>
      </c>
      <c r="D48" s="56" t="s">
        <v>260</v>
      </c>
      <c r="E48" s="58">
        <v>24.99</v>
      </c>
      <c r="F48" s="14">
        <f t="shared" si="5"/>
        <v>12.495</v>
      </c>
      <c r="G48" s="57">
        <v>0.5</v>
      </c>
    </row>
    <row r="49" ht="15.75" customHeight="1">
      <c r="A49" s="11">
        <v>45834.0</v>
      </c>
      <c r="B49" s="12">
        <v>45848.0</v>
      </c>
      <c r="C49" s="1" t="s">
        <v>443</v>
      </c>
      <c r="D49" s="56" t="s">
        <v>266</v>
      </c>
      <c r="E49" s="58">
        <v>29.99</v>
      </c>
      <c r="F49" s="14">
        <f t="shared" si="5"/>
        <v>14.995</v>
      </c>
      <c r="G49" s="57">
        <v>0.5</v>
      </c>
    </row>
    <row r="50" ht="15.75" customHeight="1">
      <c r="A50" s="11">
        <v>45834.0</v>
      </c>
      <c r="B50" s="12">
        <v>45848.0</v>
      </c>
      <c r="C50" s="1" t="s">
        <v>443</v>
      </c>
      <c r="D50" s="56" t="s">
        <v>271</v>
      </c>
      <c r="E50" s="58">
        <v>34.99</v>
      </c>
      <c r="F50" s="14">
        <f t="shared" si="5"/>
        <v>24.493</v>
      </c>
      <c r="G50" s="57">
        <v>0.3</v>
      </c>
    </row>
    <row r="51" ht="15.75" customHeight="1">
      <c r="A51" s="11">
        <v>45834.0</v>
      </c>
      <c r="B51" s="12">
        <v>45848.0</v>
      </c>
      <c r="C51" s="1" t="s">
        <v>443</v>
      </c>
      <c r="D51" s="56" t="s">
        <v>274</v>
      </c>
      <c r="E51" s="58">
        <v>44.99</v>
      </c>
      <c r="F51" s="14">
        <f t="shared" si="5"/>
        <v>22.495</v>
      </c>
      <c r="G51" s="57">
        <v>0.5</v>
      </c>
    </row>
    <row r="52" ht="15.75" customHeight="1">
      <c r="A52" s="11">
        <v>45834.0</v>
      </c>
      <c r="B52" s="12">
        <v>45848.0</v>
      </c>
      <c r="C52" s="1" t="s">
        <v>443</v>
      </c>
      <c r="D52" s="56" t="s">
        <v>501</v>
      </c>
      <c r="E52" s="56">
        <v>59.99</v>
      </c>
      <c r="F52" s="14">
        <f t="shared" si="5"/>
        <v>41.993</v>
      </c>
      <c r="G52" s="57">
        <v>0.3</v>
      </c>
    </row>
    <row r="53" ht="15.75" customHeight="1"/>
    <row r="54" ht="15.75" customHeight="1">
      <c r="A54" s="11">
        <v>45855.0</v>
      </c>
      <c r="B54" s="12">
        <v>45869.0</v>
      </c>
      <c r="C54" s="1" t="s">
        <v>445</v>
      </c>
      <c r="D54" s="56" t="s">
        <v>239</v>
      </c>
      <c r="E54" s="56">
        <v>29.99</v>
      </c>
      <c r="F54" s="14">
        <f t="shared" ref="F54:F62" si="6">E54*(1-G54)</f>
        <v>9.8967</v>
      </c>
      <c r="G54" s="57">
        <v>0.67</v>
      </c>
    </row>
    <row r="55" ht="15.75" customHeight="1">
      <c r="A55" s="11">
        <v>45855.0</v>
      </c>
      <c r="B55" s="12">
        <v>45869.0</v>
      </c>
      <c r="C55" s="1" t="s">
        <v>445</v>
      </c>
      <c r="D55" s="56" t="s">
        <v>384</v>
      </c>
      <c r="E55" s="58">
        <v>39.99</v>
      </c>
      <c r="F55" s="14">
        <f t="shared" si="6"/>
        <v>12.7968</v>
      </c>
      <c r="G55" s="57">
        <v>0.68</v>
      </c>
      <c r="H55" s="81">
        <f>F55-F54</f>
        <v>2.9001</v>
      </c>
    </row>
    <row r="56" ht="15.75" customHeight="1">
      <c r="A56" s="11">
        <v>45855.0</v>
      </c>
      <c r="B56" s="12">
        <v>45869.0</v>
      </c>
      <c r="C56" s="1" t="s">
        <v>445</v>
      </c>
      <c r="D56" s="56" t="s">
        <v>253</v>
      </c>
      <c r="E56" s="58">
        <v>59.99</v>
      </c>
      <c r="F56" s="14">
        <f t="shared" si="6"/>
        <v>17.997</v>
      </c>
      <c r="G56" s="57">
        <v>0.7</v>
      </c>
    </row>
    <row r="57" ht="15.75" customHeight="1">
      <c r="A57" s="11">
        <v>45855.0</v>
      </c>
      <c r="B57" s="12">
        <v>45869.0</v>
      </c>
      <c r="C57" s="1" t="s">
        <v>445</v>
      </c>
      <c r="D57" s="56" t="s">
        <v>257</v>
      </c>
      <c r="E57" s="58">
        <v>69.99</v>
      </c>
      <c r="F57" s="14">
        <f t="shared" si="6"/>
        <v>34.995</v>
      </c>
      <c r="G57" s="57">
        <v>0.5</v>
      </c>
    </row>
    <row r="58" ht="15.75" customHeight="1">
      <c r="A58" s="11">
        <v>45855.0</v>
      </c>
      <c r="B58" s="12">
        <v>45869.0</v>
      </c>
      <c r="C58" s="1" t="s">
        <v>445</v>
      </c>
      <c r="D58" s="56" t="s">
        <v>260</v>
      </c>
      <c r="E58" s="58">
        <v>24.99</v>
      </c>
      <c r="F58" s="14">
        <f t="shared" si="6"/>
        <v>12.495</v>
      </c>
      <c r="G58" s="57">
        <v>0.5</v>
      </c>
    </row>
    <row r="59" ht="15.75" customHeight="1">
      <c r="A59" s="11">
        <v>45855.0</v>
      </c>
      <c r="B59" s="12">
        <v>45869.0</v>
      </c>
      <c r="C59" s="1" t="s">
        <v>445</v>
      </c>
      <c r="D59" s="56" t="s">
        <v>266</v>
      </c>
      <c r="E59" s="58">
        <v>29.99</v>
      </c>
      <c r="F59" s="14">
        <f t="shared" si="6"/>
        <v>14.995</v>
      </c>
      <c r="G59" s="57">
        <v>0.5</v>
      </c>
    </row>
    <row r="60" ht="15.75" customHeight="1">
      <c r="A60" s="11">
        <v>45855.0</v>
      </c>
      <c r="B60" s="12">
        <v>45869.0</v>
      </c>
      <c r="C60" s="1" t="s">
        <v>445</v>
      </c>
      <c r="D60" s="56" t="s">
        <v>271</v>
      </c>
      <c r="E60" s="58">
        <v>34.99</v>
      </c>
      <c r="F60" s="14">
        <f t="shared" si="6"/>
        <v>24.493</v>
      </c>
      <c r="G60" s="57">
        <v>0.3</v>
      </c>
    </row>
    <row r="61" ht="15.75" customHeight="1">
      <c r="A61" s="11">
        <v>45855.0</v>
      </c>
      <c r="B61" s="12">
        <v>45869.0</v>
      </c>
      <c r="C61" s="1" t="s">
        <v>445</v>
      </c>
      <c r="D61" s="56" t="s">
        <v>274</v>
      </c>
      <c r="E61" s="58">
        <v>44.99</v>
      </c>
      <c r="F61" s="14">
        <f t="shared" si="6"/>
        <v>22.495</v>
      </c>
      <c r="G61" s="57">
        <v>0.5</v>
      </c>
    </row>
    <row r="62" ht="15.75" customHeight="1">
      <c r="A62" s="11">
        <v>45855.0</v>
      </c>
      <c r="B62" s="12">
        <v>45869.0</v>
      </c>
      <c r="C62" s="1" t="s">
        <v>445</v>
      </c>
      <c r="D62" s="56" t="s">
        <v>501</v>
      </c>
      <c r="E62" s="56">
        <v>59.99</v>
      </c>
      <c r="F62" s="14">
        <f t="shared" si="6"/>
        <v>41.993</v>
      </c>
      <c r="G62" s="57">
        <v>0.3</v>
      </c>
    </row>
    <row r="63" ht="15.75" customHeight="1"/>
    <row r="64" ht="15.75" customHeight="1">
      <c r="A64" s="11">
        <v>45904.0</v>
      </c>
      <c r="B64" s="12">
        <v>45915.0</v>
      </c>
      <c r="C64" s="1" t="s">
        <v>72</v>
      </c>
      <c r="D64" s="56" t="s">
        <v>239</v>
      </c>
      <c r="E64" s="56">
        <v>29.99</v>
      </c>
      <c r="F64" s="14">
        <f t="shared" ref="F64:F72" si="7">E64*(1-G64)</f>
        <v>8.997</v>
      </c>
      <c r="G64" s="60">
        <v>0.7</v>
      </c>
    </row>
    <row r="65" ht="15.75" customHeight="1">
      <c r="A65" s="11">
        <v>45904.0</v>
      </c>
      <c r="B65" s="12">
        <v>45915.0</v>
      </c>
      <c r="C65" s="1" t="s">
        <v>72</v>
      </c>
      <c r="D65" s="56" t="s">
        <v>384</v>
      </c>
      <c r="E65" s="58">
        <v>39.99</v>
      </c>
      <c r="F65" s="14">
        <f t="shared" si="7"/>
        <v>11.997</v>
      </c>
      <c r="G65" s="60">
        <v>0.7</v>
      </c>
      <c r="H65" s="81">
        <f>F65-F64</f>
        <v>3</v>
      </c>
    </row>
    <row r="66" ht="15.75" customHeight="1">
      <c r="A66" s="11">
        <v>45904.0</v>
      </c>
      <c r="B66" s="12">
        <v>45915.0</v>
      </c>
      <c r="C66" s="1" t="s">
        <v>72</v>
      </c>
      <c r="D66" s="56" t="s">
        <v>253</v>
      </c>
      <c r="E66" s="58">
        <v>59.99</v>
      </c>
      <c r="F66" s="14">
        <f t="shared" si="7"/>
        <v>17.997</v>
      </c>
      <c r="G66" s="57">
        <v>0.7</v>
      </c>
    </row>
    <row r="67" ht="15.75" customHeight="1">
      <c r="A67" s="11">
        <v>45904.0</v>
      </c>
      <c r="B67" s="12">
        <v>45915.0</v>
      </c>
      <c r="C67" s="1" t="s">
        <v>72</v>
      </c>
      <c r="D67" s="56" t="s">
        <v>257</v>
      </c>
      <c r="E67" s="58">
        <v>69.99</v>
      </c>
      <c r="F67" s="14">
        <f t="shared" si="7"/>
        <v>34.995</v>
      </c>
      <c r="G67" s="57">
        <v>0.5</v>
      </c>
    </row>
    <row r="68" ht="15.75" customHeight="1">
      <c r="A68" s="11">
        <v>45904.0</v>
      </c>
      <c r="B68" s="12">
        <v>45915.0</v>
      </c>
      <c r="C68" s="1" t="s">
        <v>72</v>
      </c>
      <c r="D68" s="56" t="s">
        <v>260</v>
      </c>
      <c r="E68" s="58">
        <v>24.99</v>
      </c>
      <c r="F68" s="14">
        <f t="shared" si="7"/>
        <v>12.495</v>
      </c>
      <c r="G68" s="57">
        <v>0.5</v>
      </c>
    </row>
    <row r="69" ht="15.75" customHeight="1">
      <c r="A69" s="11">
        <v>45904.0</v>
      </c>
      <c r="B69" s="12">
        <v>45915.0</v>
      </c>
      <c r="C69" s="1" t="s">
        <v>72</v>
      </c>
      <c r="D69" s="56" t="s">
        <v>266</v>
      </c>
      <c r="E69" s="58">
        <v>29.99</v>
      </c>
      <c r="F69" s="14">
        <f t="shared" si="7"/>
        <v>14.995</v>
      </c>
      <c r="G69" s="57">
        <v>0.5</v>
      </c>
    </row>
    <row r="70" ht="15.75" customHeight="1">
      <c r="A70" s="11">
        <v>45904.0</v>
      </c>
      <c r="B70" s="12">
        <v>45915.0</v>
      </c>
      <c r="C70" s="1" t="s">
        <v>72</v>
      </c>
      <c r="D70" s="56" t="s">
        <v>271</v>
      </c>
      <c r="E70" s="58">
        <v>34.99</v>
      </c>
      <c r="F70" s="14">
        <f t="shared" si="7"/>
        <v>24.493</v>
      </c>
      <c r="G70" s="57">
        <v>0.3</v>
      </c>
    </row>
    <row r="71" ht="15.75" customHeight="1">
      <c r="A71" s="11">
        <v>45904.0</v>
      </c>
      <c r="B71" s="12">
        <v>45915.0</v>
      </c>
      <c r="C71" s="1" t="s">
        <v>72</v>
      </c>
      <c r="D71" s="56" t="s">
        <v>274</v>
      </c>
      <c r="E71" s="58">
        <v>44.99</v>
      </c>
      <c r="F71" s="14">
        <f t="shared" si="7"/>
        <v>22.495</v>
      </c>
      <c r="G71" s="57">
        <v>0.5</v>
      </c>
    </row>
    <row r="72" ht="15.75" customHeight="1">
      <c r="A72" s="11">
        <v>45904.0</v>
      </c>
      <c r="B72" s="12">
        <v>45915.0</v>
      </c>
      <c r="C72" s="1" t="s">
        <v>72</v>
      </c>
      <c r="D72" s="56" t="s">
        <v>501</v>
      </c>
      <c r="E72" s="56">
        <v>59.99</v>
      </c>
      <c r="F72" s="14">
        <f t="shared" si="7"/>
        <v>41.993</v>
      </c>
      <c r="G72" s="57">
        <v>0.3</v>
      </c>
    </row>
    <row r="73" ht="15.75" customHeight="1"/>
    <row r="74" ht="15.75" customHeight="1">
      <c r="A74" s="11">
        <v>45929.0</v>
      </c>
      <c r="B74" s="12">
        <v>45936.0</v>
      </c>
      <c r="C74" s="1" t="s">
        <v>75</v>
      </c>
      <c r="D74" s="56" t="s">
        <v>239</v>
      </c>
      <c r="E74" s="56">
        <v>29.99</v>
      </c>
      <c r="F74" s="14">
        <f t="shared" ref="F74:F82" si="8">E74*(1-G74)</f>
        <v>8.997</v>
      </c>
      <c r="G74" s="57">
        <v>0.7</v>
      </c>
    </row>
    <row r="75" ht="15.75" customHeight="1">
      <c r="A75" s="11">
        <v>45929.0</v>
      </c>
      <c r="B75" s="12">
        <v>45936.0</v>
      </c>
      <c r="C75" s="1" t="s">
        <v>75</v>
      </c>
      <c r="D75" s="56" t="s">
        <v>384</v>
      </c>
      <c r="E75" s="58">
        <v>39.99</v>
      </c>
      <c r="F75" s="14">
        <f t="shared" si="8"/>
        <v>11.997</v>
      </c>
      <c r="G75" s="57">
        <v>0.7</v>
      </c>
    </row>
    <row r="76" ht="15.75" customHeight="1">
      <c r="A76" s="11">
        <v>45929.0</v>
      </c>
      <c r="B76" s="12">
        <v>45936.0</v>
      </c>
      <c r="C76" s="1" t="s">
        <v>75</v>
      </c>
      <c r="D76" s="56" t="s">
        <v>253</v>
      </c>
      <c r="E76" s="58">
        <v>59.99</v>
      </c>
      <c r="F76" s="14">
        <f t="shared" si="8"/>
        <v>17.997</v>
      </c>
      <c r="G76" s="57">
        <v>0.7</v>
      </c>
    </row>
    <row r="77" ht="15.75" customHeight="1">
      <c r="A77" s="11">
        <v>45929.0</v>
      </c>
      <c r="B77" s="12">
        <v>45936.0</v>
      </c>
      <c r="C77" s="1" t="s">
        <v>75</v>
      </c>
      <c r="D77" s="56" t="s">
        <v>257</v>
      </c>
      <c r="E77" s="58">
        <v>69.99</v>
      </c>
      <c r="F77" s="14">
        <f t="shared" si="8"/>
        <v>34.995</v>
      </c>
      <c r="G77" s="57">
        <v>0.5</v>
      </c>
    </row>
    <row r="78" ht="15.75" customHeight="1">
      <c r="A78" s="11">
        <v>45929.0</v>
      </c>
      <c r="B78" s="12">
        <v>45936.0</v>
      </c>
      <c r="C78" s="1" t="s">
        <v>75</v>
      </c>
      <c r="D78" s="56" t="s">
        <v>260</v>
      </c>
      <c r="E78" s="58">
        <v>24.99</v>
      </c>
      <c r="F78" s="14">
        <f t="shared" si="8"/>
        <v>12.495</v>
      </c>
      <c r="G78" s="57">
        <v>0.5</v>
      </c>
    </row>
    <row r="79" ht="15.75" customHeight="1">
      <c r="A79" s="11">
        <v>45929.0</v>
      </c>
      <c r="B79" s="12">
        <v>45936.0</v>
      </c>
      <c r="C79" s="1" t="s">
        <v>75</v>
      </c>
      <c r="D79" s="56" t="s">
        <v>266</v>
      </c>
      <c r="E79" s="58">
        <v>29.99</v>
      </c>
      <c r="F79" s="14">
        <f t="shared" si="8"/>
        <v>14.995</v>
      </c>
      <c r="G79" s="57">
        <v>0.5</v>
      </c>
    </row>
    <row r="80" ht="15.75" customHeight="1">
      <c r="A80" s="11">
        <v>45929.0</v>
      </c>
      <c r="B80" s="12">
        <v>45936.0</v>
      </c>
      <c r="C80" s="1" t="s">
        <v>75</v>
      </c>
      <c r="D80" s="56" t="s">
        <v>271</v>
      </c>
      <c r="E80" s="58">
        <v>34.99</v>
      </c>
      <c r="F80" s="14">
        <f t="shared" si="8"/>
        <v>24.493</v>
      </c>
      <c r="G80" s="57">
        <v>0.3</v>
      </c>
    </row>
    <row r="81" ht="15.75" customHeight="1">
      <c r="A81" s="11">
        <v>45929.0</v>
      </c>
      <c r="B81" s="12">
        <v>45936.0</v>
      </c>
      <c r="C81" s="1" t="s">
        <v>75</v>
      </c>
      <c r="D81" s="56" t="s">
        <v>274</v>
      </c>
      <c r="E81" s="58">
        <v>44.99</v>
      </c>
      <c r="F81" s="14">
        <f t="shared" si="8"/>
        <v>22.495</v>
      </c>
      <c r="G81" s="57">
        <v>0.5</v>
      </c>
    </row>
    <row r="82" ht="15.75" customHeight="1">
      <c r="A82" s="11">
        <v>45929.0</v>
      </c>
      <c r="B82" s="12">
        <v>45936.0</v>
      </c>
      <c r="C82" s="1" t="s">
        <v>75</v>
      </c>
      <c r="D82" s="56" t="s">
        <v>501</v>
      </c>
      <c r="E82" s="56">
        <v>59.99</v>
      </c>
      <c r="F82" s="14">
        <f t="shared" si="8"/>
        <v>41.993</v>
      </c>
      <c r="G82" s="57">
        <v>0.3</v>
      </c>
    </row>
    <row r="83" ht="15.75" customHeight="1"/>
    <row r="84" ht="15.75" customHeight="1">
      <c r="A84" s="11">
        <v>46310.0</v>
      </c>
      <c r="B84" s="12">
        <v>46320.0</v>
      </c>
      <c r="C84" s="1" t="s">
        <v>27</v>
      </c>
      <c r="D84" s="56" t="s">
        <v>239</v>
      </c>
      <c r="E84" s="56">
        <v>29.99</v>
      </c>
      <c r="F84" s="14">
        <f t="shared" ref="F84:F94" si="9">E84*(1-G84)</f>
        <v>8.997</v>
      </c>
      <c r="G84" s="57">
        <v>0.7</v>
      </c>
    </row>
    <row r="85" ht="15.75" customHeight="1">
      <c r="A85" s="11">
        <v>46310.0</v>
      </c>
      <c r="B85" s="12">
        <v>46320.0</v>
      </c>
      <c r="C85" s="1" t="s">
        <v>27</v>
      </c>
      <c r="D85" s="56" t="s">
        <v>248</v>
      </c>
      <c r="E85" s="58">
        <v>39.99</v>
      </c>
      <c r="F85" s="14">
        <f t="shared" si="9"/>
        <v>11.997</v>
      </c>
      <c r="G85" s="57">
        <v>0.7</v>
      </c>
    </row>
    <row r="86" ht="15.75" customHeight="1">
      <c r="A86" s="11">
        <v>46310.0</v>
      </c>
      <c r="B86" s="12">
        <v>46320.0</v>
      </c>
      <c r="C86" s="1" t="s">
        <v>27</v>
      </c>
      <c r="D86" s="59" t="s">
        <v>253</v>
      </c>
      <c r="E86" s="58">
        <v>59.99</v>
      </c>
      <c r="F86" s="14">
        <f t="shared" si="9"/>
        <v>17.997</v>
      </c>
      <c r="G86" s="57">
        <v>0.7</v>
      </c>
    </row>
    <row r="87" ht="15.75" customHeight="1">
      <c r="A87" s="11">
        <v>46310.0</v>
      </c>
      <c r="B87" s="12">
        <v>46320.0</v>
      </c>
      <c r="C87" s="1" t="s">
        <v>27</v>
      </c>
      <c r="D87" s="59" t="s">
        <v>257</v>
      </c>
      <c r="E87" s="58">
        <v>69.99</v>
      </c>
      <c r="F87" s="14">
        <f t="shared" si="9"/>
        <v>34.995</v>
      </c>
      <c r="G87" s="57">
        <v>0.5</v>
      </c>
    </row>
    <row r="88" ht="15.75" customHeight="1">
      <c r="A88" s="11">
        <v>46310.0</v>
      </c>
      <c r="B88" s="12">
        <v>46320.0</v>
      </c>
      <c r="C88" s="1" t="s">
        <v>27</v>
      </c>
      <c r="D88" s="67" t="s">
        <v>259</v>
      </c>
      <c r="E88" s="58">
        <v>89.99</v>
      </c>
      <c r="F88" s="14">
        <f t="shared" si="9"/>
        <v>89.99</v>
      </c>
      <c r="G88" s="57">
        <v>0.0</v>
      </c>
    </row>
    <row r="89" ht="15.75" customHeight="1">
      <c r="A89" s="11">
        <v>46310.0</v>
      </c>
      <c r="B89" s="12">
        <v>46320.0</v>
      </c>
      <c r="C89" s="1" t="s">
        <v>27</v>
      </c>
      <c r="D89" s="56" t="s">
        <v>260</v>
      </c>
      <c r="E89" s="58">
        <v>24.99</v>
      </c>
      <c r="F89" s="14">
        <f t="shared" si="9"/>
        <v>12.495</v>
      </c>
      <c r="G89" s="57">
        <v>0.5</v>
      </c>
    </row>
    <row r="90" ht="15.75" customHeight="1">
      <c r="A90" s="11">
        <v>46310.0</v>
      </c>
      <c r="B90" s="12">
        <v>46320.0</v>
      </c>
      <c r="C90" s="1" t="s">
        <v>27</v>
      </c>
      <c r="D90" s="56" t="s">
        <v>266</v>
      </c>
      <c r="E90" s="58">
        <v>29.99</v>
      </c>
      <c r="F90" s="14">
        <f t="shared" si="9"/>
        <v>14.995</v>
      </c>
      <c r="G90" s="57">
        <v>0.5</v>
      </c>
    </row>
    <row r="91" ht="15.75" customHeight="1">
      <c r="A91" s="11">
        <v>46310.0</v>
      </c>
      <c r="B91" s="12">
        <v>46320.0</v>
      </c>
      <c r="C91" s="1" t="s">
        <v>27</v>
      </c>
      <c r="D91" s="56" t="s">
        <v>271</v>
      </c>
      <c r="E91" s="58">
        <v>34.99</v>
      </c>
      <c r="F91" s="14">
        <f t="shared" si="9"/>
        <v>24.493</v>
      </c>
      <c r="G91" s="57">
        <v>0.3</v>
      </c>
    </row>
    <row r="92" ht="15.75" customHeight="1">
      <c r="A92" s="11">
        <v>46310.0</v>
      </c>
      <c r="B92" s="12">
        <v>46320.0</v>
      </c>
      <c r="C92" s="1" t="s">
        <v>27</v>
      </c>
      <c r="D92" s="67" t="s">
        <v>272</v>
      </c>
      <c r="E92" s="58">
        <v>34.99</v>
      </c>
      <c r="F92" s="14">
        <f t="shared" si="9"/>
        <v>34.99</v>
      </c>
      <c r="G92" s="57">
        <v>0.0</v>
      </c>
    </row>
    <row r="93" ht="15.75" customHeight="1">
      <c r="A93" s="11">
        <v>46310.0</v>
      </c>
      <c r="B93" s="12">
        <v>46320.0</v>
      </c>
      <c r="C93" s="1" t="s">
        <v>27</v>
      </c>
      <c r="D93" s="56" t="s">
        <v>274</v>
      </c>
      <c r="E93" s="58">
        <v>44.99</v>
      </c>
      <c r="F93" s="14">
        <f t="shared" si="9"/>
        <v>22.495</v>
      </c>
      <c r="G93" s="57">
        <v>0.5</v>
      </c>
    </row>
    <row r="94" ht="15.75" customHeight="1">
      <c r="A94" s="11">
        <v>46310.0</v>
      </c>
      <c r="B94" s="12">
        <v>46320.0</v>
      </c>
      <c r="C94" s="1" t="s">
        <v>27</v>
      </c>
      <c r="D94" s="56" t="s">
        <v>277</v>
      </c>
      <c r="E94" s="56">
        <v>69.99</v>
      </c>
      <c r="F94" s="14">
        <f t="shared" si="9"/>
        <v>69.99</v>
      </c>
      <c r="G94" s="57">
        <v>0.0</v>
      </c>
    </row>
    <row r="95" ht="15.75" customHeight="1"/>
    <row r="96" ht="15.75" customHeight="1">
      <c r="A96" s="11">
        <v>46350.0</v>
      </c>
      <c r="B96" s="12">
        <v>46357.0</v>
      </c>
      <c r="C96" s="1" t="s">
        <v>408</v>
      </c>
      <c r="D96" s="56" t="s">
        <v>239</v>
      </c>
      <c r="E96" s="56">
        <v>29.99</v>
      </c>
      <c r="F96" s="14">
        <f t="shared" ref="F96:F106" si="10">E96*(1-G96)</f>
        <v>8.997</v>
      </c>
      <c r="G96" s="57">
        <v>0.7</v>
      </c>
    </row>
    <row r="97" ht="15.75" customHeight="1">
      <c r="A97" s="11">
        <v>46350.0</v>
      </c>
      <c r="B97" s="12">
        <v>46357.0</v>
      </c>
      <c r="C97" s="1" t="s">
        <v>408</v>
      </c>
      <c r="D97" s="67" t="s">
        <v>248</v>
      </c>
      <c r="E97" s="58">
        <v>39.99</v>
      </c>
      <c r="F97" s="14">
        <f t="shared" si="10"/>
        <v>9.9975</v>
      </c>
      <c r="G97" s="57">
        <v>0.75</v>
      </c>
    </row>
    <row r="98" ht="15.75" customHeight="1">
      <c r="A98" s="11">
        <v>46350.0</v>
      </c>
      <c r="B98" s="12">
        <v>46357.0</v>
      </c>
      <c r="C98" s="1" t="s">
        <v>408</v>
      </c>
      <c r="D98" s="59" t="s">
        <v>253</v>
      </c>
      <c r="E98" s="58">
        <v>59.99</v>
      </c>
      <c r="F98" s="14">
        <f t="shared" si="10"/>
        <v>17.997</v>
      </c>
      <c r="G98" s="57">
        <v>0.7</v>
      </c>
    </row>
    <row r="99" ht="15.75" customHeight="1">
      <c r="A99" s="11">
        <v>46350.0</v>
      </c>
      <c r="B99" s="12">
        <v>46357.0</v>
      </c>
      <c r="C99" s="1" t="s">
        <v>408</v>
      </c>
      <c r="D99" s="59" t="s">
        <v>257</v>
      </c>
      <c r="E99" s="58">
        <v>69.99</v>
      </c>
      <c r="F99" s="14">
        <f t="shared" si="10"/>
        <v>34.995</v>
      </c>
      <c r="G99" s="57">
        <v>0.5</v>
      </c>
    </row>
    <row r="100" ht="15.75" customHeight="1">
      <c r="A100" s="11">
        <v>46350.0</v>
      </c>
      <c r="B100" s="12">
        <v>46357.0</v>
      </c>
      <c r="C100" s="1" t="s">
        <v>408</v>
      </c>
      <c r="D100" s="67" t="s">
        <v>259</v>
      </c>
      <c r="E100" s="58">
        <v>89.99</v>
      </c>
      <c r="F100" s="14">
        <f t="shared" si="10"/>
        <v>40.4955</v>
      </c>
      <c r="G100" s="57">
        <v>0.55</v>
      </c>
    </row>
    <row r="101" ht="15.75" customHeight="1">
      <c r="A101" s="11">
        <v>46350.0</v>
      </c>
      <c r="B101" s="12">
        <v>46357.0</v>
      </c>
      <c r="C101" s="1" t="s">
        <v>408</v>
      </c>
      <c r="D101" s="58" t="s">
        <v>260</v>
      </c>
      <c r="E101" s="58">
        <v>24.99</v>
      </c>
      <c r="F101" s="14">
        <f t="shared" si="10"/>
        <v>12.495</v>
      </c>
      <c r="G101" s="57">
        <v>0.5</v>
      </c>
    </row>
    <row r="102" ht="15.75" customHeight="1">
      <c r="A102" s="11">
        <v>46350.0</v>
      </c>
      <c r="B102" s="12">
        <v>46357.0</v>
      </c>
      <c r="C102" s="1" t="s">
        <v>408</v>
      </c>
      <c r="D102" s="58" t="s">
        <v>266</v>
      </c>
      <c r="E102" s="58">
        <v>29.99</v>
      </c>
      <c r="F102" s="14">
        <f t="shared" si="10"/>
        <v>14.995</v>
      </c>
      <c r="G102" s="57">
        <v>0.5</v>
      </c>
    </row>
    <row r="103" ht="15.75" customHeight="1">
      <c r="A103" s="11">
        <v>46350.0</v>
      </c>
      <c r="B103" s="12">
        <v>46357.0</v>
      </c>
      <c r="C103" s="1" t="s">
        <v>408</v>
      </c>
      <c r="D103" s="58" t="s">
        <v>271</v>
      </c>
      <c r="E103" s="58">
        <v>34.99</v>
      </c>
      <c r="F103" s="14">
        <f t="shared" si="10"/>
        <v>24.493</v>
      </c>
      <c r="G103" s="57">
        <v>0.3</v>
      </c>
    </row>
    <row r="104" ht="15.75" customHeight="1">
      <c r="A104" s="11">
        <v>46350.0</v>
      </c>
      <c r="B104" s="12">
        <v>46357.0</v>
      </c>
      <c r="C104" s="1" t="s">
        <v>408</v>
      </c>
      <c r="D104" s="58" t="s">
        <v>272</v>
      </c>
      <c r="E104" s="58">
        <v>34.99</v>
      </c>
      <c r="F104" s="14">
        <f t="shared" si="10"/>
        <v>34.99</v>
      </c>
      <c r="G104" s="57">
        <v>0.0</v>
      </c>
    </row>
    <row r="105" ht="15.75" customHeight="1">
      <c r="A105" s="11">
        <v>46350.0</v>
      </c>
      <c r="B105" s="12">
        <v>46357.0</v>
      </c>
      <c r="C105" s="1" t="s">
        <v>408</v>
      </c>
      <c r="D105" s="56" t="s">
        <v>274</v>
      </c>
      <c r="E105" s="58">
        <v>44.99</v>
      </c>
      <c r="F105" s="14">
        <f t="shared" si="10"/>
        <v>22.495</v>
      </c>
      <c r="G105" s="57">
        <v>0.5</v>
      </c>
    </row>
    <row r="106" ht="15.75" customHeight="1">
      <c r="A106" s="11">
        <v>46350.0</v>
      </c>
      <c r="B106" s="12">
        <v>46357.0</v>
      </c>
      <c r="C106" s="1" t="s">
        <v>408</v>
      </c>
      <c r="D106" s="67" t="s">
        <v>277</v>
      </c>
      <c r="E106" s="56">
        <v>59.99</v>
      </c>
      <c r="F106" s="14">
        <f t="shared" si="10"/>
        <v>44.9925</v>
      </c>
      <c r="G106" s="57">
        <v>0.25</v>
      </c>
    </row>
    <row r="107" ht="15.75" customHeight="1"/>
    <row r="108" ht="15.75" customHeight="1">
      <c r="A108" s="11">
        <v>46374.0</v>
      </c>
      <c r="B108" s="12">
        <v>46027.0</v>
      </c>
      <c r="C108" s="1" t="s">
        <v>410</v>
      </c>
      <c r="D108" s="56" t="s">
        <v>239</v>
      </c>
      <c r="E108" s="56">
        <v>29.99</v>
      </c>
      <c r="F108" s="14">
        <f t="shared" ref="F108:F118" si="11">E108*(1-G108)</f>
        <v>8.997</v>
      </c>
      <c r="G108" s="57">
        <v>0.7</v>
      </c>
    </row>
    <row r="109" ht="15.75" customHeight="1">
      <c r="A109" s="11">
        <v>46374.0</v>
      </c>
      <c r="B109" s="12">
        <v>46027.0</v>
      </c>
      <c r="C109" s="1" t="s">
        <v>410</v>
      </c>
      <c r="D109" s="56" t="s">
        <v>248</v>
      </c>
      <c r="E109" s="58">
        <v>39.99</v>
      </c>
      <c r="F109" s="14">
        <f t="shared" si="11"/>
        <v>9.9975</v>
      </c>
      <c r="G109" s="57">
        <v>0.75</v>
      </c>
    </row>
    <row r="110" ht="15.75" customHeight="1">
      <c r="A110" s="11">
        <v>46374.0</v>
      </c>
      <c r="B110" s="12">
        <v>46027.0</v>
      </c>
      <c r="C110" s="1" t="s">
        <v>410</v>
      </c>
      <c r="D110" s="59" t="s">
        <v>253</v>
      </c>
      <c r="E110" s="58">
        <v>59.99</v>
      </c>
      <c r="F110" s="14">
        <f t="shared" si="11"/>
        <v>17.997</v>
      </c>
      <c r="G110" s="57">
        <v>0.7</v>
      </c>
    </row>
    <row r="111" ht="15.75" customHeight="1">
      <c r="A111" s="11">
        <v>46374.0</v>
      </c>
      <c r="B111" s="12">
        <v>46027.0</v>
      </c>
      <c r="C111" s="1" t="s">
        <v>410</v>
      </c>
      <c r="D111" s="59" t="s">
        <v>257</v>
      </c>
      <c r="E111" s="58">
        <v>69.99</v>
      </c>
      <c r="F111" s="14">
        <f t="shared" si="11"/>
        <v>34.995</v>
      </c>
      <c r="G111" s="57">
        <v>0.5</v>
      </c>
    </row>
    <row r="112" ht="15.75" customHeight="1">
      <c r="A112" s="11">
        <v>46374.0</v>
      </c>
      <c r="B112" s="12">
        <v>46027.0</v>
      </c>
      <c r="C112" s="1" t="s">
        <v>410</v>
      </c>
      <c r="D112" s="67" t="s">
        <v>259</v>
      </c>
      <c r="E112" s="58">
        <v>89.99</v>
      </c>
      <c r="F112" s="14">
        <f t="shared" si="11"/>
        <v>40.4955</v>
      </c>
      <c r="G112" s="57">
        <v>0.55</v>
      </c>
    </row>
    <row r="113" ht="15.75" customHeight="1">
      <c r="A113" s="11">
        <v>46374.0</v>
      </c>
      <c r="B113" s="12">
        <v>46027.0</v>
      </c>
      <c r="C113" s="1" t="s">
        <v>410</v>
      </c>
      <c r="D113" s="58" t="s">
        <v>260</v>
      </c>
      <c r="E113" s="58">
        <v>24.99</v>
      </c>
      <c r="F113" s="14">
        <f t="shared" si="11"/>
        <v>12.495</v>
      </c>
      <c r="G113" s="57">
        <v>0.5</v>
      </c>
    </row>
    <row r="114" ht="15.75" customHeight="1">
      <c r="A114" s="11">
        <v>46374.0</v>
      </c>
      <c r="B114" s="12">
        <v>46027.0</v>
      </c>
      <c r="C114" s="1" t="s">
        <v>410</v>
      </c>
      <c r="D114" s="58" t="s">
        <v>266</v>
      </c>
      <c r="E114" s="58">
        <v>29.99</v>
      </c>
      <c r="F114" s="14">
        <f t="shared" si="11"/>
        <v>14.995</v>
      </c>
      <c r="G114" s="57">
        <v>0.5</v>
      </c>
    </row>
    <row r="115" ht="15.75" customHeight="1">
      <c r="A115" s="11">
        <v>46374.0</v>
      </c>
      <c r="B115" s="12">
        <v>46027.0</v>
      </c>
      <c r="C115" s="1" t="s">
        <v>410</v>
      </c>
      <c r="D115" s="58" t="s">
        <v>271</v>
      </c>
      <c r="E115" s="58">
        <v>34.99</v>
      </c>
      <c r="F115" s="14">
        <f t="shared" si="11"/>
        <v>24.493</v>
      </c>
      <c r="G115" s="57">
        <v>0.3</v>
      </c>
    </row>
    <row r="116" ht="15.75" customHeight="1">
      <c r="A116" s="11">
        <v>46374.0</v>
      </c>
      <c r="B116" s="12">
        <v>46027.0</v>
      </c>
      <c r="C116" s="1" t="s">
        <v>410</v>
      </c>
      <c r="D116" s="58" t="s">
        <v>272</v>
      </c>
      <c r="E116" s="58">
        <v>34.99</v>
      </c>
      <c r="F116" s="14">
        <f t="shared" si="11"/>
        <v>34.99</v>
      </c>
      <c r="G116" s="57">
        <v>0.0</v>
      </c>
    </row>
    <row r="117" ht="15.75" customHeight="1">
      <c r="A117" s="11">
        <v>46374.0</v>
      </c>
      <c r="B117" s="12">
        <v>46027.0</v>
      </c>
      <c r="C117" s="1" t="s">
        <v>410</v>
      </c>
      <c r="D117" s="56" t="s">
        <v>274</v>
      </c>
      <c r="E117" s="58">
        <v>44.99</v>
      </c>
      <c r="F117" s="14">
        <f t="shared" si="11"/>
        <v>22.495</v>
      </c>
      <c r="G117" s="57">
        <v>0.5</v>
      </c>
    </row>
    <row r="118" ht="15.75" customHeight="1">
      <c r="A118" s="11">
        <v>46374.0</v>
      </c>
      <c r="B118" s="12">
        <v>46027.0</v>
      </c>
      <c r="C118" s="1" t="s">
        <v>410</v>
      </c>
      <c r="D118" s="67" t="s">
        <v>277</v>
      </c>
      <c r="E118" s="56">
        <v>59.99</v>
      </c>
      <c r="F118" s="14">
        <f t="shared" si="11"/>
        <v>44.9925</v>
      </c>
      <c r="G118" s="57">
        <v>0.25</v>
      </c>
    </row>
    <row r="119" ht="15.75" customHeight="1"/>
    <row r="120" ht="15.75" customHeight="1"/>
    <row r="121" ht="15.75" customHeight="1">
      <c r="A121" s="39" t="s">
        <v>78</v>
      </c>
    </row>
    <row r="122" ht="15.75" customHeight="1">
      <c r="A122" s="12">
        <v>45660.0</v>
      </c>
      <c r="B122" s="12">
        <v>45670.0</v>
      </c>
      <c r="C122" s="1" t="s">
        <v>450</v>
      </c>
      <c r="D122" s="41" t="s">
        <v>239</v>
      </c>
      <c r="E122" s="14" t="s">
        <v>88</v>
      </c>
      <c r="F122" s="14" t="s">
        <v>280</v>
      </c>
      <c r="G122" s="73">
        <v>0.6</v>
      </c>
    </row>
    <row r="123" ht="15.75" customHeight="1">
      <c r="A123" s="12">
        <v>45660.0</v>
      </c>
      <c r="B123" s="12">
        <v>45670.0</v>
      </c>
      <c r="C123" s="1" t="s">
        <v>450</v>
      </c>
      <c r="D123" s="41" t="s">
        <v>239</v>
      </c>
      <c r="E123" s="14" t="s">
        <v>89</v>
      </c>
      <c r="F123" s="14" t="s">
        <v>527</v>
      </c>
      <c r="G123" s="73">
        <v>0.67</v>
      </c>
    </row>
    <row r="124" ht="15.75" customHeight="1">
      <c r="A124" s="12">
        <v>45671.0</v>
      </c>
      <c r="B124" s="12">
        <v>45684.0</v>
      </c>
      <c r="C124" s="1" t="s">
        <v>98</v>
      </c>
      <c r="D124" s="41" t="s">
        <v>257</v>
      </c>
      <c r="E124" s="14" t="s">
        <v>269</v>
      </c>
      <c r="F124" s="14" t="s">
        <v>528</v>
      </c>
      <c r="G124" s="73">
        <v>0.45</v>
      </c>
    </row>
    <row r="125" ht="15.75" customHeight="1">
      <c r="A125" s="12">
        <v>45671.0</v>
      </c>
      <c r="B125" s="12">
        <v>45684.0</v>
      </c>
      <c r="C125" s="1" t="s">
        <v>98</v>
      </c>
      <c r="D125" s="41" t="s">
        <v>257</v>
      </c>
      <c r="E125" s="14" t="s">
        <v>179</v>
      </c>
      <c r="F125" s="14" t="s">
        <v>237</v>
      </c>
      <c r="G125" s="73">
        <v>0.5</v>
      </c>
    </row>
    <row r="126" ht="15.75" customHeight="1">
      <c r="A126" s="12">
        <v>45671.0</v>
      </c>
      <c r="B126" s="12">
        <v>45684.0</v>
      </c>
      <c r="C126" s="1" t="s">
        <v>98</v>
      </c>
      <c r="D126" s="41" t="s">
        <v>379</v>
      </c>
      <c r="E126" s="14" t="s">
        <v>244</v>
      </c>
      <c r="F126" s="14" t="s">
        <v>380</v>
      </c>
      <c r="G126" s="73">
        <v>0.5</v>
      </c>
    </row>
    <row r="127" ht="15.75" customHeight="1">
      <c r="A127" s="12">
        <v>45671.0</v>
      </c>
      <c r="B127" s="12">
        <v>45684.0</v>
      </c>
      <c r="C127" s="1" t="s">
        <v>98</v>
      </c>
      <c r="D127" s="41" t="s">
        <v>381</v>
      </c>
      <c r="E127" s="14" t="s">
        <v>89</v>
      </c>
      <c r="F127" s="14" t="s">
        <v>281</v>
      </c>
      <c r="G127" s="73">
        <v>0.5</v>
      </c>
    </row>
    <row r="128" ht="15.75" customHeight="1">
      <c r="A128" s="12">
        <v>45671.0</v>
      </c>
      <c r="B128" s="12">
        <v>45684.0</v>
      </c>
      <c r="C128" s="1" t="s">
        <v>98</v>
      </c>
      <c r="D128" s="41" t="s">
        <v>382</v>
      </c>
      <c r="E128" s="14" t="s">
        <v>96</v>
      </c>
      <c r="F128" s="14" t="s">
        <v>115</v>
      </c>
      <c r="G128" s="73">
        <v>0.2</v>
      </c>
    </row>
    <row r="129" ht="15.75" customHeight="1">
      <c r="A129" s="12">
        <v>45681.0</v>
      </c>
      <c r="B129" s="12">
        <v>45694.0</v>
      </c>
      <c r="C129" s="1" t="s">
        <v>190</v>
      </c>
      <c r="D129" s="41" t="s">
        <v>377</v>
      </c>
      <c r="E129" s="14" t="s">
        <v>133</v>
      </c>
      <c r="F129" s="14" t="s">
        <v>378</v>
      </c>
      <c r="G129" s="73">
        <v>0.5</v>
      </c>
    </row>
    <row r="130" ht="15.75" customHeight="1">
      <c r="A130" s="12">
        <v>45692.0</v>
      </c>
      <c r="B130" s="12">
        <v>45698.0</v>
      </c>
      <c r="C130" s="1" t="s">
        <v>92</v>
      </c>
      <c r="D130" s="41" t="s">
        <v>384</v>
      </c>
      <c r="E130" s="14" t="s">
        <v>95</v>
      </c>
      <c r="F130" s="14" t="s">
        <v>378</v>
      </c>
      <c r="G130" s="73">
        <v>0.55</v>
      </c>
    </row>
    <row r="131" ht="15.75" customHeight="1">
      <c r="A131" s="12">
        <v>45692.0</v>
      </c>
      <c r="B131" s="12">
        <v>45698.0</v>
      </c>
      <c r="C131" s="1" t="s">
        <v>92</v>
      </c>
      <c r="D131" s="41" t="s">
        <v>384</v>
      </c>
      <c r="E131" s="14" t="s">
        <v>88</v>
      </c>
      <c r="F131" s="14" t="s">
        <v>315</v>
      </c>
      <c r="G131" s="73">
        <v>0.65</v>
      </c>
    </row>
    <row r="132" ht="15.75" customHeight="1">
      <c r="A132" s="12">
        <v>45699.0</v>
      </c>
      <c r="B132" s="12">
        <v>45705.0</v>
      </c>
      <c r="C132" s="1" t="s">
        <v>92</v>
      </c>
      <c r="D132" s="41" t="s">
        <v>253</v>
      </c>
      <c r="E132" s="14" t="s">
        <v>132</v>
      </c>
      <c r="F132" s="14" t="s">
        <v>512</v>
      </c>
      <c r="G132" s="73">
        <v>0.55</v>
      </c>
    </row>
    <row r="133" ht="15.75" customHeight="1">
      <c r="A133" s="12">
        <v>45699.0</v>
      </c>
      <c r="B133" s="12">
        <v>45705.0</v>
      </c>
      <c r="C133" s="1" t="s">
        <v>92</v>
      </c>
      <c r="D133" s="41" t="s">
        <v>253</v>
      </c>
      <c r="E133" s="14" t="s">
        <v>95</v>
      </c>
      <c r="F133" s="14" t="s">
        <v>304</v>
      </c>
      <c r="G133" s="73">
        <v>0.65</v>
      </c>
    </row>
    <row r="134" ht="15.75" customHeight="1">
      <c r="A134" s="12">
        <v>45706.0</v>
      </c>
      <c r="B134" s="12">
        <v>45712.0</v>
      </c>
      <c r="C134" s="1" t="s">
        <v>92</v>
      </c>
      <c r="D134" s="41" t="s">
        <v>239</v>
      </c>
      <c r="E134" s="14" t="s">
        <v>88</v>
      </c>
      <c r="F134" s="14" t="s">
        <v>315</v>
      </c>
      <c r="G134" s="73">
        <v>0.65</v>
      </c>
    </row>
    <row r="135" ht="15.75" customHeight="1">
      <c r="A135" s="12">
        <v>45706.0</v>
      </c>
      <c r="B135" s="12">
        <v>45712.0</v>
      </c>
      <c r="C135" s="1" t="s">
        <v>92</v>
      </c>
      <c r="D135" s="41" t="s">
        <v>239</v>
      </c>
      <c r="E135" s="14" t="s">
        <v>89</v>
      </c>
      <c r="F135" s="14" t="s">
        <v>527</v>
      </c>
      <c r="G135" s="73">
        <v>0.67</v>
      </c>
    </row>
    <row r="136" ht="15.75" customHeight="1">
      <c r="A136" s="12">
        <v>45713.0</v>
      </c>
      <c r="B136" s="12">
        <v>45719.0</v>
      </c>
      <c r="C136" s="1" t="s">
        <v>92</v>
      </c>
      <c r="D136" s="41" t="s">
        <v>257</v>
      </c>
      <c r="E136" s="14" t="s">
        <v>269</v>
      </c>
      <c r="F136" s="14" t="s">
        <v>528</v>
      </c>
      <c r="G136" s="73">
        <v>0.45</v>
      </c>
    </row>
    <row r="137" ht="15.75" customHeight="1">
      <c r="A137" s="12">
        <v>45713.0</v>
      </c>
      <c r="B137" s="12">
        <v>45719.0</v>
      </c>
      <c r="C137" s="1" t="s">
        <v>92</v>
      </c>
      <c r="D137" s="41" t="s">
        <v>257</v>
      </c>
      <c r="E137" s="14" t="s">
        <v>179</v>
      </c>
      <c r="F137" s="14" t="s">
        <v>464</v>
      </c>
      <c r="G137" s="73">
        <v>0.4</v>
      </c>
    </row>
    <row r="138" ht="15.75" customHeight="1">
      <c r="A138" s="12">
        <v>45713.0</v>
      </c>
      <c r="B138" s="12">
        <v>45719.0</v>
      </c>
      <c r="C138" s="1" t="s">
        <v>92</v>
      </c>
      <c r="D138" s="41" t="s">
        <v>379</v>
      </c>
      <c r="E138" s="14" t="s">
        <v>244</v>
      </c>
      <c r="F138" s="14" t="s">
        <v>380</v>
      </c>
      <c r="G138" s="73">
        <v>0.5</v>
      </c>
    </row>
    <row r="139" ht="15.75" customHeight="1">
      <c r="A139" s="12">
        <v>45713.0</v>
      </c>
      <c r="B139" s="12">
        <v>45719.0</v>
      </c>
      <c r="C139" s="1" t="s">
        <v>92</v>
      </c>
      <c r="D139" s="41" t="s">
        <v>381</v>
      </c>
      <c r="E139" s="14" t="s">
        <v>89</v>
      </c>
      <c r="F139" s="14" t="s">
        <v>281</v>
      </c>
      <c r="G139" s="73">
        <v>0.5</v>
      </c>
    </row>
    <row r="140" ht="15.75" customHeight="1">
      <c r="A140" s="12">
        <v>45713.0</v>
      </c>
      <c r="B140" s="12">
        <v>45719.0</v>
      </c>
      <c r="C140" s="1" t="s">
        <v>92</v>
      </c>
      <c r="D140" s="41" t="s">
        <v>382</v>
      </c>
      <c r="E140" s="14" t="s">
        <v>96</v>
      </c>
      <c r="F140" s="14" t="s">
        <v>115</v>
      </c>
      <c r="G140" s="73">
        <v>0.2</v>
      </c>
    </row>
    <row r="141" ht="15.75" customHeight="1">
      <c r="A141" s="12">
        <v>45727.0</v>
      </c>
      <c r="B141" s="12">
        <v>45733.0</v>
      </c>
      <c r="C141" s="1" t="s">
        <v>92</v>
      </c>
      <c r="D141" s="41" t="s">
        <v>384</v>
      </c>
      <c r="E141" s="14" t="s">
        <v>95</v>
      </c>
      <c r="F141" s="14" t="s">
        <v>378</v>
      </c>
      <c r="G141" s="73">
        <v>0.55</v>
      </c>
    </row>
    <row r="142" ht="15.75" customHeight="1">
      <c r="A142" s="12">
        <v>45727.0</v>
      </c>
      <c r="B142" s="12">
        <v>45733.0</v>
      </c>
      <c r="C142" s="1" t="s">
        <v>92</v>
      </c>
      <c r="D142" s="41" t="s">
        <v>384</v>
      </c>
      <c r="E142" s="14" t="s">
        <v>88</v>
      </c>
      <c r="F142" s="14" t="s">
        <v>315</v>
      </c>
      <c r="G142" s="73">
        <v>0.65</v>
      </c>
    </row>
    <row r="143" ht="15.75" customHeight="1">
      <c r="A143" s="12">
        <v>45727.0</v>
      </c>
      <c r="B143" s="12">
        <v>45733.0</v>
      </c>
      <c r="C143" s="1" t="s">
        <v>92</v>
      </c>
      <c r="D143" s="41" t="s">
        <v>377</v>
      </c>
      <c r="E143" s="14" t="s">
        <v>133</v>
      </c>
      <c r="F143" s="14" t="s">
        <v>378</v>
      </c>
      <c r="G143" s="73">
        <v>0.5</v>
      </c>
    </row>
    <row r="144" ht="15.75" customHeight="1">
      <c r="A144" s="12">
        <v>45734.0</v>
      </c>
      <c r="B144" s="12">
        <v>45740.0</v>
      </c>
      <c r="C144" s="1" t="s">
        <v>92</v>
      </c>
      <c r="D144" s="41" t="s">
        <v>253</v>
      </c>
      <c r="E144" s="14" t="s">
        <v>132</v>
      </c>
      <c r="F144" s="14" t="s">
        <v>512</v>
      </c>
      <c r="G144" s="73">
        <v>0.55</v>
      </c>
    </row>
    <row r="145" ht="15.75" customHeight="1">
      <c r="A145" s="12">
        <v>45734.0</v>
      </c>
      <c r="B145" s="12">
        <v>45740.0</v>
      </c>
      <c r="C145" s="1" t="s">
        <v>92</v>
      </c>
      <c r="D145" s="41" t="s">
        <v>253</v>
      </c>
      <c r="E145" s="14" t="s">
        <v>95</v>
      </c>
      <c r="F145" s="14" t="s">
        <v>304</v>
      </c>
      <c r="G145" s="73">
        <v>0.65</v>
      </c>
    </row>
    <row r="146" ht="15.75" customHeight="1">
      <c r="A146" s="12">
        <v>45741.0</v>
      </c>
      <c r="B146" s="12">
        <v>45747.0</v>
      </c>
      <c r="C146" s="1" t="s">
        <v>92</v>
      </c>
      <c r="D146" s="41" t="s">
        <v>239</v>
      </c>
      <c r="E146" s="14" t="s">
        <v>88</v>
      </c>
      <c r="F146" s="14" t="s">
        <v>315</v>
      </c>
      <c r="G146" s="73">
        <v>0.65</v>
      </c>
    </row>
    <row r="147" ht="15.75" customHeight="1">
      <c r="A147" s="12">
        <v>45741.0</v>
      </c>
      <c r="B147" s="12">
        <v>45747.0</v>
      </c>
      <c r="C147" s="1" t="s">
        <v>92</v>
      </c>
      <c r="D147" s="41" t="s">
        <v>239</v>
      </c>
      <c r="E147" s="14" t="s">
        <v>89</v>
      </c>
      <c r="F147" s="14" t="s">
        <v>527</v>
      </c>
      <c r="G147" s="73">
        <v>0.67</v>
      </c>
    </row>
    <row r="148" ht="15.75" customHeight="1">
      <c r="A148" s="12">
        <v>45764.0</v>
      </c>
      <c r="B148" s="12">
        <v>45777.0</v>
      </c>
      <c r="C148" s="1" t="s">
        <v>122</v>
      </c>
      <c r="D148" s="41" t="s">
        <v>384</v>
      </c>
      <c r="E148" s="14" t="s">
        <v>95</v>
      </c>
      <c r="F148" s="14" t="s">
        <v>378</v>
      </c>
      <c r="G148" s="73">
        <v>0.55</v>
      </c>
    </row>
    <row r="149" ht="15.75" customHeight="1">
      <c r="A149" s="12">
        <v>45764.0</v>
      </c>
      <c r="B149" s="12">
        <v>45777.0</v>
      </c>
      <c r="C149" s="1" t="s">
        <v>122</v>
      </c>
      <c r="D149" s="41" t="s">
        <v>384</v>
      </c>
      <c r="E149" s="14" t="s">
        <v>88</v>
      </c>
      <c r="F149" s="14" t="s">
        <v>315</v>
      </c>
      <c r="G149" s="73">
        <v>0.65</v>
      </c>
    </row>
    <row r="150" ht="15.75" customHeight="1">
      <c r="A150" s="12">
        <v>45769.0</v>
      </c>
      <c r="B150" s="12">
        <v>45775.0</v>
      </c>
      <c r="C150" s="1" t="s">
        <v>92</v>
      </c>
      <c r="D150" s="41" t="s">
        <v>253</v>
      </c>
      <c r="E150" s="14" t="s">
        <v>132</v>
      </c>
      <c r="F150" s="14" t="s">
        <v>512</v>
      </c>
      <c r="G150" s="73">
        <v>0.55</v>
      </c>
    </row>
    <row r="151" ht="15.75" customHeight="1">
      <c r="A151" s="12">
        <v>45769.0</v>
      </c>
      <c r="B151" s="12">
        <v>45775.0</v>
      </c>
      <c r="C151" s="1" t="s">
        <v>92</v>
      </c>
      <c r="D151" s="41" t="s">
        <v>253</v>
      </c>
      <c r="E151" s="14" t="s">
        <v>95</v>
      </c>
      <c r="F151" s="14" t="s">
        <v>304</v>
      </c>
      <c r="G151" s="73">
        <v>0.65</v>
      </c>
    </row>
    <row r="152" ht="15.75" customHeight="1">
      <c r="A152" s="12">
        <v>45769.0</v>
      </c>
      <c r="B152" s="12">
        <v>45775.0</v>
      </c>
      <c r="C152" s="1" t="s">
        <v>191</v>
      </c>
      <c r="D152" s="41" t="s">
        <v>377</v>
      </c>
      <c r="E152" s="14" t="s">
        <v>133</v>
      </c>
      <c r="F152" s="14" t="s">
        <v>378</v>
      </c>
      <c r="G152" s="73">
        <v>0.5</v>
      </c>
    </row>
    <row r="153" ht="15.75" customHeight="1">
      <c r="A153" s="12">
        <v>45776.0</v>
      </c>
      <c r="B153" s="12">
        <v>45782.0</v>
      </c>
      <c r="C153" s="1" t="s">
        <v>92</v>
      </c>
      <c r="D153" s="41" t="s">
        <v>239</v>
      </c>
      <c r="E153" s="14" t="s">
        <v>88</v>
      </c>
      <c r="F153" s="14" t="s">
        <v>315</v>
      </c>
      <c r="G153" s="73">
        <v>0.65</v>
      </c>
    </row>
    <row r="154" ht="15.75" customHeight="1">
      <c r="A154" s="12">
        <v>45776.0</v>
      </c>
      <c r="B154" s="12">
        <v>45782.0</v>
      </c>
      <c r="C154" s="1" t="s">
        <v>92</v>
      </c>
      <c r="D154" s="41" t="s">
        <v>239</v>
      </c>
      <c r="E154" s="14" t="s">
        <v>89</v>
      </c>
      <c r="F154" s="14" t="s">
        <v>527</v>
      </c>
      <c r="G154" s="73">
        <v>0.67</v>
      </c>
    </row>
    <row r="155" ht="15.75" customHeight="1">
      <c r="A155" s="12">
        <v>45778.0</v>
      </c>
      <c r="B155" s="12">
        <v>45789.0</v>
      </c>
      <c r="C155" s="1" t="s">
        <v>213</v>
      </c>
      <c r="D155" s="41" t="s">
        <v>379</v>
      </c>
      <c r="E155" s="14" t="s">
        <v>244</v>
      </c>
      <c r="F155" s="14" t="s">
        <v>380</v>
      </c>
      <c r="G155" s="73">
        <v>0.5</v>
      </c>
    </row>
    <row r="156" ht="15.75" customHeight="1">
      <c r="A156" s="12">
        <v>45778.0</v>
      </c>
      <c r="B156" s="12">
        <v>45789.0</v>
      </c>
      <c r="C156" s="1" t="s">
        <v>213</v>
      </c>
      <c r="D156" s="41" t="s">
        <v>381</v>
      </c>
      <c r="E156" s="14" t="s">
        <v>89</v>
      </c>
      <c r="F156" s="14" t="s">
        <v>281</v>
      </c>
      <c r="G156" s="73">
        <v>0.5</v>
      </c>
    </row>
    <row r="157" ht="15.75" customHeight="1">
      <c r="A157" s="12">
        <v>45778.0</v>
      </c>
      <c r="B157" s="12">
        <v>45789.0</v>
      </c>
      <c r="C157" s="1" t="s">
        <v>213</v>
      </c>
      <c r="D157" s="41" t="s">
        <v>382</v>
      </c>
      <c r="E157" s="14" t="s">
        <v>96</v>
      </c>
      <c r="F157" s="14" t="s">
        <v>115</v>
      </c>
      <c r="G157" s="73">
        <v>0.2</v>
      </c>
    </row>
    <row r="158" ht="15.75" customHeight="1">
      <c r="A158" s="12">
        <v>45804.0</v>
      </c>
      <c r="B158" s="12">
        <v>45810.0</v>
      </c>
      <c r="C158" s="1" t="s">
        <v>496</v>
      </c>
      <c r="D158" s="41" t="s">
        <v>257</v>
      </c>
      <c r="E158" s="14" t="s">
        <v>269</v>
      </c>
      <c r="F158" s="14" t="s">
        <v>528</v>
      </c>
      <c r="G158" s="73">
        <v>0.45</v>
      </c>
    </row>
    <row r="159" ht="15.75" customHeight="1">
      <c r="A159" s="12">
        <v>45804.0</v>
      </c>
      <c r="B159" s="12">
        <v>45810.0</v>
      </c>
      <c r="C159" s="1" t="s">
        <v>496</v>
      </c>
      <c r="D159" s="41" t="s">
        <v>257</v>
      </c>
      <c r="E159" s="14" t="s">
        <v>179</v>
      </c>
      <c r="F159" s="14" t="s">
        <v>464</v>
      </c>
      <c r="G159" s="73">
        <v>0.4</v>
      </c>
    </row>
    <row r="160" ht="15.75" customHeight="1">
      <c r="A160" s="12">
        <v>45811.0</v>
      </c>
      <c r="B160" s="12">
        <v>45817.0</v>
      </c>
      <c r="C160" s="1" t="s">
        <v>463</v>
      </c>
      <c r="D160" s="41" t="s">
        <v>384</v>
      </c>
      <c r="E160" s="14" t="s">
        <v>95</v>
      </c>
      <c r="F160" s="14" t="s">
        <v>378</v>
      </c>
      <c r="G160" s="73">
        <v>0.55</v>
      </c>
    </row>
    <row r="161" ht="15.75" customHeight="1">
      <c r="A161" s="12">
        <v>45811.0</v>
      </c>
      <c r="B161" s="12">
        <v>45817.0</v>
      </c>
      <c r="C161" s="1" t="s">
        <v>463</v>
      </c>
      <c r="D161" s="41" t="s">
        <v>384</v>
      </c>
      <c r="E161" s="14" t="s">
        <v>88</v>
      </c>
      <c r="F161" s="14" t="s">
        <v>315</v>
      </c>
      <c r="G161" s="73">
        <v>0.65</v>
      </c>
    </row>
    <row r="162" ht="15.75" customHeight="1">
      <c r="A162" s="12">
        <v>45811.0</v>
      </c>
      <c r="B162" s="12">
        <v>45817.0</v>
      </c>
      <c r="C162" s="1" t="s">
        <v>191</v>
      </c>
      <c r="D162" s="41" t="s">
        <v>377</v>
      </c>
      <c r="E162" s="14" t="s">
        <v>133</v>
      </c>
      <c r="F162" s="14" t="s">
        <v>378</v>
      </c>
      <c r="G162" s="73">
        <v>0.5</v>
      </c>
    </row>
    <row r="163" ht="15.75" customHeight="1">
      <c r="A163" s="12">
        <v>45818.0</v>
      </c>
      <c r="B163" s="12">
        <v>45831.0</v>
      </c>
      <c r="C163" s="1" t="s">
        <v>125</v>
      </c>
      <c r="D163" s="41" t="s">
        <v>239</v>
      </c>
      <c r="E163" s="14" t="s">
        <v>88</v>
      </c>
      <c r="F163" s="14" t="s">
        <v>315</v>
      </c>
      <c r="G163" s="73">
        <v>0.65</v>
      </c>
    </row>
    <row r="164" ht="15.75" customHeight="1">
      <c r="A164" s="12">
        <v>45818.0</v>
      </c>
      <c r="B164" s="12">
        <v>45831.0</v>
      </c>
      <c r="C164" s="1" t="s">
        <v>125</v>
      </c>
      <c r="D164" s="41" t="s">
        <v>239</v>
      </c>
      <c r="E164" s="14" t="s">
        <v>89</v>
      </c>
      <c r="F164" s="14" t="s">
        <v>527</v>
      </c>
      <c r="G164" s="73">
        <v>0.67</v>
      </c>
    </row>
    <row r="165" ht="15.75" customHeight="1">
      <c r="A165" s="12">
        <v>45832.0</v>
      </c>
      <c r="B165" s="12">
        <v>45838.0</v>
      </c>
      <c r="C165" s="1" t="s">
        <v>126</v>
      </c>
      <c r="D165" s="41" t="s">
        <v>379</v>
      </c>
      <c r="E165" s="14" t="s">
        <v>244</v>
      </c>
      <c r="F165" s="14" t="s">
        <v>380</v>
      </c>
      <c r="G165" s="73">
        <v>0.5</v>
      </c>
    </row>
    <row r="166" ht="15.75" customHeight="1">
      <c r="A166" s="12">
        <v>45832.0</v>
      </c>
      <c r="B166" s="12">
        <v>45838.0</v>
      </c>
      <c r="C166" s="1" t="s">
        <v>126</v>
      </c>
      <c r="D166" s="41" t="s">
        <v>381</v>
      </c>
      <c r="E166" s="14" t="s">
        <v>89</v>
      </c>
      <c r="F166" s="14" t="s">
        <v>281</v>
      </c>
      <c r="G166" s="73">
        <v>0.5</v>
      </c>
    </row>
    <row r="167" ht="15.75" customHeight="1">
      <c r="A167" s="12">
        <v>45832.0</v>
      </c>
      <c r="B167" s="12">
        <v>45838.0</v>
      </c>
      <c r="C167" s="1" t="s">
        <v>126</v>
      </c>
      <c r="D167" s="41" t="s">
        <v>382</v>
      </c>
      <c r="E167" s="14" t="s">
        <v>96</v>
      </c>
      <c r="F167" s="14" t="s">
        <v>115</v>
      </c>
      <c r="G167" s="73">
        <v>0.2</v>
      </c>
    </row>
    <row r="168" ht="15.75" customHeight="1">
      <c r="A168" s="12">
        <v>45832.0</v>
      </c>
      <c r="B168" s="12">
        <v>45838.0</v>
      </c>
      <c r="C168" s="1" t="s">
        <v>92</v>
      </c>
      <c r="D168" s="41" t="s">
        <v>253</v>
      </c>
      <c r="E168" s="14" t="s">
        <v>132</v>
      </c>
      <c r="F168" s="14" t="s">
        <v>512</v>
      </c>
      <c r="G168" s="73">
        <v>0.55</v>
      </c>
    </row>
    <row r="169" ht="15.75" customHeight="1">
      <c r="A169" s="12">
        <v>45832.0</v>
      </c>
      <c r="B169" s="12">
        <v>45838.0</v>
      </c>
      <c r="C169" s="1" t="s">
        <v>92</v>
      </c>
      <c r="D169" s="41" t="s">
        <v>253</v>
      </c>
      <c r="E169" s="14" t="s">
        <v>95</v>
      </c>
      <c r="F169" s="14" t="s">
        <v>304</v>
      </c>
      <c r="G169" s="73">
        <v>0.65</v>
      </c>
    </row>
    <row r="170" ht="15.75" customHeight="1">
      <c r="A170" s="12">
        <v>45839.0</v>
      </c>
      <c r="B170" s="12">
        <v>45845.0</v>
      </c>
      <c r="C170" s="1" t="s">
        <v>92</v>
      </c>
      <c r="D170" s="41" t="s">
        <v>257</v>
      </c>
      <c r="E170" s="14" t="s">
        <v>269</v>
      </c>
      <c r="F170" s="14" t="s">
        <v>184</v>
      </c>
      <c r="G170" s="73">
        <v>0.5</v>
      </c>
    </row>
    <row r="171" ht="15.75" customHeight="1">
      <c r="A171" s="12">
        <v>45839.0</v>
      </c>
      <c r="B171" s="12">
        <v>45845.0</v>
      </c>
      <c r="C171" s="1" t="s">
        <v>92</v>
      </c>
      <c r="D171" s="41" t="s">
        <v>257</v>
      </c>
      <c r="E171" s="14" t="s">
        <v>179</v>
      </c>
      <c r="F171" s="14" t="s">
        <v>237</v>
      </c>
      <c r="G171" s="73">
        <v>0.5</v>
      </c>
    </row>
    <row r="172" ht="15.75" customHeight="1">
      <c r="A172" s="12">
        <v>45846.0</v>
      </c>
      <c r="B172" s="12">
        <v>45854.0</v>
      </c>
      <c r="C172" s="1" t="s">
        <v>86</v>
      </c>
      <c r="D172" s="41" t="s">
        <v>384</v>
      </c>
      <c r="E172" s="14" t="s">
        <v>95</v>
      </c>
      <c r="F172" s="14" t="s">
        <v>137</v>
      </c>
      <c r="G172" s="73">
        <v>0.6</v>
      </c>
    </row>
    <row r="173" ht="15.75" customHeight="1">
      <c r="A173" s="12">
        <v>45846.0</v>
      </c>
      <c r="B173" s="12">
        <v>45854.0</v>
      </c>
      <c r="C173" s="1" t="s">
        <v>86</v>
      </c>
      <c r="D173" s="41" t="s">
        <v>384</v>
      </c>
      <c r="E173" s="14" t="s">
        <v>88</v>
      </c>
      <c r="F173" s="14" t="s">
        <v>315</v>
      </c>
      <c r="G173" s="73">
        <v>0.65</v>
      </c>
    </row>
    <row r="174" ht="15.75" customHeight="1">
      <c r="A174" s="12">
        <v>45854.0</v>
      </c>
      <c r="B174" s="12">
        <v>45869.0</v>
      </c>
      <c r="C174" s="1" t="s">
        <v>465</v>
      </c>
      <c r="D174" s="41" t="s">
        <v>384</v>
      </c>
      <c r="E174" s="14" t="s">
        <v>95</v>
      </c>
      <c r="F174" s="14" t="s">
        <v>137</v>
      </c>
      <c r="G174" s="73">
        <v>0.6</v>
      </c>
    </row>
    <row r="175" ht="15.75" customHeight="1">
      <c r="A175" s="12">
        <v>45854.0</v>
      </c>
      <c r="B175" s="12">
        <v>45869.0</v>
      </c>
      <c r="C175" s="1" t="s">
        <v>465</v>
      </c>
      <c r="D175" s="41" t="s">
        <v>384</v>
      </c>
      <c r="E175" s="14" t="s">
        <v>88</v>
      </c>
      <c r="F175" s="14" t="s">
        <v>315</v>
      </c>
      <c r="G175" s="73">
        <v>0.65</v>
      </c>
    </row>
    <row r="176" ht="15.75" customHeight="1">
      <c r="A176" s="12">
        <v>45860.0</v>
      </c>
      <c r="B176" s="12">
        <v>45866.0</v>
      </c>
      <c r="C176" s="1" t="s">
        <v>191</v>
      </c>
      <c r="D176" s="41" t="s">
        <v>377</v>
      </c>
      <c r="E176" s="14" t="s">
        <v>133</v>
      </c>
      <c r="F176" s="14" t="s">
        <v>378</v>
      </c>
      <c r="G176" s="73">
        <v>0.5</v>
      </c>
    </row>
    <row r="177" ht="15.75" customHeight="1">
      <c r="A177" s="12">
        <v>45867.0</v>
      </c>
      <c r="B177" s="12">
        <v>45873.0</v>
      </c>
      <c r="C177" s="1" t="s">
        <v>92</v>
      </c>
      <c r="D177" s="41" t="s">
        <v>239</v>
      </c>
      <c r="E177" s="14" t="s">
        <v>88</v>
      </c>
      <c r="F177" s="14" t="s">
        <v>315</v>
      </c>
      <c r="G177" s="73">
        <v>0.65</v>
      </c>
    </row>
    <row r="178" ht="15.75" customHeight="1">
      <c r="A178" s="12">
        <v>45867.0</v>
      </c>
      <c r="B178" s="12">
        <v>45873.0</v>
      </c>
      <c r="C178" s="1" t="s">
        <v>92</v>
      </c>
      <c r="D178" s="41" t="s">
        <v>239</v>
      </c>
      <c r="E178" s="14" t="s">
        <v>89</v>
      </c>
      <c r="F178" s="14" t="s">
        <v>527</v>
      </c>
      <c r="G178" s="73">
        <v>0.67</v>
      </c>
    </row>
    <row r="179" ht="15.75" customHeight="1">
      <c r="A179" s="12">
        <v>45870.0</v>
      </c>
      <c r="B179" s="12">
        <v>45880.0</v>
      </c>
      <c r="C179" s="1" t="s">
        <v>135</v>
      </c>
      <c r="D179" s="41" t="s">
        <v>379</v>
      </c>
      <c r="E179" s="14" t="s">
        <v>244</v>
      </c>
      <c r="F179" s="14" t="s">
        <v>380</v>
      </c>
      <c r="G179" s="73">
        <v>0.5</v>
      </c>
    </row>
    <row r="180" ht="15.75" customHeight="1">
      <c r="A180" s="12">
        <v>45870.0</v>
      </c>
      <c r="B180" s="12">
        <v>45880.0</v>
      </c>
      <c r="C180" s="1" t="s">
        <v>135</v>
      </c>
      <c r="D180" s="41" t="s">
        <v>381</v>
      </c>
      <c r="E180" s="14" t="s">
        <v>89</v>
      </c>
      <c r="F180" s="14" t="s">
        <v>281</v>
      </c>
      <c r="G180" s="73">
        <v>0.5</v>
      </c>
    </row>
    <row r="181" ht="15.75" customHeight="1">
      <c r="A181" s="12">
        <v>45870.0</v>
      </c>
      <c r="B181" s="12">
        <v>45880.0</v>
      </c>
      <c r="C181" s="1" t="s">
        <v>135</v>
      </c>
      <c r="D181" s="41" t="s">
        <v>382</v>
      </c>
      <c r="E181" s="14" t="s">
        <v>96</v>
      </c>
      <c r="F181" s="14" t="s">
        <v>115</v>
      </c>
      <c r="G181" s="73">
        <v>0.2</v>
      </c>
    </row>
    <row r="182" ht="15.75" customHeight="1">
      <c r="A182" s="12">
        <v>45874.0</v>
      </c>
      <c r="B182" s="12">
        <v>45880.0</v>
      </c>
      <c r="C182" s="1" t="s">
        <v>92</v>
      </c>
      <c r="D182" s="41" t="s">
        <v>253</v>
      </c>
      <c r="E182" s="14" t="s">
        <v>132</v>
      </c>
      <c r="F182" s="14" t="s">
        <v>355</v>
      </c>
      <c r="G182" s="73">
        <v>0.6</v>
      </c>
    </row>
    <row r="183" ht="15.75" customHeight="1">
      <c r="A183" s="12">
        <v>45874.0</v>
      </c>
      <c r="B183" s="12">
        <v>45880.0</v>
      </c>
      <c r="C183" s="1" t="s">
        <v>92</v>
      </c>
      <c r="D183" s="41" t="s">
        <v>253</v>
      </c>
      <c r="E183" s="14" t="s">
        <v>95</v>
      </c>
      <c r="F183" s="14" t="s">
        <v>281</v>
      </c>
      <c r="G183" s="73">
        <v>0.7</v>
      </c>
    </row>
    <row r="184" ht="15.75" customHeight="1">
      <c r="A184" s="12">
        <v>45881.0</v>
      </c>
      <c r="B184" s="12">
        <v>45887.0</v>
      </c>
      <c r="C184" s="1" t="s">
        <v>92</v>
      </c>
      <c r="D184" s="41" t="s">
        <v>257</v>
      </c>
      <c r="E184" s="14" t="s">
        <v>269</v>
      </c>
      <c r="F184" s="14" t="s">
        <v>184</v>
      </c>
      <c r="G184" s="73">
        <v>0.5</v>
      </c>
    </row>
    <row r="185" ht="15.75" customHeight="1">
      <c r="A185" s="12">
        <v>45881.0</v>
      </c>
      <c r="B185" s="12">
        <v>45887.0</v>
      </c>
      <c r="C185" s="1" t="s">
        <v>92</v>
      </c>
      <c r="D185" s="41" t="s">
        <v>257</v>
      </c>
      <c r="E185" s="14" t="s">
        <v>179</v>
      </c>
      <c r="F185" s="14" t="s">
        <v>237</v>
      </c>
      <c r="G185" s="73">
        <v>0.5</v>
      </c>
    </row>
    <row r="186" ht="15.75" customHeight="1">
      <c r="A186" s="12">
        <v>45902.0</v>
      </c>
      <c r="B186" s="12">
        <v>45908.0</v>
      </c>
      <c r="C186" s="1" t="s">
        <v>496</v>
      </c>
      <c r="D186" s="41" t="s">
        <v>377</v>
      </c>
      <c r="E186" s="14" t="s">
        <v>133</v>
      </c>
      <c r="F186" s="14" t="s">
        <v>378</v>
      </c>
      <c r="G186" s="73">
        <v>0.5</v>
      </c>
    </row>
    <row r="187" ht="15.75" customHeight="1">
      <c r="A187" s="12">
        <v>45902.0</v>
      </c>
      <c r="B187" s="12">
        <v>45908.0</v>
      </c>
      <c r="C187" s="1" t="s">
        <v>496</v>
      </c>
      <c r="D187" s="41" t="s">
        <v>377</v>
      </c>
      <c r="E187" s="14" t="s">
        <v>133</v>
      </c>
      <c r="F187" s="14" t="s">
        <v>378</v>
      </c>
      <c r="G187" s="73">
        <v>0.5</v>
      </c>
    </row>
    <row r="188" ht="15.75" customHeight="1">
      <c r="A188" s="12">
        <v>45902.0</v>
      </c>
      <c r="B188" s="12">
        <v>45908.0</v>
      </c>
      <c r="C188" s="1" t="s">
        <v>92</v>
      </c>
      <c r="D188" s="41" t="s">
        <v>384</v>
      </c>
      <c r="E188" s="14" t="s">
        <v>95</v>
      </c>
      <c r="F188" s="14" t="s">
        <v>137</v>
      </c>
      <c r="G188" s="73">
        <v>0.6</v>
      </c>
    </row>
    <row r="189" ht="15.75" customHeight="1">
      <c r="A189" s="12">
        <v>45902.0</v>
      </c>
      <c r="B189" s="12">
        <v>45908.0</v>
      </c>
      <c r="C189" s="1" t="s">
        <v>92</v>
      </c>
      <c r="D189" s="41" t="s">
        <v>384</v>
      </c>
      <c r="E189" s="14" t="s">
        <v>88</v>
      </c>
      <c r="F189" s="14" t="s">
        <v>315</v>
      </c>
      <c r="G189" s="73">
        <v>0.65</v>
      </c>
    </row>
    <row r="190" ht="15.75" customHeight="1">
      <c r="A190" s="12">
        <v>45909.0</v>
      </c>
      <c r="B190" s="12">
        <v>45915.0</v>
      </c>
      <c r="C190" s="1" t="s">
        <v>92</v>
      </c>
      <c r="D190" s="41" t="s">
        <v>239</v>
      </c>
      <c r="E190" s="14" t="s">
        <v>88</v>
      </c>
      <c r="F190" s="14" t="s">
        <v>315</v>
      </c>
      <c r="G190" s="73">
        <v>0.65</v>
      </c>
    </row>
    <row r="191" ht="15.75" customHeight="1">
      <c r="A191" s="12">
        <v>45909.0</v>
      </c>
      <c r="B191" s="12">
        <v>45915.0</v>
      </c>
      <c r="C191" s="1" t="s">
        <v>92</v>
      </c>
      <c r="D191" s="41" t="s">
        <v>239</v>
      </c>
      <c r="E191" s="14" t="s">
        <v>89</v>
      </c>
      <c r="F191" s="14" t="s">
        <v>527</v>
      </c>
      <c r="G191" s="73">
        <v>0.67</v>
      </c>
    </row>
    <row r="192" ht="15.75" customHeight="1">
      <c r="A192" s="12">
        <v>45909.0</v>
      </c>
      <c r="B192" s="12">
        <v>45916.0</v>
      </c>
      <c r="C192" s="1" t="s">
        <v>530</v>
      </c>
      <c r="D192" s="41" t="s">
        <v>379</v>
      </c>
      <c r="E192" s="14" t="s">
        <v>244</v>
      </c>
      <c r="F192" s="14" t="s">
        <v>380</v>
      </c>
      <c r="G192" s="73">
        <v>0.5</v>
      </c>
    </row>
    <row r="193" ht="15.75" customHeight="1">
      <c r="A193" s="12">
        <v>45909.0</v>
      </c>
      <c r="B193" s="12">
        <v>45916.0</v>
      </c>
      <c r="C193" s="1" t="s">
        <v>530</v>
      </c>
      <c r="D193" s="41" t="s">
        <v>381</v>
      </c>
      <c r="E193" s="14" t="s">
        <v>89</v>
      </c>
      <c r="F193" s="14" t="s">
        <v>281</v>
      </c>
      <c r="G193" s="73">
        <v>0.5</v>
      </c>
    </row>
    <row r="194" ht="15.75" customHeight="1">
      <c r="A194" s="12">
        <v>45916.0</v>
      </c>
      <c r="B194" s="12">
        <v>45922.0</v>
      </c>
      <c r="C194" s="1" t="s">
        <v>191</v>
      </c>
      <c r="D194" s="41" t="s">
        <v>382</v>
      </c>
      <c r="E194" s="14" t="s">
        <v>96</v>
      </c>
      <c r="F194" s="14" t="s">
        <v>115</v>
      </c>
      <c r="G194" s="73">
        <v>0.2</v>
      </c>
    </row>
    <row r="195" ht="15.75" customHeight="1">
      <c r="A195" s="12">
        <v>45923.0</v>
      </c>
      <c r="B195" s="12">
        <v>45929.0</v>
      </c>
      <c r="C195" s="1" t="s">
        <v>92</v>
      </c>
      <c r="D195" s="41" t="s">
        <v>253</v>
      </c>
      <c r="E195" s="14" t="s">
        <v>132</v>
      </c>
      <c r="F195" s="14" t="s">
        <v>355</v>
      </c>
      <c r="G195" s="73">
        <v>0.6</v>
      </c>
    </row>
    <row r="196" ht="15.75" customHeight="1">
      <c r="A196" s="12">
        <v>45923.0</v>
      </c>
      <c r="B196" s="12">
        <v>45929.0</v>
      </c>
      <c r="C196" s="1" t="s">
        <v>92</v>
      </c>
      <c r="D196" s="41" t="s">
        <v>253</v>
      </c>
      <c r="E196" s="14" t="s">
        <v>95</v>
      </c>
      <c r="F196" s="14" t="s">
        <v>281</v>
      </c>
      <c r="G196" s="73">
        <v>0.7</v>
      </c>
    </row>
    <row r="197" ht="15.75" customHeight="1">
      <c r="A197" s="12">
        <v>45930.0</v>
      </c>
      <c r="B197" s="12">
        <v>45936.0</v>
      </c>
      <c r="C197" s="1" t="s">
        <v>92</v>
      </c>
      <c r="D197" s="41" t="s">
        <v>257</v>
      </c>
      <c r="E197" s="14" t="s">
        <v>269</v>
      </c>
      <c r="F197" s="14" t="s">
        <v>184</v>
      </c>
      <c r="G197" s="73">
        <v>0.5</v>
      </c>
    </row>
    <row r="198" ht="15.75" customHeight="1">
      <c r="A198" s="12">
        <v>45930.0</v>
      </c>
      <c r="B198" s="12">
        <v>45936.0</v>
      </c>
      <c r="C198" s="1" t="s">
        <v>92</v>
      </c>
      <c r="D198" s="41" t="s">
        <v>257</v>
      </c>
      <c r="E198" s="14" t="s">
        <v>179</v>
      </c>
      <c r="F198" s="14" t="s">
        <v>237</v>
      </c>
      <c r="G198" s="73">
        <v>0.5</v>
      </c>
    </row>
    <row r="199" ht="15.75" customHeight="1">
      <c r="A199" s="12">
        <v>46302.0</v>
      </c>
      <c r="B199" s="12">
        <v>46315.0</v>
      </c>
      <c r="C199" s="1" t="s">
        <v>413</v>
      </c>
      <c r="D199" s="41" t="s">
        <v>384</v>
      </c>
      <c r="E199" s="14" t="s">
        <v>95</v>
      </c>
      <c r="F199" s="33" t="s">
        <v>137</v>
      </c>
      <c r="G199" s="73">
        <v>0.6</v>
      </c>
    </row>
    <row r="200" ht="15.75" customHeight="1">
      <c r="A200" s="12">
        <v>46302.0</v>
      </c>
      <c r="B200" s="12">
        <v>46315.0</v>
      </c>
      <c r="C200" s="1" t="s">
        <v>413</v>
      </c>
      <c r="D200" s="41" t="s">
        <v>384</v>
      </c>
      <c r="E200" s="14" t="s">
        <v>88</v>
      </c>
      <c r="F200" s="33" t="s">
        <v>315</v>
      </c>
      <c r="G200" s="73">
        <v>0.65</v>
      </c>
    </row>
    <row r="201" ht="15.75" customHeight="1">
      <c r="A201" s="12">
        <v>46323.0</v>
      </c>
      <c r="B201" s="12">
        <v>46329.0</v>
      </c>
      <c r="C201" s="1" t="s">
        <v>191</v>
      </c>
      <c r="D201" s="41" t="s">
        <v>377</v>
      </c>
      <c r="E201" s="14" t="s">
        <v>133</v>
      </c>
      <c r="F201" s="33" t="s">
        <v>378</v>
      </c>
      <c r="G201" s="73">
        <v>0.5</v>
      </c>
    </row>
    <row r="202" ht="15.75" customHeight="1">
      <c r="A202" s="12">
        <v>46323.0</v>
      </c>
      <c r="B202" s="12">
        <v>46329.0</v>
      </c>
      <c r="C202" s="1" t="s">
        <v>191</v>
      </c>
      <c r="D202" s="41" t="s">
        <v>379</v>
      </c>
      <c r="E202" s="14" t="s">
        <v>244</v>
      </c>
      <c r="F202" s="33" t="s">
        <v>380</v>
      </c>
      <c r="G202" s="73">
        <v>0.5</v>
      </c>
    </row>
    <row r="203" ht="15.75" customHeight="1">
      <c r="A203" s="12">
        <v>46323.0</v>
      </c>
      <c r="B203" s="12">
        <v>46329.0</v>
      </c>
      <c r="C203" s="1" t="s">
        <v>191</v>
      </c>
      <c r="D203" s="41" t="s">
        <v>381</v>
      </c>
      <c r="E203" s="14" t="s">
        <v>89</v>
      </c>
      <c r="F203" s="33" t="s">
        <v>281</v>
      </c>
      <c r="G203" s="73">
        <v>0.5</v>
      </c>
    </row>
    <row r="204" ht="15.75" customHeight="1">
      <c r="A204" s="12">
        <v>46323.0</v>
      </c>
      <c r="B204" s="12">
        <v>46329.0</v>
      </c>
      <c r="C204" s="1" t="s">
        <v>191</v>
      </c>
      <c r="D204" s="41" t="s">
        <v>382</v>
      </c>
      <c r="E204" s="14" t="s">
        <v>96</v>
      </c>
      <c r="F204" s="33" t="s">
        <v>383</v>
      </c>
      <c r="G204" s="73">
        <v>0.3</v>
      </c>
    </row>
    <row r="205" ht="15.75" customHeight="1">
      <c r="A205" s="12">
        <v>46344.0</v>
      </c>
      <c r="B205" s="12">
        <v>46350.0</v>
      </c>
      <c r="C205" s="1" t="s">
        <v>191</v>
      </c>
      <c r="D205" s="41" t="s">
        <v>532</v>
      </c>
      <c r="E205" s="14" t="s">
        <v>169</v>
      </c>
      <c r="F205" s="33" t="s">
        <v>218</v>
      </c>
      <c r="G205" s="73">
        <v>0.25</v>
      </c>
    </row>
    <row r="206" ht="15.75" customHeight="1">
      <c r="A206" s="12">
        <v>46344.0</v>
      </c>
      <c r="B206" s="12">
        <v>46350.0</v>
      </c>
      <c r="C206" s="1" t="s">
        <v>191</v>
      </c>
      <c r="D206" s="41" t="s">
        <v>533</v>
      </c>
      <c r="E206" s="14" t="s">
        <v>169</v>
      </c>
      <c r="F206" s="33" t="s">
        <v>218</v>
      </c>
      <c r="G206" s="73">
        <v>0.25</v>
      </c>
    </row>
    <row r="207" ht="15.75" customHeight="1">
      <c r="A207" s="12">
        <v>46344.0</v>
      </c>
      <c r="B207" s="12">
        <v>46350.0</v>
      </c>
      <c r="C207" s="1" t="s">
        <v>191</v>
      </c>
      <c r="D207" s="41" t="s">
        <v>534</v>
      </c>
      <c r="E207" s="14" t="s">
        <v>169</v>
      </c>
      <c r="F207" s="33" t="s">
        <v>218</v>
      </c>
      <c r="G207" s="73">
        <v>0.25</v>
      </c>
    </row>
    <row r="208" ht="15.75" customHeight="1">
      <c r="A208" s="12">
        <v>46344.0</v>
      </c>
      <c r="B208" s="12">
        <v>46350.0</v>
      </c>
      <c r="C208" s="1" t="s">
        <v>191</v>
      </c>
      <c r="D208" s="41" t="s">
        <v>535</v>
      </c>
      <c r="E208" s="14" t="s">
        <v>169</v>
      </c>
      <c r="F208" s="33" t="s">
        <v>218</v>
      </c>
      <c r="G208" s="73">
        <v>0.25</v>
      </c>
    </row>
    <row r="209" ht="15.75" customHeight="1">
      <c r="A209" s="12">
        <v>46344.0</v>
      </c>
      <c r="B209" s="12">
        <v>46350.0</v>
      </c>
      <c r="C209" s="1" t="s">
        <v>191</v>
      </c>
      <c r="D209" s="41" t="s">
        <v>536</v>
      </c>
      <c r="E209" s="14" t="s">
        <v>169</v>
      </c>
      <c r="F209" s="33" t="s">
        <v>218</v>
      </c>
      <c r="G209" s="73">
        <v>0.25</v>
      </c>
    </row>
    <row r="210" ht="15.75" customHeight="1">
      <c r="A210" s="12">
        <v>46344.0</v>
      </c>
      <c r="B210" s="12">
        <v>46350.0</v>
      </c>
      <c r="C210" s="1" t="s">
        <v>191</v>
      </c>
      <c r="D210" s="41" t="s">
        <v>537</v>
      </c>
      <c r="E210" s="14" t="s">
        <v>169</v>
      </c>
      <c r="F210" s="33" t="s">
        <v>218</v>
      </c>
      <c r="G210" s="73">
        <v>0.25</v>
      </c>
    </row>
    <row r="211" ht="15.75" customHeight="1">
      <c r="A211" s="12">
        <v>46344.0</v>
      </c>
      <c r="B211" s="12">
        <v>46350.0</v>
      </c>
      <c r="C211" s="1" t="s">
        <v>191</v>
      </c>
      <c r="D211" s="41" t="s">
        <v>538</v>
      </c>
      <c r="E211" s="14" t="s">
        <v>169</v>
      </c>
      <c r="F211" s="33" t="s">
        <v>218</v>
      </c>
      <c r="G211" s="73">
        <v>0.25</v>
      </c>
    </row>
    <row r="212" ht="15.75" customHeight="1">
      <c r="A212" s="12">
        <v>46344.0</v>
      </c>
      <c r="B212" s="12">
        <v>46350.0</v>
      </c>
      <c r="C212" s="1" t="s">
        <v>191</v>
      </c>
      <c r="D212" s="41" t="s">
        <v>539</v>
      </c>
      <c r="E212" s="14" t="s">
        <v>169</v>
      </c>
      <c r="F212" s="33" t="s">
        <v>218</v>
      </c>
      <c r="G212" s="73">
        <v>0.25</v>
      </c>
    </row>
    <row r="213" ht="15.75" customHeight="1">
      <c r="A213" s="12">
        <v>46344.0</v>
      </c>
      <c r="B213" s="12">
        <v>46350.0</v>
      </c>
      <c r="C213" s="1" t="s">
        <v>191</v>
      </c>
      <c r="D213" s="41" t="s">
        <v>540</v>
      </c>
      <c r="E213" s="14" t="s">
        <v>169</v>
      </c>
      <c r="F213" s="33" t="s">
        <v>218</v>
      </c>
      <c r="G213" s="73">
        <v>0.25</v>
      </c>
    </row>
    <row r="214" ht="15.75" customHeight="1">
      <c r="A214" s="12">
        <v>46344.0</v>
      </c>
      <c r="B214" s="12">
        <v>46350.0</v>
      </c>
      <c r="C214" s="1" t="s">
        <v>191</v>
      </c>
      <c r="D214" s="41" t="s">
        <v>541</v>
      </c>
      <c r="E214" s="14" t="s">
        <v>169</v>
      </c>
      <c r="F214" s="33" t="s">
        <v>218</v>
      </c>
      <c r="G214" s="73">
        <v>0.25</v>
      </c>
    </row>
    <row r="215" ht="15.75" customHeight="1">
      <c r="A215" s="12">
        <v>46346.0</v>
      </c>
      <c r="B215" s="12">
        <v>46359.0</v>
      </c>
      <c r="C215" s="1" t="s">
        <v>103</v>
      </c>
      <c r="D215" s="41" t="s">
        <v>239</v>
      </c>
      <c r="E215" s="14" t="s">
        <v>88</v>
      </c>
      <c r="F215" s="33" t="s">
        <v>315</v>
      </c>
      <c r="G215" s="73">
        <v>0.65</v>
      </c>
    </row>
    <row r="216" ht="15.75" customHeight="1">
      <c r="A216" s="12">
        <v>46346.0</v>
      </c>
      <c r="B216" s="12">
        <v>46359.0</v>
      </c>
      <c r="C216" s="1" t="s">
        <v>103</v>
      </c>
      <c r="D216" s="41" t="s">
        <v>239</v>
      </c>
      <c r="E216" s="14" t="s">
        <v>89</v>
      </c>
      <c r="F216" s="33" t="s">
        <v>527</v>
      </c>
      <c r="G216" s="73">
        <v>0.67</v>
      </c>
    </row>
    <row r="217" ht="15.75" customHeight="1">
      <c r="A217" s="12">
        <v>46360.0</v>
      </c>
      <c r="B217" s="12">
        <v>46373.0</v>
      </c>
      <c r="C217" s="1" t="s">
        <v>138</v>
      </c>
      <c r="D217" s="41" t="s">
        <v>377</v>
      </c>
      <c r="E217" s="14" t="s">
        <v>133</v>
      </c>
      <c r="F217" s="33" t="s">
        <v>378</v>
      </c>
      <c r="G217" s="73">
        <v>0.5</v>
      </c>
    </row>
    <row r="218" ht="15.75" customHeight="1">
      <c r="A218" s="12">
        <v>46360.0</v>
      </c>
      <c r="B218" s="12">
        <v>46373.0</v>
      </c>
      <c r="C218" s="1" t="s">
        <v>138</v>
      </c>
      <c r="D218" s="41" t="s">
        <v>379</v>
      </c>
      <c r="E218" s="14" t="s">
        <v>244</v>
      </c>
      <c r="F218" s="33" t="s">
        <v>380</v>
      </c>
      <c r="G218" s="73">
        <v>0.5</v>
      </c>
    </row>
    <row r="219" ht="15.75" customHeight="1">
      <c r="A219" s="12">
        <v>46360.0</v>
      </c>
      <c r="B219" s="12">
        <v>46373.0</v>
      </c>
      <c r="C219" s="1" t="s">
        <v>138</v>
      </c>
      <c r="D219" s="41" t="s">
        <v>381</v>
      </c>
      <c r="E219" s="14" t="s">
        <v>89</v>
      </c>
      <c r="F219" s="33" t="s">
        <v>281</v>
      </c>
      <c r="G219" s="73">
        <v>0.5</v>
      </c>
    </row>
    <row r="220" ht="15.75" customHeight="1">
      <c r="A220" s="12">
        <v>46360.0</v>
      </c>
      <c r="B220" s="12">
        <v>46373.0</v>
      </c>
      <c r="C220" s="1" t="s">
        <v>138</v>
      </c>
      <c r="D220" s="41" t="s">
        <v>382</v>
      </c>
      <c r="E220" s="14" t="s">
        <v>96</v>
      </c>
      <c r="F220" s="33" t="s">
        <v>383</v>
      </c>
      <c r="G220" s="73">
        <v>0.3</v>
      </c>
    </row>
    <row r="221" ht="15.75" customHeight="1">
      <c r="A221" s="12">
        <v>46360.0</v>
      </c>
      <c r="B221" s="12">
        <v>46373.0</v>
      </c>
      <c r="C221" s="1" t="s">
        <v>417</v>
      </c>
      <c r="D221" s="41" t="s">
        <v>384</v>
      </c>
      <c r="E221" s="14" t="s">
        <v>95</v>
      </c>
      <c r="F221" s="33" t="s">
        <v>281</v>
      </c>
      <c r="G221" s="73">
        <v>0.7</v>
      </c>
    </row>
    <row r="222" ht="15.75" customHeight="1">
      <c r="A222" s="12">
        <v>46360.0</v>
      </c>
      <c r="B222" s="12">
        <v>46373.0</v>
      </c>
      <c r="C222" s="1" t="s">
        <v>417</v>
      </c>
      <c r="D222" s="41" t="s">
        <v>384</v>
      </c>
      <c r="E222" s="14" t="s">
        <v>88</v>
      </c>
      <c r="F222" s="33" t="s">
        <v>315</v>
      </c>
      <c r="G222" s="73">
        <v>0.65</v>
      </c>
    </row>
    <row r="223" ht="15.75" customHeight="1">
      <c r="A223" s="12">
        <v>46374.0</v>
      </c>
      <c r="B223" s="12">
        <v>46029.0</v>
      </c>
      <c r="C223" s="1" t="s">
        <v>106</v>
      </c>
      <c r="D223" s="41" t="s">
        <v>239</v>
      </c>
      <c r="E223" s="14" t="s">
        <v>88</v>
      </c>
      <c r="F223" s="33" t="s">
        <v>240</v>
      </c>
      <c r="G223" s="73">
        <v>0.7</v>
      </c>
    </row>
    <row r="224" ht="15.75" customHeight="1">
      <c r="A224" s="12">
        <v>46374.0</v>
      </c>
      <c r="B224" s="12">
        <v>46029.0</v>
      </c>
      <c r="C224" s="1" t="s">
        <v>106</v>
      </c>
      <c r="D224" s="41" t="s">
        <v>239</v>
      </c>
      <c r="E224" s="14" t="s">
        <v>89</v>
      </c>
      <c r="F224" s="33" t="s">
        <v>386</v>
      </c>
      <c r="G224" s="73">
        <v>0.7</v>
      </c>
    </row>
    <row r="225" ht="15.75" customHeight="1"/>
    <row r="226" ht="15.75" customHeight="1">
      <c r="A226" s="42" t="s">
        <v>107</v>
      </c>
    </row>
    <row r="227" ht="15.75" customHeight="1">
      <c r="A227" s="12">
        <v>45686.0</v>
      </c>
      <c r="B227" s="12">
        <v>45700.0</v>
      </c>
      <c r="C227" s="1" t="s">
        <v>476</v>
      </c>
      <c r="D227" s="1" t="s">
        <v>0</v>
      </c>
      <c r="E227" s="3">
        <v>39.99</v>
      </c>
      <c r="F227" s="10">
        <f t="shared" ref="F227:F315" si="12">IFERROR(E227*(1-G227),"-")</f>
        <v>15.996</v>
      </c>
      <c r="G227" s="31">
        <v>0.6</v>
      </c>
    </row>
    <row r="228" ht="15.75" customHeight="1">
      <c r="A228" s="12"/>
      <c r="B228" s="12"/>
      <c r="C228" s="1"/>
      <c r="D228" s="1" t="s">
        <v>1</v>
      </c>
      <c r="E228" s="3">
        <v>69.99</v>
      </c>
      <c r="F228" s="10">
        <f t="shared" si="12"/>
        <v>27.996</v>
      </c>
      <c r="G228" s="31">
        <v>0.6</v>
      </c>
    </row>
    <row r="229" ht="15.75" customHeight="1">
      <c r="A229" s="12"/>
      <c r="B229" s="12"/>
      <c r="C229" s="1"/>
      <c r="D229" s="1" t="s">
        <v>3</v>
      </c>
      <c r="E229" s="3" t="s">
        <v>4</v>
      </c>
      <c r="F229" s="10" t="str">
        <f t="shared" si="12"/>
        <v>-</v>
      </c>
      <c r="G229" s="31">
        <v>0.3</v>
      </c>
    </row>
    <row r="230" ht="15.75" customHeight="1">
      <c r="A230" s="43">
        <v>45700.0</v>
      </c>
      <c r="B230" s="43">
        <v>45714.0</v>
      </c>
      <c r="C230" s="44" t="s">
        <v>424</v>
      </c>
      <c r="D230" s="6" t="s">
        <v>5</v>
      </c>
      <c r="E230" s="8">
        <v>49.99</v>
      </c>
      <c r="F230" s="10">
        <f t="shared" si="12"/>
        <v>19.996</v>
      </c>
      <c r="G230" s="46">
        <v>0.6</v>
      </c>
    </row>
    <row r="231" ht="15.75" customHeight="1">
      <c r="A231" s="43"/>
      <c r="B231" s="43"/>
      <c r="C231" s="44"/>
      <c r="D231" s="6" t="s">
        <v>12</v>
      </c>
      <c r="E231" s="8">
        <v>79.99</v>
      </c>
      <c r="F231" s="10">
        <f t="shared" si="12"/>
        <v>39.995</v>
      </c>
      <c r="G231" s="46">
        <v>0.5</v>
      </c>
    </row>
    <row r="232" ht="15.75" customHeight="1">
      <c r="A232" s="43"/>
      <c r="B232" s="43"/>
      <c r="C232" s="44"/>
      <c r="D232" s="6" t="s">
        <v>13</v>
      </c>
      <c r="E232" s="8">
        <v>44.99</v>
      </c>
      <c r="F232" s="10">
        <f t="shared" si="12"/>
        <v>31.493</v>
      </c>
      <c r="G232" s="46">
        <v>0.3</v>
      </c>
    </row>
    <row r="233" ht="15.75" customHeight="1">
      <c r="A233" s="43"/>
      <c r="B233" s="43"/>
      <c r="C233" s="44"/>
      <c r="D233" s="6" t="s">
        <v>15</v>
      </c>
      <c r="E233" s="8">
        <v>59.99</v>
      </c>
      <c r="F233" s="10">
        <f t="shared" si="12"/>
        <v>47.992</v>
      </c>
      <c r="G233" s="46">
        <v>0.2</v>
      </c>
    </row>
    <row r="234" ht="15.75" customHeight="1">
      <c r="A234" s="43"/>
      <c r="B234" s="43"/>
      <c r="C234" s="44"/>
      <c r="D234" s="6" t="s">
        <v>16</v>
      </c>
      <c r="E234" s="8">
        <v>34.99</v>
      </c>
      <c r="F234" s="10">
        <f t="shared" si="12"/>
        <v>27.992</v>
      </c>
      <c r="G234" s="46">
        <v>0.2</v>
      </c>
    </row>
    <row r="235" ht="15.75" customHeight="1">
      <c r="A235" s="99">
        <v>45716.0</v>
      </c>
      <c r="B235" s="99">
        <v>45719.0</v>
      </c>
      <c r="C235" s="44" t="s">
        <v>517</v>
      </c>
      <c r="D235" s="1" t="s">
        <v>0</v>
      </c>
      <c r="E235" s="3">
        <v>39.99</v>
      </c>
      <c r="F235" s="10">
        <f t="shared" si="12"/>
        <v>15.996</v>
      </c>
      <c r="G235" s="31">
        <v>0.6</v>
      </c>
    </row>
    <row r="236" ht="15.75" customHeight="1">
      <c r="A236" s="43"/>
      <c r="B236" s="43"/>
      <c r="C236" s="44"/>
      <c r="D236" s="1" t="s">
        <v>1</v>
      </c>
      <c r="E236" s="3">
        <v>69.99</v>
      </c>
      <c r="F236" s="10">
        <f t="shared" si="12"/>
        <v>27.996</v>
      </c>
      <c r="G236" s="31">
        <v>0.6</v>
      </c>
    </row>
    <row r="237" ht="15.75" customHeight="1">
      <c r="A237" s="43"/>
      <c r="B237" s="43"/>
      <c r="C237" s="44"/>
      <c r="D237" s="1" t="s">
        <v>3</v>
      </c>
      <c r="E237" s="3" t="s">
        <v>4</v>
      </c>
      <c r="F237" s="10" t="str">
        <f t="shared" si="12"/>
        <v>-</v>
      </c>
      <c r="G237" s="31">
        <v>0.3</v>
      </c>
    </row>
    <row r="238" ht="15.75" customHeight="1">
      <c r="A238" s="99">
        <v>45730.0</v>
      </c>
      <c r="B238" s="99">
        <v>45733.0</v>
      </c>
      <c r="C238" s="44" t="s">
        <v>518</v>
      </c>
      <c r="D238" s="6" t="s">
        <v>5</v>
      </c>
      <c r="E238" s="8">
        <v>49.99</v>
      </c>
      <c r="F238" s="10">
        <f t="shared" si="12"/>
        <v>19.996</v>
      </c>
      <c r="G238" s="46">
        <v>0.6</v>
      </c>
    </row>
    <row r="239" ht="15.75" customHeight="1">
      <c r="A239" s="43"/>
      <c r="B239" s="43"/>
      <c r="C239" s="44"/>
      <c r="D239" s="6" t="s">
        <v>12</v>
      </c>
      <c r="E239" s="8">
        <v>79.99</v>
      </c>
      <c r="F239" s="10">
        <f t="shared" si="12"/>
        <v>39.995</v>
      </c>
      <c r="G239" s="46">
        <v>0.5</v>
      </c>
    </row>
    <row r="240" ht="15.75" customHeight="1">
      <c r="A240" s="43"/>
      <c r="B240" s="43"/>
      <c r="C240" s="44"/>
      <c r="D240" s="6" t="s">
        <v>13</v>
      </c>
      <c r="E240" s="8">
        <v>44.99</v>
      </c>
      <c r="F240" s="10">
        <f t="shared" si="12"/>
        <v>31.493</v>
      </c>
      <c r="G240" s="46">
        <v>0.3</v>
      </c>
    </row>
    <row r="241" ht="15.75" customHeight="1">
      <c r="A241" s="43"/>
      <c r="B241" s="43"/>
      <c r="C241" s="44"/>
      <c r="D241" s="6" t="s">
        <v>15</v>
      </c>
      <c r="E241" s="8">
        <v>59.99</v>
      </c>
      <c r="F241" s="10">
        <f t="shared" si="12"/>
        <v>47.992</v>
      </c>
      <c r="G241" s="46">
        <v>0.2</v>
      </c>
    </row>
    <row r="242" ht="15.75" customHeight="1">
      <c r="A242" s="43">
        <v>45742.0</v>
      </c>
      <c r="B242" s="99">
        <v>45757.0</v>
      </c>
      <c r="C242" s="44" t="s">
        <v>519</v>
      </c>
      <c r="D242" s="1" t="s">
        <v>0</v>
      </c>
      <c r="E242" s="3">
        <v>39.99</v>
      </c>
      <c r="F242" s="10">
        <f t="shared" si="12"/>
        <v>15.996</v>
      </c>
      <c r="G242" s="46">
        <v>0.6</v>
      </c>
    </row>
    <row r="243" ht="15.75" customHeight="1">
      <c r="A243" s="43"/>
      <c r="B243" s="43"/>
      <c r="C243" s="44"/>
      <c r="D243" s="1" t="s">
        <v>1</v>
      </c>
      <c r="E243" s="3">
        <v>69.99</v>
      </c>
      <c r="F243" s="10">
        <f t="shared" si="12"/>
        <v>27.996</v>
      </c>
      <c r="G243" s="46">
        <v>0.6</v>
      </c>
    </row>
    <row r="244" ht="15.75" customHeight="1">
      <c r="A244" s="43"/>
      <c r="B244" s="43"/>
      <c r="C244" s="44"/>
      <c r="D244" s="1" t="s">
        <v>549</v>
      </c>
      <c r="E244" s="3" t="s">
        <v>4</v>
      </c>
      <c r="F244" s="10" t="str">
        <f t="shared" si="12"/>
        <v>-</v>
      </c>
      <c r="G244" s="46">
        <v>0.3</v>
      </c>
    </row>
    <row r="245" ht="15.75" customHeight="1">
      <c r="A245" s="43"/>
      <c r="B245" s="43"/>
      <c r="C245" s="44"/>
      <c r="D245" s="1" t="s">
        <v>382</v>
      </c>
      <c r="E245" s="116" t="s">
        <v>4</v>
      </c>
      <c r="F245" s="10" t="str">
        <f t="shared" si="12"/>
        <v>-</v>
      </c>
      <c r="G245" s="46">
        <v>0.2</v>
      </c>
    </row>
    <row r="246" ht="15.75" customHeight="1">
      <c r="A246" s="99">
        <v>45756.0</v>
      </c>
      <c r="B246" s="43">
        <v>45770.0</v>
      </c>
      <c r="C246" s="44" t="s">
        <v>521</v>
      </c>
      <c r="D246" s="6" t="s">
        <v>5</v>
      </c>
      <c r="E246" s="8">
        <v>49.99</v>
      </c>
      <c r="F246" s="10">
        <f t="shared" si="12"/>
        <v>19.996</v>
      </c>
      <c r="G246" s="46">
        <v>0.6</v>
      </c>
    </row>
    <row r="247" ht="15.75" customHeight="1">
      <c r="A247" s="43"/>
      <c r="B247" s="43"/>
      <c r="C247" s="44"/>
      <c r="D247" s="6" t="s">
        <v>12</v>
      </c>
      <c r="E247" s="8">
        <v>79.99</v>
      </c>
      <c r="F247" s="10">
        <f t="shared" si="12"/>
        <v>39.995</v>
      </c>
      <c r="G247" s="46">
        <v>0.5</v>
      </c>
    </row>
    <row r="248" ht="15.75" customHeight="1">
      <c r="A248" s="43"/>
      <c r="B248" s="43"/>
      <c r="C248" s="44"/>
      <c r="D248" s="6" t="s">
        <v>13</v>
      </c>
      <c r="E248" s="8">
        <v>44.99</v>
      </c>
      <c r="F248" s="10">
        <f t="shared" si="12"/>
        <v>31.493</v>
      </c>
      <c r="G248" s="46">
        <v>0.3</v>
      </c>
    </row>
    <row r="249" ht="15.75" customHeight="1">
      <c r="A249" s="43"/>
      <c r="B249" s="43"/>
      <c r="C249" s="44"/>
      <c r="D249" s="6" t="s">
        <v>15</v>
      </c>
      <c r="E249" s="8">
        <v>59.99</v>
      </c>
      <c r="F249" s="10">
        <f t="shared" si="12"/>
        <v>47.992</v>
      </c>
      <c r="G249" s="46">
        <v>0.2</v>
      </c>
    </row>
    <row r="250" ht="15.75" customHeight="1">
      <c r="A250" s="63">
        <v>45786.0</v>
      </c>
      <c r="B250" s="63">
        <v>45913.0</v>
      </c>
      <c r="C250" s="64" t="s">
        <v>480</v>
      </c>
      <c r="D250" s="64" t="s">
        <v>1</v>
      </c>
      <c r="E250" s="65">
        <f t="array" ref="E250">_xlfn.XLOOKUP(D250,Prices!A:A,Prices!B:B,"-")</f>
        <v>69.99</v>
      </c>
      <c r="F250" s="10">
        <f t="shared" si="12"/>
        <v>27.996</v>
      </c>
      <c r="G250" s="66">
        <v>0.6</v>
      </c>
    </row>
    <row r="251" ht="15.75" customHeight="1">
      <c r="A251" s="63">
        <v>45786.0</v>
      </c>
      <c r="B251" s="63">
        <v>45913.0</v>
      </c>
      <c r="C251" s="64" t="s">
        <v>480</v>
      </c>
      <c r="D251" s="64" t="s">
        <v>379</v>
      </c>
      <c r="E251" s="65" t="str">
        <f t="array" ref="E251">_xlfn.XLOOKUP(D251,Prices!A:A,Prices!B:B,"-")</f>
        <v>-</v>
      </c>
      <c r="F251" s="10" t="str">
        <f t="shared" si="12"/>
        <v>-</v>
      </c>
      <c r="G251" s="66">
        <v>0.3</v>
      </c>
    </row>
    <row r="252" ht="15.75" customHeight="1">
      <c r="A252" s="63">
        <v>45786.0</v>
      </c>
      <c r="B252" s="63">
        <v>45913.0</v>
      </c>
      <c r="C252" s="64" t="s">
        <v>480</v>
      </c>
      <c r="D252" s="64" t="s">
        <v>381</v>
      </c>
      <c r="E252" s="65" t="str">
        <f t="array" ref="E252">_xlfn.XLOOKUP(D252,Prices!A:A,Prices!B:B,"-")</f>
        <v>-</v>
      </c>
      <c r="F252" s="10" t="str">
        <f t="shared" si="12"/>
        <v>-</v>
      </c>
      <c r="G252" s="66">
        <v>0.3</v>
      </c>
    </row>
    <row r="253" ht="15.75" customHeight="1">
      <c r="A253" s="63">
        <v>45786.0</v>
      </c>
      <c r="B253" s="63">
        <v>45913.0</v>
      </c>
      <c r="C253" s="64" t="s">
        <v>480</v>
      </c>
      <c r="D253" s="64" t="s">
        <v>382</v>
      </c>
      <c r="E253" s="65" t="str">
        <f t="array" ref="E253">_xlfn.XLOOKUP(D253,Prices!A:A,Prices!B:B,"-")</f>
        <v>-</v>
      </c>
      <c r="F253" s="10" t="str">
        <f t="shared" si="12"/>
        <v>-</v>
      </c>
      <c r="G253" s="66">
        <v>0.2</v>
      </c>
    </row>
    <row r="254" ht="15.75" customHeight="1">
      <c r="A254" s="63">
        <v>45786.0</v>
      </c>
      <c r="B254" s="63">
        <v>45913.0</v>
      </c>
      <c r="C254" s="64" t="s">
        <v>480</v>
      </c>
      <c r="D254" s="64" t="s">
        <v>0</v>
      </c>
      <c r="E254" s="65">
        <f t="array" ref="E254">_xlfn.XLOOKUP(D254,Prices!A:A,Prices!B:B,"-")</f>
        <v>39.99</v>
      </c>
      <c r="F254" s="10">
        <f t="shared" si="12"/>
        <v>15.996</v>
      </c>
      <c r="G254" s="66">
        <v>0.6</v>
      </c>
    </row>
    <row r="255" ht="15.75" customHeight="1">
      <c r="A255" s="63">
        <v>45798.0</v>
      </c>
      <c r="B255" s="63">
        <v>45806.0</v>
      </c>
      <c r="C255" s="64" t="s">
        <v>522</v>
      </c>
      <c r="D255" s="64" t="s">
        <v>5</v>
      </c>
      <c r="E255" s="65">
        <f t="array" ref="E255">_xlfn.XLOOKUP(D255,Prices!A:A,Prices!B:B,"-")</f>
        <v>49.99</v>
      </c>
      <c r="F255" s="10">
        <f t="shared" si="12"/>
        <v>19.996</v>
      </c>
      <c r="G255" s="66">
        <v>0.6</v>
      </c>
    </row>
    <row r="256" ht="15.75" customHeight="1">
      <c r="A256" s="63">
        <v>45798.0</v>
      </c>
      <c r="B256" s="63">
        <v>45806.0</v>
      </c>
      <c r="C256" s="64" t="s">
        <v>522</v>
      </c>
      <c r="D256" s="64" t="s">
        <v>12</v>
      </c>
      <c r="E256" s="65">
        <f t="array" ref="E256">_xlfn.XLOOKUP(D256,Prices!A:A,Prices!B:B,"-")</f>
        <v>79.99</v>
      </c>
      <c r="F256" s="10">
        <f t="shared" si="12"/>
        <v>39.995</v>
      </c>
      <c r="G256" s="66">
        <v>0.5</v>
      </c>
    </row>
    <row r="257" ht="15.75" customHeight="1">
      <c r="A257" s="63">
        <v>45798.0</v>
      </c>
      <c r="B257" s="63">
        <v>45806.0</v>
      </c>
      <c r="C257" s="64" t="s">
        <v>522</v>
      </c>
      <c r="D257" s="64" t="s">
        <v>557</v>
      </c>
      <c r="E257" s="65" t="str">
        <f t="array" ref="E257">_xlfn.XLOOKUP(D257,Prices!A:A,Prices!B:B,"-")</f>
        <v>-</v>
      </c>
      <c r="F257" s="10" t="str">
        <f t="shared" si="12"/>
        <v>-</v>
      </c>
      <c r="G257" s="66">
        <v>0.2</v>
      </c>
    </row>
    <row r="258" ht="15.75" customHeight="1">
      <c r="A258" s="63">
        <v>45798.0</v>
      </c>
      <c r="B258" s="63">
        <v>45806.0</v>
      </c>
      <c r="C258" s="64" t="s">
        <v>522</v>
      </c>
      <c r="D258" s="64" t="s">
        <v>377</v>
      </c>
      <c r="E258" s="65" t="str">
        <f t="array" ref="E258">_xlfn.XLOOKUP(D258,Prices!A:A,Prices!B:B,"-")</f>
        <v>-</v>
      </c>
      <c r="F258" s="10" t="str">
        <f t="shared" si="12"/>
        <v>-</v>
      </c>
      <c r="G258" s="66">
        <v>0.3</v>
      </c>
    </row>
    <row r="259" ht="15.75" customHeight="1">
      <c r="A259" s="63">
        <v>45805.0</v>
      </c>
      <c r="B259" s="63">
        <v>45820.0</v>
      </c>
      <c r="C259" s="64" t="s">
        <v>151</v>
      </c>
      <c r="D259" s="64" t="s">
        <v>1</v>
      </c>
      <c r="E259" s="65">
        <f t="array" ref="E259">_xlfn.XLOOKUP(D259,Prices!A:A,Prices!B:B,"-")</f>
        <v>69.99</v>
      </c>
      <c r="F259" s="10">
        <f t="shared" si="12"/>
        <v>27.996</v>
      </c>
      <c r="G259" s="66">
        <v>0.6</v>
      </c>
    </row>
    <row r="260" ht="15.75" customHeight="1">
      <c r="A260" s="63">
        <v>45805.0</v>
      </c>
      <c r="B260" s="63">
        <v>45820.0</v>
      </c>
      <c r="C260" s="64" t="s">
        <v>151</v>
      </c>
      <c r="D260" s="64" t="s">
        <v>379</v>
      </c>
      <c r="E260" s="65" t="str">
        <f t="array" ref="E260">_xlfn.XLOOKUP(D260,Prices!A:A,Prices!B:B,"-")</f>
        <v>-</v>
      </c>
      <c r="F260" s="10" t="str">
        <f t="shared" si="12"/>
        <v>-</v>
      </c>
      <c r="G260" s="66">
        <v>0.3</v>
      </c>
    </row>
    <row r="261" ht="15.75" customHeight="1">
      <c r="A261" s="63">
        <v>45805.0</v>
      </c>
      <c r="B261" s="63">
        <v>45820.0</v>
      </c>
      <c r="C261" s="64" t="s">
        <v>151</v>
      </c>
      <c r="D261" s="64" t="s">
        <v>381</v>
      </c>
      <c r="E261" s="65" t="str">
        <f t="array" ref="E261">_xlfn.XLOOKUP(D261,Prices!A:A,Prices!B:B,"-")</f>
        <v>-</v>
      </c>
      <c r="F261" s="10" t="str">
        <f t="shared" si="12"/>
        <v>-</v>
      </c>
      <c r="G261" s="66">
        <v>0.3</v>
      </c>
    </row>
    <row r="262" ht="15.75" customHeight="1">
      <c r="A262" s="63">
        <v>45805.0</v>
      </c>
      <c r="B262" s="63">
        <v>45820.0</v>
      </c>
      <c r="C262" s="64" t="s">
        <v>151</v>
      </c>
      <c r="D262" s="64" t="s">
        <v>382</v>
      </c>
      <c r="E262" s="65" t="str">
        <f t="array" ref="E262">_xlfn.XLOOKUP(D262,Prices!A:A,Prices!B:B,"-")</f>
        <v>-</v>
      </c>
      <c r="F262" s="10" t="str">
        <f t="shared" si="12"/>
        <v>-</v>
      </c>
      <c r="G262" s="66">
        <v>0.2</v>
      </c>
    </row>
    <row r="263" ht="15.75" customHeight="1">
      <c r="A263" s="63">
        <v>45805.0</v>
      </c>
      <c r="B263" s="63">
        <v>45820.0</v>
      </c>
      <c r="C263" s="64" t="s">
        <v>151</v>
      </c>
      <c r="D263" s="64" t="s">
        <v>0</v>
      </c>
      <c r="E263" s="65">
        <f t="array" ref="E263">_xlfn.XLOOKUP(D263,Prices!A:A,Prices!B:B,"-")</f>
        <v>39.99</v>
      </c>
      <c r="F263" s="10">
        <f t="shared" si="12"/>
        <v>15.996</v>
      </c>
      <c r="G263" s="66">
        <v>0.6</v>
      </c>
    </row>
    <row r="264" ht="15.75" customHeight="1">
      <c r="A264" s="63">
        <v>45826.0</v>
      </c>
      <c r="B264" s="63">
        <v>45841.0</v>
      </c>
      <c r="C264" s="64" t="s">
        <v>357</v>
      </c>
      <c r="D264" s="64" t="s">
        <v>5</v>
      </c>
      <c r="E264" s="65">
        <f t="array" ref="E264">_xlfn.XLOOKUP(D264,Prices!A:A,Prices!B:B,"-")</f>
        <v>49.99</v>
      </c>
      <c r="F264" s="10">
        <f t="shared" si="12"/>
        <v>19.996</v>
      </c>
      <c r="G264" s="66">
        <v>0.6</v>
      </c>
    </row>
    <row r="265" ht="15.75" customHeight="1">
      <c r="A265" s="63">
        <v>45826.0</v>
      </c>
      <c r="B265" s="63">
        <v>45841.0</v>
      </c>
      <c r="C265" s="64" t="s">
        <v>357</v>
      </c>
      <c r="D265" s="64" t="s">
        <v>12</v>
      </c>
      <c r="E265" s="65">
        <f t="array" ref="E265">_xlfn.XLOOKUP(D265,Prices!A:A,Prices!B:B,"-")</f>
        <v>79.99</v>
      </c>
      <c r="F265" s="10">
        <f t="shared" si="12"/>
        <v>39.995</v>
      </c>
      <c r="G265" s="66">
        <v>0.5</v>
      </c>
    </row>
    <row r="266" ht="15.75" customHeight="1">
      <c r="A266" s="63">
        <v>45826.0</v>
      </c>
      <c r="B266" s="63">
        <v>45841.0</v>
      </c>
      <c r="C266" s="64" t="s">
        <v>357</v>
      </c>
      <c r="D266" s="64" t="s">
        <v>557</v>
      </c>
      <c r="E266" s="65" t="str">
        <f t="array" ref="E266">_xlfn.XLOOKUP(D266,Prices!A:A,Prices!B:B,"-")</f>
        <v>-</v>
      </c>
      <c r="F266" s="10" t="str">
        <f t="shared" si="12"/>
        <v>-</v>
      </c>
      <c r="G266" s="66">
        <v>0.2</v>
      </c>
    </row>
    <row r="267" ht="15.75" customHeight="1">
      <c r="A267" s="63">
        <v>45826.0</v>
      </c>
      <c r="B267" s="63">
        <v>45841.0</v>
      </c>
      <c r="C267" s="64" t="s">
        <v>357</v>
      </c>
      <c r="D267" s="64" t="s">
        <v>377</v>
      </c>
      <c r="E267" s="65" t="str">
        <f t="array" ref="E267">_xlfn.XLOOKUP(D267,Prices!A:A,Prices!B:B,"-")</f>
        <v>-</v>
      </c>
      <c r="F267" s="10" t="str">
        <f t="shared" si="12"/>
        <v>-</v>
      </c>
      <c r="G267" s="66">
        <v>0.3</v>
      </c>
    </row>
    <row r="268" ht="15.75" customHeight="1">
      <c r="A268" s="63">
        <v>45850.0</v>
      </c>
      <c r="B268" s="63">
        <v>45854.0</v>
      </c>
      <c r="C268" s="64" t="s">
        <v>485</v>
      </c>
      <c r="D268" s="64" t="s">
        <v>0</v>
      </c>
      <c r="E268" s="65">
        <f t="array" ref="E268">_xlfn.XLOOKUP(D268,Prices!A:A,Prices!B:B,"-")</f>
        <v>39.99</v>
      </c>
      <c r="F268" s="10">
        <f t="shared" si="12"/>
        <v>15.996</v>
      </c>
      <c r="G268" s="66">
        <v>0.6</v>
      </c>
    </row>
    <row r="269" ht="15.75" customHeight="1">
      <c r="A269" s="63"/>
      <c r="B269" s="63"/>
      <c r="C269" s="64"/>
      <c r="D269" s="64" t="s">
        <v>1</v>
      </c>
      <c r="E269" s="65">
        <f t="array" ref="E269">_xlfn.XLOOKUP(D269,Prices!A:A,Prices!B:B,"-")</f>
        <v>69.99</v>
      </c>
      <c r="F269" s="10">
        <f t="shared" si="12"/>
        <v>27.996</v>
      </c>
      <c r="G269" s="66">
        <v>0.6</v>
      </c>
    </row>
    <row r="270" ht="15.75" customHeight="1">
      <c r="A270" s="63">
        <v>45854.0</v>
      </c>
      <c r="B270" s="63">
        <v>45868.0</v>
      </c>
      <c r="C270" s="64" t="s">
        <v>572</v>
      </c>
      <c r="D270" s="64" t="s">
        <v>379</v>
      </c>
      <c r="E270" s="65" t="str">
        <f t="array" ref="E270">_xlfn.XLOOKUP(D270,Prices!A:A,Prices!B:B,"-")</f>
        <v>-</v>
      </c>
      <c r="F270" s="10" t="str">
        <f t="shared" si="12"/>
        <v>-</v>
      </c>
      <c r="G270" s="66">
        <v>0.3</v>
      </c>
    </row>
    <row r="271" ht="15.75" customHeight="1">
      <c r="A271" s="63"/>
      <c r="B271" s="63"/>
      <c r="C271" s="64"/>
      <c r="D271" s="64" t="s">
        <v>381</v>
      </c>
      <c r="E271" s="65" t="str">
        <f t="array" ref="E271">_xlfn.XLOOKUP(D271,Prices!A:A,Prices!B:B,"-")</f>
        <v>-</v>
      </c>
      <c r="F271" s="10" t="str">
        <f t="shared" si="12"/>
        <v>-</v>
      </c>
      <c r="G271" s="66">
        <v>0.3</v>
      </c>
    </row>
    <row r="272" ht="15.75" customHeight="1">
      <c r="A272" s="63"/>
      <c r="B272" s="63"/>
      <c r="C272" s="64"/>
      <c r="D272" s="64" t="s">
        <v>382</v>
      </c>
      <c r="E272" s="65" t="str">
        <f t="array" ref="E272">_xlfn.XLOOKUP(D272,Prices!A:A,Prices!B:B,"-")</f>
        <v>-</v>
      </c>
      <c r="F272" s="10" t="str">
        <f t="shared" si="12"/>
        <v>-</v>
      </c>
      <c r="G272" s="66">
        <v>0.2</v>
      </c>
    </row>
    <row r="273" ht="15.75" customHeight="1">
      <c r="A273" s="63">
        <v>45868.0</v>
      </c>
      <c r="B273" s="63">
        <v>45882.0</v>
      </c>
      <c r="C273" s="64" t="s">
        <v>487</v>
      </c>
      <c r="D273" s="64" t="s">
        <v>5</v>
      </c>
      <c r="E273" s="65">
        <f t="array" ref="E273">_xlfn.XLOOKUP(D273,Prices!A:A,Prices!B:B,"-")</f>
        <v>49.99</v>
      </c>
      <c r="F273" s="10">
        <f t="shared" si="12"/>
        <v>19.996</v>
      </c>
      <c r="G273" s="66">
        <v>0.6</v>
      </c>
    </row>
    <row r="274" ht="15.75" customHeight="1">
      <c r="A274" s="63"/>
      <c r="B274" s="63"/>
      <c r="C274" s="64"/>
      <c r="D274" s="64" t="s">
        <v>12</v>
      </c>
      <c r="E274" s="65">
        <f t="array" ref="E274">_xlfn.XLOOKUP(D274,Prices!A:A,Prices!B:B,"-")</f>
        <v>79.99</v>
      </c>
      <c r="F274" s="10">
        <f t="shared" si="12"/>
        <v>39.995</v>
      </c>
      <c r="G274" s="66">
        <v>0.5</v>
      </c>
    </row>
    <row r="275" ht="15.75" customHeight="1">
      <c r="A275" s="63"/>
      <c r="B275" s="63"/>
      <c r="C275" s="64"/>
      <c r="D275" s="64" t="s">
        <v>575</v>
      </c>
      <c r="E275" s="65" t="str">
        <f t="array" ref="E275">_xlfn.XLOOKUP(D275,Prices!A:A,Prices!B:B,"-")</f>
        <v>-</v>
      </c>
      <c r="F275" s="10" t="str">
        <f t="shared" si="12"/>
        <v>-</v>
      </c>
      <c r="G275" s="66">
        <v>0.2</v>
      </c>
    </row>
    <row r="276" ht="15.75" customHeight="1">
      <c r="A276" s="63"/>
      <c r="B276" s="63"/>
      <c r="C276" s="64"/>
      <c r="D276" s="64" t="s">
        <v>576</v>
      </c>
      <c r="E276" s="65" t="str">
        <f t="array" ref="E276">_xlfn.XLOOKUP(D276,Prices!A:A,Prices!B:B,"-")</f>
        <v>-</v>
      </c>
      <c r="F276" s="10" t="str">
        <f t="shared" si="12"/>
        <v>-</v>
      </c>
      <c r="G276" s="66">
        <v>0.3</v>
      </c>
    </row>
    <row r="277" ht="15.75" customHeight="1">
      <c r="A277" s="63">
        <v>45884.0</v>
      </c>
      <c r="B277" s="63">
        <v>45887.0</v>
      </c>
      <c r="C277" s="64" t="s">
        <v>480</v>
      </c>
      <c r="D277" s="64" t="s">
        <v>1</v>
      </c>
      <c r="E277" s="65">
        <f t="array" ref="E277">_xlfn.XLOOKUP(D277,Prices!A:A,Prices!B:B,"-")</f>
        <v>69.99</v>
      </c>
      <c r="F277" s="10">
        <f t="shared" si="12"/>
        <v>27.996</v>
      </c>
      <c r="G277" s="66">
        <v>0.6</v>
      </c>
    </row>
    <row r="278" ht="15.75" customHeight="1">
      <c r="A278" s="63">
        <v>45884.0</v>
      </c>
      <c r="B278" s="63">
        <v>45887.0</v>
      </c>
      <c r="C278" s="64" t="s">
        <v>480</v>
      </c>
      <c r="D278" s="64" t="s">
        <v>0</v>
      </c>
      <c r="E278" s="65">
        <f t="array" ref="E278">_xlfn.XLOOKUP(D278,Prices!A:A,Prices!B:B,"-")</f>
        <v>39.99</v>
      </c>
      <c r="F278" s="10">
        <f t="shared" si="12"/>
        <v>15.996</v>
      </c>
      <c r="G278" s="66">
        <v>0.6</v>
      </c>
    </row>
    <row r="279" ht="15.75" customHeight="1">
      <c r="A279" s="63">
        <v>45896.0</v>
      </c>
      <c r="B279" s="63">
        <v>45910.0</v>
      </c>
      <c r="C279" s="64" t="s">
        <v>421</v>
      </c>
      <c r="D279" s="64" t="s">
        <v>1</v>
      </c>
      <c r="E279" s="65">
        <f t="array" ref="E279">_xlfn.XLOOKUP(D279,Prices!A:A,Prices!B:B,"-")</f>
        <v>69.99</v>
      </c>
      <c r="F279" s="10">
        <f t="shared" si="12"/>
        <v>27.996</v>
      </c>
      <c r="G279" s="66">
        <v>0.6</v>
      </c>
    </row>
    <row r="280" ht="15.75" customHeight="1">
      <c r="A280" s="63">
        <v>45896.0</v>
      </c>
      <c r="B280" s="63">
        <v>45910.0</v>
      </c>
      <c r="C280" s="64" t="s">
        <v>421</v>
      </c>
      <c r="D280" s="64" t="s">
        <v>379</v>
      </c>
      <c r="E280" s="65" t="str">
        <f t="array" ref="E280">_xlfn.XLOOKUP(D280,Prices!A:A,Prices!B:B,"-")</f>
        <v>-</v>
      </c>
      <c r="F280" s="10" t="str">
        <f t="shared" si="12"/>
        <v>-</v>
      </c>
      <c r="G280" s="66">
        <v>0.3</v>
      </c>
    </row>
    <row r="281" ht="15.75" customHeight="1">
      <c r="A281" s="63">
        <v>45896.0</v>
      </c>
      <c r="B281" s="63">
        <v>45910.0</v>
      </c>
      <c r="C281" s="64" t="s">
        <v>421</v>
      </c>
      <c r="D281" s="64" t="s">
        <v>381</v>
      </c>
      <c r="E281" s="65" t="str">
        <f t="array" ref="E281">_xlfn.XLOOKUP(D281,Prices!A:A,Prices!B:B,"-")</f>
        <v>-</v>
      </c>
      <c r="F281" s="10" t="str">
        <f t="shared" si="12"/>
        <v>-</v>
      </c>
      <c r="G281" s="66">
        <v>0.3</v>
      </c>
    </row>
    <row r="282" ht="15.75" customHeight="1">
      <c r="A282" s="63">
        <v>45896.0</v>
      </c>
      <c r="B282" s="63">
        <v>45910.0</v>
      </c>
      <c r="C282" s="64" t="s">
        <v>421</v>
      </c>
      <c r="D282" s="64" t="s">
        <v>382</v>
      </c>
      <c r="E282" s="65" t="str">
        <f t="array" ref="E282">_xlfn.XLOOKUP(D282,Prices!A:A,Prices!B:B,"-")</f>
        <v>-</v>
      </c>
      <c r="F282" s="10" t="str">
        <f t="shared" si="12"/>
        <v>-</v>
      </c>
      <c r="G282" s="66">
        <v>0.2</v>
      </c>
    </row>
    <row r="283" ht="15.75" customHeight="1">
      <c r="A283" s="63">
        <v>45896.0</v>
      </c>
      <c r="B283" s="63">
        <v>45910.0</v>
      </c>
      <c r="C283" s="64" t="s">
        <v>421</v>
      </c>
      <c r="D283" s="64" t="s">
        <v>0</v>
      </c>
      <c r="E283" s="65">
        <f t="array" ref="E283">_xlfn.XLOOKUP(D283,Prices!A:A,Prices!B:B,"-")</f>
        <v>39.99</v>
      </c>
      <c r="F283" s="10">
        <f t="shared" si="12"/>
        <v>15.996</v>
      </c>
      <c r="G283" s="66">
        <v>0.6</v>
      </c>
    </row>
    <row r="284" ht="15.75" customHeight="1">
      <c r="A284" s="63">
        <v>45898.0</v>
      </c>
      <c r="B284" s="63">
        <v>45901.0</v>
      </c>
      <c r="C284" s="64" t="s">
        <v>480</v>
      </c>
      <c r="D284" s="64" t="s">
        <v>5</v>
      </c>
      <c r="E284" s="65">
        <f t="array" ref="E284">_xlfn.XLOOKUP(D284,Prices!A:A,Prices!B:B,"-")</f>
        <v>49.99</v>
      </c>
      <c r="F284" s="10">
        <f t="shared" si="12"/>
        <v>19.996</v>
      </c>
      <c r="G284" s="66">
        <v>0.6</v>
      </c>
    </row>
    <row r="285" ht="15.75" customHeight="1">
      <c r="A285" s="63">
        <v>45898.0</v>
      </c>
      <c r="B285" s="63">
        <v>45901.0</v>
      </c>
      <c r="C285" s="64" t="s">
        <v>480</v>
      </c>
      <c r="D285" s="64" t="s">
        <v>12</v>
      </c>
      <c r="E285" s="65">
        <f t="array" ref="E285">_xlfn.XLOOKUP(D285,Prices!A:A,Prices!B:B,"-")</f>
        <v>79.99</v>
      </c>
      <c r="F285" s="10">
        <f t="shared" si="12"/>
        <v>39.995</v>
      </c>
      <c r="G285" s="66">
        <v>0.5</v>
      </c>
    </row>
    <row r="286" ht="15.75" customHeight="1">
      <c r="A286" s="63">
        <v>45898.0</v>
      </c>
      <c r="B286" s="63">
        <v>45901.0</v>
      </c>
      <c r="C286" s="64" t="s">
        <v>480</v>
      </c>
      <c r="D286" s="64" t="s">
        <v>377</v>
      </c>
      <c r="E286" s="65" t="str">
        <f t="array" ref="E286">_xlfn.XLOOKUP(D286,Prices!A:A,Prices!B:B,"-")</f>
        <v>-</v>
      </c>
      <c r="F286" s="10" t="str">
        <f t="shared" si="12"/>
        <v>-</v>
      </c>
      <c r="G286" s="66">
        <v>0.3</v>
      </c>
    </row>
    <row r="287" ht="15.75" customHeight="1">
      <c r="A287" s="63">
        <v>45898.0</v>
      </c>
      <c r="B287" s="63">
        <v>45901.0</v>
      </c>
      <c r="C287" s="64" t="s">
        <v>480</v>
      </c>
      <c r="D287" s="64" t="s">
        <v>557</v>
      </c>
      <c r="E287" s="65" t="str">
        <f t="array" ref="E287">_xlfn.XLOOKUP(D287,Prices!A:A,Prices!B:B,"-")</f>
        <v>-</v>
      </c>
      <c r="F287" s="10" t="str">
        <f t="shared" si="12"/>
        <v>-</v>
      </c>
      <c r="G287" s="66">
        <v>0.2</v>
      </c>
    </row>
    <row r="288" ht="15.75" customHeight="1">
      <c r="A288" s="63">
        <v>45910.0</v>
      </c>
      <c r="B288" s="63">
        <v>45924.0</v>
      </c>
      <c r="C288" s="64" t="s">
        <v>422</v>
      </c>
      <c r="D288" s="64" t="s">
        <v>5</v>
      </c>
      <c r="E288" s="65">
        <f t="array" ref="E288">_xlfn.XLOOKUP(D288,Prices!A:A,Prices!B:B,"-")</f>
        <v>49.99</v>
      </c>
      <c r="F288" s="10">
        <f t="shared" si="12"/>
        <v>19.996</v>
      </c>
      <c r="G288" s="66">
        <v>0.6</v>
      </c>
    </row>
    <row r="289" ht="15.75" customHeight="1">
      <c r="A289" s="63">
        <v>45910.0</v>
      </c>
      <c r="B289" s="63">
        <v>45924.0</v>
      </c>
      <c r="C289" s="64" t="s">
        <v>422</v>
      </c>
      <c r="D289" s="64" t="s">
        <v>12</v>
      </c>
      <c r="E289" s="65">
        <f t="array" ref="E289">_xlfn.XLOOKUP(D289,Prices!A:A,Prices!B:B,"-")</f>
        <v>79.99</v>
      </c>
      <c r="F289" s="10">
        <f t="shared" si="12"/>
        <v>39.995</v>
      </c>
      <c r="G289" s="66">
        <v>0.5</v>
      </c>
    </row>
    <row r="290" ht="15.75" customHeight="1">
      <c r="A290" s="63">
        <v>45910.0</v>
      </c>
      <c r="B290" s="63">
        <v>45924.0</v>
      </c>
      <c r="C290" s="64" t="s">
        <v>422</v>
      </c>
      <c r="D290" s="64" t="s">
        <v>377</v>
      </c>
      <c r="E290" s="65" t="str">
        <f t="array" ref="E290">_xlfn.XLOOKUP(D290,Prices!A:A,Prices!B:B,"-")</f>
        <v>-</v>
      </c>
      <c r="F290" s="10" t="str">
        <f t="shared" si="12"/>
        <v>-</v>
      </c>
      <c r="G290" s="66">
        <v>0.3</v>
      </c>
    </row>
    <row r="291" ht="15.75" customHeight="1">
      <c r="A291" s="63">
        <v>45910.0</v>
      </c>
      <c r="B291" s="63">
        <v>45924.0</v>
      </c>
      <c r="C291" s="64" t="s">
        <v>422</v>
      </c>
      <c r="D291" s="64" t="s">
        <v>557</v>
      </c>
      <c r="E291" s="65" t="str">
        <f t="array" ref="E291">_xlfn.XLOOKUP(D291,Prices!A:A,Prices!B:B,"-")</f>
        <v>-</v>
      </c>
      <c r="F291" s="10" t="str">
        <f t="shared" si="12"/>
        <v>-</v>
      </c>
      <c r="G291" s="66">
        <v>0.2</v>
      </c>
    </row>
    <row r="292" ht="15.75" customHeight="1">
      <c r="A292" s="63">
        <v>45938.0</v>
      </c>
      <c r="B292" s="63">
        <v>45952.0</v>
      </c>
      <c r="C292" s="64" t="s">
        <v>423</v>
      </c>
      <c r="D292" s="64" t="s">
        <v>1</v>
      </c>
      <c r="E292" s="65">
        <f t="array" ref="E292">_xlfn.XLOOKUP(D292,Prices!A:A,Prices!B:B,"-")</f>
        <v>69.99</v>
      </c>
      <c r="F292" s="10">
        <f t="shared" si="12"/>
        <v>27.996</v>
      </c>
      <c r="G292" s="66">
        <v>0.6</v>
      </c>
    </row>
    <row r="293" ht="15.75" customHeight="1">
      <c r="A293" s="63">
        <v>45938.0</v>
      </c>
      <c r="B293" s="63">
        <v>45952.0</v>
      </c>
      <c r="C293" s="64" t="s">
        <v>423</v>
      </c>
      <c r="D293" s="64" t="s">
        <v>379</v>
      </c>
      <c r="E293" s="65" t="str">
        <f t="array" ref="E293">_xlfn.XLOOKUP(D293,Prices!A:A,Prices!B:B,"-")</f>
        <v>-</v>
      </c>
      <c r="F293" s="10" t="str">
        <f t="shared" si="12"/>
        <v>-</v>
      </c>
      <c r="G293" s="66">
        <v>0.3</v>
      </c>
    </row>
    <row r="294" ht="15.75" customHeight="1">
      <c r="A294" s="63">
        <v>45938.0</v>
      </c>
      <c r="B294" s="63">
        <v>45952.0</v>
      </c>
      <c r="C294" s="64" t="s">
        <v>423</v>
      </c>
      <c r="D294" s="64" t="s">
        <v>381</v>
      </c>
      <c r="E294" s="65" t="str">
        <f t="array" ref="E294">_xlfn.XLOOKUP(D294,Prices!A:A,Prices!B:B,"-")</f>
        <v>-</v>
      </c>
      <c r="F294" s="10" t="str">
        <f t="shared" si="12"/>
        <v>-</v>
      </c>
      <c r="G294" s="66">
        <v>0.3</v>
      </c>
    </row>
    <row r="295" ht="15.75" customHeight="1">
      <c r="A295" s="63">
        <v>45938.0</v>
      </c>
      <c r="B295" s="63">
        <v>45952.0</v>
      </c>
      <c r="C295" s="64" t="s">
        <v>423</v>
      </c>
      <c r="D295" s="64" t="s">
        <v>382</v>
      </c>
      <c r="E295" s="65" t="str">
        <f t="array" ref="E295">_xlfn.XLOOKUP(D295,Prices!A:A,Prices!B:B,"-")</f>
        <v>-</v>
      </c>
      <c r="F295" s="10" t="str">
        <f t="shared" si="12"/>
        <v>-</v>
      </c>
      <c r="G295" s="66">
        <v>0.2</v>
      </c>
    </row>
    <row r="296" ht="15.75" customHeight="1">
      <c r="A296" s="63">
        <v>45938.0</v>
      </c>
      <c r="B296" s="63">
        <v>45952.0</v>
      </c>
      <c r="C296" s="64" t="s">
        <v>423</v>
      </c>
      <c r="D296" s="64" t="s">
        <v>0</v>
      </c>
      <c r="E296" s="65">
        <f t="array" ref="E296">_xlfn.XLOOKUP(D296,Prices!A:A,Prices!B:B,"-")</f>
        <v>39.99</v>
      </c>
      <c r="F296" s="10">
        <f t="shared" si="12"/>
        <v>15.996</v>
      </c>
      <c r="G296" s="66">
        <v>0.6</v>
      </c>
    </row>
    <row r="297" ht="15.75" customHeight="1">
      <c r="A297" s="63">
        <v>45952.0</v>
      </c>
      <c r="B297" s="63">
        <v>45966.0</v>
      </c>
      <c r="C297" s="64" t="s">
        <v>424</v>
      </c>
      <c r="D297" s="64" t="s">
        <v>5</v>
      </c>
      <c r="E297" s="65">
        <f t="array" ref="E297">_xlfn.XLOOKUP(D297,Prices!A:A,Prices!B:B,"-")</f>
        <v>49.99</v>
      </c>
      <c r="F297" s="10">
        <f t="shared" si="12"/>
        <v>14.997</v>
      </c>
      <c r="G297" s="66">
        <v>0.7</v>
      </c>
    </row>
    <row r="298" ht="15.75" customHeight="1">
      <c r="A298" s="63">
        <v>45952.0</v>
      </c>
      <c r="B298" s="63">
        <v>45966.0</v>
      </c>
      <c r="C298" s="64" t="s">
        <v>424</v>
      </c>
      <c r="D298" s="64" t="s">
        <v>12</v>
      </c>
      <c r="E298" s="65">
        <f t="array" ref="E298">_xlfn.XLOOKUP(D298,Prices!A:A,Prices!B:B,"-")</f>
        <v>79.99</v>
      </c>
      <c r="F298" s="10">
        <f t="shared" si="12"/>
        <v>39.995</v>
      </c>
      <c r="G298" s="66">
        <v>0.5</v>
      </c>
    </row>
    <row r="299" ht="15.75" customHeight="1">
      <c r="A299" s="63">
        <v>45952.0</v>
      </c>
      <c r="B299" s="63">
        <v>45966.0</v>
      </c>
      <c r="C299" s="64" t="s">
        <v>424</v>
      </c>
      <c r="D299" s="64" t="s">
        <v>377</v>
      </c>
      <c r="E299" s="65" t="str">
        <f t="array" ref="E299">_xlfn.XLOOKUP(D299,Prices!A:A,Prices!B:B,"-")</f>
        <v>-</v>
      </c>
      <c r="F299" s="10" t="str">
        <f t="shared" si="12"/>
        <v>-</v>
      </c>
      <c r="G299" s="66">
        <v>0.3</v>
      </c>
    </row>
    <row r="300" ht="15.75" customHeight="1">
      <c r="A300" s="63">
        <v>45952.0</v>
      </c>
      <c r="B300" s="63">
        <v>45966.0</v>
      </c>
      <c r="C300" s="64" t="s">
        <v>424</v>
      </c>
      <c r="D300" s="64" t="s">
        <v>557</v>
      </c>
      <c r="E300" s="65" t="str">
        <f t="array" ref="E300">_xlfn.XLOOKUP(D300,Prices!A:A,Prices!B:B,"-")</f>
        <v>-</v>
      </c>
      <c r="F300" s="10" t="str">
        <f t="shared" si="12"/>
        <v>-</v>
      </c>
      <c r="G300" s="66">
        <v>0.2</v>
      </c>
    </row>
    <row r="301" ht="15.75" customHeight="1">
      <c r="A301" s="63">
        <v>45982.0</v>
      </c>
      <c r="B301" s="63">
        <v>45992.0</v>
      </c>
      <c r="C301" s="64" t="s">
        <v>425</v>
      </c>
      <c r="D301" s="64" t="s">
        <v>379</v>
      </c>
      <c r="E301" s="65" t="str">
        <f t="array" ref="E301">_xlfn.XLOOKUP(D301,Prices!A:A,Prices!B:B,"-")</f>
        <v>-</v>
      </c>
      <c r="F301" s="10" t="str">
        <f t="shared" si="12"/>
        <v>-</v>
      </c>
      <c r="G301" s="66">
        <v>0.3</v>
      </c>
    </row>
    <row r="302" ht="15.75" customHeight="1">
      <c r="A302" s="63">
        <v>45982.0</v>
      </c>
      <c r="B302" s="63">
        <v>45992.0</v>
      </c>
      <c r="C302" s="64" t="s">
        <v>425</v>
      </c>
      <c r="D302" s="64" t="s">
        <v>381</v>
      </c>
      <c r="E302" s="65" t="str">
        <f t="array" ref="E302">_xlfn.XLOOKUP(D302,Prices!A:A,Prices!B:B,"-")</f>
        <v>-</v>
      </c>
      <c r="F302" s="10" t="str">
        <f t="shared" si="12"/>
        <v>-</v>
      </c>
      <c r="G302" s="66">
        <v>0.3</v>
      </c>
    </row>
    <row r="303" ht="15.75" customHeight="1">
      <c r="A303" s="63">
        <v>45982.0</v>
      </c>
      <c r="B303" s="63">
        <v>45992.0</v>
      </c>
      <c r="C303" s="64" t="s">
        <v>425</v>
      </c>
      <c r="D303" s="64" t="s">
        <v>382</v>
      </c>
      <c r="E303" s="65" t="str">
        <f t="array" ref="E303">_xlfn.XLOOKUP(D303,Prices!A:A,Prices!B:B,"-")</f>
        <v>-</v>
      </c>
      <c r="F303" s="10" t="str">
        <f t="shared" si="12"/>
        <v>-</v>
      </c>
      <c r="G303" s="66">
        <v>0.2</v>
      </c>
    </row>
    <row r="304" ht="15.75" customHeight="1">
      <c r="A304" s="63">
        <v>45982.0</v>
      </c>
      <c r="B304" s="63">
        <v>45992.0</v>
      </c>
      <c r="C304" s="64" t="s">
        <v>425</v>
      </c>
      <c r="D304" s="64" t="s">
        <v>0</v>
      </c>
      <c r="E304" s="65">
        <f t="array" ref="E304">_xlfn.XLOOKUP(D304,Prices!A:A,Prices!B:B,"-")</f>
        <v>39.99</v>
      </c>
      <c r="F304" s="10">
        <f t="shared" si="12"/>
        <v>11.997</v>
      </c>
      <c r="G304" s="66">
        <v>0.7</v>
      </c>
    </row>
    <row r="305" ht="15.75" customHeight="1">
      <c r="A305" s="63">
        <v>45992.0</v>
      </c>
      <c r="B305" s="63">
        <v>46007.0</v>
      </c>
      <c r="C305" s="64" t="s">
        <v>426</v>
      </c>
      <c r="D305" s="64" t="s">
        <v>5</v>
      </c>
      <c r="E305" s="65">
        <f t="array" ref="E305">_xlfn.XLOOKUP(D305,Prices!A:A,Prices!B:B,"-")</f>
        <v>49.99</v>
      </c>
      <c r="F305" s="10">
        <f t="shared" si="12"/>
        <v>14.997</v>
      </c>
      <c r="G305" s="66">
        <v>0.7</v>
      </c>
    </row>
    <row r="306" ht="15.75" customHeight="1">
      <c r="A306" s="63">
        <v>45992.0</v>
      </c>
      <c r="B306" s="63">
        <v>46007.0</v>
      </c>
      <c r="C306" s="64" t="s">
        <v>426</v>
      </c>
      <c r="D306" s="64" t="s">
        <v>377</v>
      </c>
      <c r="E306" s="65" t="str">
        <f t="array" ref="E306">_xlfn.XLOOKUP(D306,Prices!A:A,Prices!B:B,"-")</f>
        <v>-</v>
      </c>
      <c r="F306" s="10" t="str">
        <f t="shared" si="12"/>
        <v>-</v>
      </c>
      <c r="G306" s="66">
        <v>0.3</v>
      </c>
    </row>
    <row r="307" ht="15.75" customHeight="1">
      <c r="A307" s="63">
        <v>45992.0</v>
      </c>
      <c r="B307" s="63">
        <v>46007.0</v>
      </c>
      <c r="C307" s="64" t="s">
        <v>426</v>
      </c>
      <c r="D307" s="64" t="s">
        <v>557</v>
      </c>
      <c r="E307" s="65" t="str">
        <f t="array" ref="E307">_xlfn.XLOOKUP(D307,Prices!A:A,Prices!B:B,"-")</f>
        <v>-</v>
      </c>
      <c r="F307" s="10" t="str">
        <f t="shared" si="12"/>
        <v>-</v>
      </c>
      <c r="G307" s="66">
        <v>0.2</v>
      </c>
    </row>
    <row r="308" ht="15.75" customHeight="1">
      <c r="A308" s="63">
        <v>46010.0</v>
      </c>
      <c r="B308" s="63">
        <v>46012.0</v>
      </c>
      <c r="C308" s="64" t="s">
        <v>494</v>
      </c>
      <c r="D308" s="64" t="s">
        <v>388</v>
      </c>
      <c r="E308" s="65">
        <v>99.99</v>
      </c>
      <c r="F308" s="10">
        <f t="shared" si="12"/>
        <v>59.994</v>
      </c>
      <c r="G308" s="66">
        <v>0.4</v>
      </c>
    </row>
    <row r="309" ht="15.75" customHeight="1">
      <c r="A309" s="63">
        <v>46010.0</v>
      </c>
      <c r="B309" s="63">
        <v>46012.0</v>
      </c>
      <c r="C309" s="64" t="s">
        <v>494</v>
      </c>
      <c r="D309" s="64" t="s">
        <v>0</v>
      </c>
      <c r="E309" s="65">
        <f t="array" ref="E309">_xlfn.XLOOKUP(D309,Prices!A:A,Prices!B:B,"-")</f>
        <v>39.99</v>
      </c>
      <c r="F309" s="10">
        <f t="shared" si="12"/>
        <v>11.997</v>
      </c>
      <c r="G309" s="66">
        <v>0.7</v>
      </c>
    </row>
    <row r="310" ht="15.75" customHeight="1">
      <c r="A310" s="63">
        <v>46013.0</v>
      </c>
      <c r="B310" s="63">
        <v>46029.0</v>
      </c>
      <c r="C310" s="64" t="s">
        <v>316</v>
      </c>
      <c r="D310" s="64" t="s">
        <v>388</v>
      </c>
      <c r="E310" s="65">
        <v>99.99</v>
      </c>
      <c r="F310" s="10">
        <f t="shared" si="12"/>
        <v>59.994</v>
      </c>
      <c r="G310" s="66">
        <v>0.4</v>
      </c>
    </row>
    <row r="311" ht="15.75" customHeight="1">
      <c r="A311" s="63">
        <v>46013.0</v>
      </c>
      <c r="B311" s="63">
        <v>46029.0</v>
      </c>
      <c r="C311" s="64" t="s">
        <v>316</v>
      </c>
      <c r="D311" s="64" t="s">
        <v>379</v>
      </c>
      <c r="E311" s="65" t="str">
        <f t="array" ref="E311">_xlfn.XLOOKUP(D311,Prices!A:A,Prices!B:B,"-")</f>
        <v>-</v>
      </c>
      <c r="F311" s="10" t="str">
        <f t="shared" si="12"/>
        <v>-</v>
      </c>
      <c r="G311" s="66">
        <v>0.3</v>
      </c>
    </row>
    <row r="312" ht="15.75" customHeight="1">
      <c r="A312" s="63">
        <v>46013.0</v>
      </c>
      <c r="B312" s="63">
        <v>46029.0</v>
      </c>
      <c r="C312" s="64" t="s">
        <v>316</v>
      </c>
      <c r="D312" s="64" t="s">
        <v>381</v>
      </c>
      <c r="E312" s="65" t="str">
        <f t="array" ref="E312">_xlfn.XLOOKUP(D312,Prices!A:A,Prices!B:B,"-")</f>
        <v>-</v>
      </c>
      <c r="F312" s="10" t="str">
        <f t="shared" si="12"/>
        <v>-</v>
      </c>
      <c r="G312" s="66">
        <v>0.3</v>
      </c>
    </row>
    <row r="313" ht="15.75" customHeight="1">
      <c r="A313" s="63">
        <v>46013.0</v>
      </c>
      <c r="B313" s="63">
        <v>46029.0</v>
      </c>
      <c r="C313" s="64" t="s">
        <v>316</v>
      </c>
      <c r="D313" s="64" t="s">
        <v>382</v>
      </c>
      <c r="E313" s="65" t="str">
        <f t="array" ref="E313">_xlfn.XLOOKUP(D313,Prices!A:A,Prices!B:B,"-")</f>
        <v>-</v>
      </c>
      <c r="F313" s="10" t="str">
        <f t="shared" si="12"/>
        <v>-</v>
      </c>
      <c r="G313" s="66">
        <v>0.3</v>
      </c>
    </row>
    <row r="314" ht="15.75" customHeight="1">
      <c r="A314" s="63">
        <v>46013.0</v>
      </c>
      <c r="B314" s="63">
        <v>46029.0</v>
      </c>
      <c r="C314" s="64" t="s">
        <v>316</v>
      </c>
      <c r="D314" s="64" t="s">
        <v>0</v>
      </c>
      <c r="E314" s="65">
        <f t="array" ref="E314">_xlfn.XLOOKUP(D314,Prices!A:A,Prices!B:B,"-")</f>
        <v>39.99</v>
      </c>
      <c r="F314" s="10">
        <f t="shared" si="12"/>
        <v>11.997</v>
      </c>
      <c r="G314" s="66">
        <v>0.7</v>
      </c>
    </row>
    <row r="315" ht="15.75" customHeight="1">
      <c r="A315" s="63">
        <v>46027.0</v>
      </c>
      <c r="B315" s="63">
        <v>46043.0</v>
      </c>
      <c r="C315" s="64" t="s">
        <v>317</v>
      </c>
      <c r="D315" s="64" t="s">
        <v>5</v>
      </c>
      <c r="E315" s="65">
        <f t="array" ref="E315">_xlfn.XLOOKUP(D315,Prices!A:A,Prices!B:B,"-")</f>
        <v>49.99</v>
      </c>
      <c r="F315" s="10">
        <f t="shared" si="12"/>
        <v>14.997</v>
      </c>
      <c r="G315" s="66">
        <v>0.7</v>
      </c>
    </row>
    <row r="316" ht="15.75" customHeight="1">
      <c r="A316" s="63">
        <v>46027.0</v>
      </c>
      <c r="B316" s="63">
        <v>46043.0</v>
      </c>
      <c r="C316" s="64" t="s">
        <v>317</v>
      </c>
      <c r="D316" s="64" t="s">
        <v>377</v>
      </c>
      <c r="E316" s="65" t="s">
        <v>4</v>
      </c>
      <c r="F316" s="8" t="s">
        <v>4</v>
      </c>
      <c r="G316" s="66">
        <v>0.3</v>
      </c>
    </row>
    <row r="317" ht="15.75" customHeight="1">
      <c r="A317" s="63">
        <v>46027.0</v>
      </c>
      <c r="B317" s="63">
        <v>46043.0</v>
      </c>
      <c r="C317" s="64" t="s">
        <v>317</v>
      </c>
      <c r="D317" s="64" t="s">
        <v>395</v>
      </c>
      <c r="E317" s="65" t="s">
        <v>4</v>
      </c>
      <c r="F317" s="8" t="s">
        <v>4</v>
      </c>
      <c r="G317" s="66">
        <v>0.2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G1"/>
    <mergeCell ref="A3:G3"/>
    <mergeCell ref="A121:G121"/>
    <mergeCell ref="A226:G226"/>
  </mergeCells>
  <drawing r:id="rId1"/>
  <tableParts count="2">
    <tablePart r:id="rId4"/>
    <tablePart r:id="rId5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8.0"/>
    <col customWidth="1" min="3" max="3" width="7.25"/>
    <col customWidth="1" min="4" max="4" width="29.88"/>
    <col customWidth="1" min="5" max="5" width="40.63"/>
    <col customWidth="1" min="6" max="6" width="17.0"/>
    <col customWidth="1" min="7" max="7" width="15.88"/>
    <col customWidth="1" min="8" max="8" width="17.5"/>
  </cols>
  <sheetData>
    <row r="1" ht="36.75" customHeight="1">
      <c r="A1" s="2">
        <v>2024.0</v>
      </c>
      <c r="I1" s="92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</row>
    <row r="2" ht="36.75" customHeight="1">
      <c r="A2" s="4" t="s">
        <v>506</v>
      </c>
      <c r="B2" s="4" t="s">
        <v>2</v>
      </c>
      <c r="C2" s="4" t="s">
        <v>6</v>
      </c>
      <c r="D2" s="4" t="s">
        <v>7</v>
      </c>
      <c r="E2" s="4" t="s">
        <v>8</v>
      </c>
      <c r="F2" s="7" t="s">
        <v>9</v>
      </c>
      <c r="G2" s="7" t="s">
        <v>10</v>
      </c>
      <c r="H2" s="7" t="s">
        <v>11</v>
      </c>
      <c r="I2" s="92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</row>
    <row r="3" ht="15.75" customHeight="1">
      <c r="A3" s="9" t="s">
        <v>45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</row>
    <row r="4" ht="15.75" customHeight="1">
      <c r="A4" s="1" t="s">
        <v>509</v>
      </c>
      <c r="B4" s="12">
        <v>45313.0</v>
      </c>
      <c r="C4" s="12">
        <v>45327.0</v>
      </c>
      <c r="D4" s="1" t="s">
        <v>510</v>
      </c>
      <c r="E4" s="56" t="s">
        <v>239</v>
      </c>
      <c r="F4" s="56" t="s">
        <v>89</v>
      </c>
      <c r="G4" s="14" t="s">
        <v>169</v>
      </c>
      <c r="H4" s="57">
        <v>0.67</v>
      </c>
      <c r="I4" s="94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</row>
    <row r="5" ht="15.75" customHeight="1">
      <c r="A5" s="1" t="s">
        <v>509</v>
      </c>
      <c r="B5" s="12">
        <v>45313.0</v>
      </c>
      <c r="C5" s="12">
        <v>45327.0</v>
      </c>
      <c r="D5" s="1" t="s">
        <v>510</v>
      </c>
      <c r="E5" s="56" t="s">
        <v>384</v>
      </c>
      <c r="F5" s="58" t="s">
        <v>88</v>
      </c>
      <c r="G5" s="58" t="s">
        <v>280</v>
      </c>
      <c r="H5" s="57">
        <v>0.6</v>
      </c>
      <c r="I5" s="94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</row>
    <row r="6" ht="15.75" customHeight="1">
      <c r="A6" s="1" t="s">
        <v>509</v>
      </c>
      <c r="B6" s="12">
        <v>45313.0</v>
      </c>
      <c r="C6" s="12">
        <v>45327.0</v>
      </c>
      <c r="D6" s="1" t="s">
        <v>510</v>
      </c>
      <c r="E6" s="56" t="s">
        <v>253</v>
      </c>
      <c r="F6" s="58" t="s">
        <v>132</v>
      </c>
      <c r="G6" s="58" t="s">
        <v>512</v>
      </c>
      <c r="H6" s="57">
        <v>0.55</v>
      </c>
      <c r="I6" s="94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</row>
    <row r="7" ht="15.75" customHeight="1">
      <c r="A7" s="1" t="s">
        <v>509</v>
      </c>
      <c r="B7" s="12">
        <v>45313.0</v>
      </c>
      <c r="C7" s="12">
        <v>45327.0</v>
      </c>
      <c r="D7" s="1" t="s">
        <v>510</v>
      </c>
      <c r="E7" s="56" t="s">
        <v>257</v>
      </c>
      <c r="F7" s="58" t="s">
        <v>179</v>
      </c>
      <c r="G7" s="15" t="s">
        <v>513</v>
      </c>
      <c r="H7" s="57">
        <v>0.2</v>
      </c>
      <c r="I7" s="94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</row>
    <row r="8" ht="15.75" customHeight="1">
      <c r="A8" s="1" t="s">
        <v>509</v>
      </c>
      <c r="B8" s="12">
        <v>45313.0</v>
      </c>
      <c r="C8" s="12">
        <v>45327.0</v>
      </c>
      <c r="D8" s="1" t="s">
        <v>510</v>
      </c>
      <c r="E8" s="56" t="s">
        <v>260</v>
      </c>
      <c r="F8" s="58" t="s">
        <v>244</v>
      </c>
      <c r="G8" s="15" t="s">
        <v>130</v>
      </c>
      <c r="H8" s="57">
        <v>0.4</v>
      </c>
      <c r="I8" s="94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</row>
    <row r="9" ht="15.75" customHeight="1">
      <c r="A9" s="1" t="s">
        <v>509</v>
      </c>
      <c r="B9" s="12">
        <v>45313.0</v>
      </c>
      <c r="C9" s="12">
        <v>45327.0</v>
      </c>
      <c r="D9" s="1" t="s">
        <v>510</v>
      </c>
      <c r="E9" s="56" t="s">
        <v>266</v>
      </c>
      <c r="F9" s="58" t="s">
        <v>89</v>
      </c>
      <c r="G9" s="15" t="s">
        <v>399</v>
      </c>
      <c r="H9" s="57">
        <v>0.4</v>
      </c>
      <c r="I9" s="94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</row>
    <row r="10" ht="15.75" customHeight="1">
      <c r="A10" s="1" t="s">
        <v>509</v>
      </c>
      <c r="B10" s="12">
        <v>45313.0</v>
      </c>
      <c r="C10" s="12">
        <v>45327.0</v>
      </c>
      <c r="D10" s="1" t="s">
        <v>510</v>
      </c>
      <c r="E10" s="56" t="s">
        <v>271</v>
      </c>
      <c r="F10" s="58" t="s">
        <v>96</v>
      </c>
      <c r="G10" s="58" t="s">
        <v>96</v>
      </c>
      <c r="H10" s="57">
        <v>0.0</v>
      </c>
      <c r="I10" s="94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</row>
    <row r="11" ht="15.75" customHeight="1">
      <c r="A11" s="1" t="s">
        <v>509</v>
      </c>
      <c r="B11" s="12">
        <v>45313.0</v>
      </c>
      <c r="C11" s="12">
        <v>45327.0</v>
      </c>
      <c r="D11" s="1" t="s">
        <v>510</v>
      </c>
      <c r="E11" s="56" t="s">
        <v>274</v>
      </c>
      <c r="F11" s="58" t="s">
        <v>133</v>
      </c>
      <c r="G11" s="58" t="s">
        <v>514</v>
      </c>
      <c r="H11" s="57">
        <v>0.35</v>
      </c>
      <c r="I11" s="94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</row>
    <row r="12" ht="15.75" customHeight="1">
      <c r="A12" s="1" t="s">
        <v>509</v>
      </c>
      <c r="B12" s="12">
        <v>45313.0</v>
      </c>
      <c r="C12" s="12">
        <v>45327.0</v>
      </c>
      <c r="D12" s="1" t="s">
        <v>510</v>
      </c>
      <c r="E12" s="56" t="s">
        <v>501</v>
      </c>
      <c r="F12" s="56" t="s">
        <v>132</v>
      </c>
      <c r="G12" s="56" t="s">
        <v>132</v>
      </c>
      <c r="H12" s="95">
        <v>0.0</v>
      </c>
      <c r="I12" s="94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</row>
    <row r="13" ht="15.75" customHeight="1">
      <c r="A13" s="26"/>
      <c r="B13" s="26"/>
      <c r="C13" s="26"/>
      <c r="D13" s="26"/>
      <c r="E13" s="26"/>
      <c r="F13" s="26"/>
      <c r="G13" s="26"/>
      <c r="H13" s="26"/>
      <c r="I13" s="94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</row>
    <row r="14" ht="15.75" customHeight="1">
      <c r="A14" s="1" t="s">
        <v>509</v>
      </c>
      <c r="B14" s="12">
        <v>45365.0</v>
      </c>
      <c r="C14" s="12">
        <v>45372.0</v>
      </c>
      <c r="D14" s="1" t="s">
        <v>515</v>
      </c>
      <c r="E14" s="56" t="s">
        <v>239</v>
      </c>
      <c r="F14" s="56" t="s">
        <v>89</v>
      </c>
      <c r="G14" s="14" t="s">
        <v>169</v>
      </c>
      <c r="H14" s="57">
        <v>0.67</v>
      </c>
      <c r="I14" s="96" t="s">
        <v>516</v>
      </c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</row>
    <row r="15" ht="15.75" customHeight="1">
      <c r="A15" s="1" t="s">
        <v>509</v>
      </c>
      <c r="B15" s="12">
        <v>45365.0</v>
      </c>
      <c r="C15" s="12">
        <v>45372.0</v>
      </c>
      <c r="D15" s="1" t="s">
        <v>515</v>
      </c>
      <c r="E15" s="56" t="s">
        <v>384</v>
      </c>
      <c r="F15" s="58" t="s">
        <v>88</v>
      </c>
      <c r="G15" s="58" t="s">
        <v>280</v>
      </c>
      <c r="H15" s="57">
        <v>0.6</v>
      </c>
      <c r="I15" s="97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</row>
    <row r="16" ht="15.75" customHeight="1">
      <c r="A16" s="1" t="s">
        <v>509</v>
      </c>
      <c r="B16" s="12">
        <v>45365.0</v>
      </c>
      <c r="C16" s="12">
        <v>45372.0</v>
      </c>
      <c r="D16" s="1" t="s">
        <v>515</v>
      </c>
      <c r="E16" s="56" t="s">
        <v>253</v>
      </c>
      <c r="F16" s="58" t="s">
        <v>132</v>
      </c>
      <c r="G16" s="58" t="s">
        <v>512</v>
      </c>
      <c r="H16" s="57">
        <v>0.55</v>
      </c>
      <c r="I16" s="97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</row>
    <row r="17" ht="15.75" customHeight="1">
      <c r="A17" s="1" t="s">
        <v>509</v>
      </c>
      <c r="B17" s="12">
        <v>45365.0</v>
      </c>
      <c r="C17" s="12">
        <v>45372.0</v>
      </c>
      <c r="D17" s="1" t="s">
        <v>515</v>
      </c>
      <c r="E17" s="56" t="s">
        <v>257</v>
      </c>
      <c r="F17" s="58" t="s">
        <v>179</v>
      </c>
      <c r="G17" s="15" t="s">
        <v>513</v>
      </c>
      <c r="H17" s="57">
        <v>0.2</v>
      </c>
      <c r="I17" s="97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</row>
    <row r="18" ht="15.75" customHeight="1">
      <c r="A18" s="1" t="s">
        <v>509</v>
      </c>
      <c r="B18" s="12">
        <v>45365.0</v>
      </c>
      <c r="C18" s="12">
        <v>45372.0</v>
      </c>
      <c r="D18" s="1" t="s">
        <v>515</v>
      </c>
      <c r="E18" s="56" t="s">
        <v>260</v>
      </c>
      <c r="F18" s="58" t="s">
        <v>244</v>
      </c>
      <c r="G18" s="15" t="s">
        <v>130</v>
      </c>
      <c r="H18" s="57">
        <v>0.4</v>
      </c>
      <c r="I18" s="97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</row>
    <row r="19" ht="15.75" customHeight="1">
      <c r="A19" s="1" t="s">
        <v>509</v>
      </c>
      <c r="B19" s="12">
        <v>45365.0</v>
      </c>
      <c r="C19" s="12">
        <v>45372.0</v>
      </c>
      <c r="D19" s="1" t="s">
        <v>515</v>
      </c>
      <c r="E19" s="56" t="s">
        <v>266</v>
      </c>
      <c r="F19" s="58" t="s">
        <v>89</v>
      </c>
      <c r="G19" s="15" t="s">
        <v>399</v>
      </c>
      <c r="H19" s="57">
        <v>0.4</v>
      </c>
      <c r="I19" s="97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</row>
    <row r="20" ht="15.75" customHeight="1">
      <c r="A20" s="1" t="s">
        <v>509</v>
      </c>
      <c r="B20" s="12">
        <v>45365.0</v>
      </c>
      <c r="C20" s="12">
        <v>45372.0</v>
      </c>
      <c r="D20" s="1" t="s">
        <v>515</v>
      </c>
      <c r="E20" s="56" t="s">
        <v>271</v>
      </c>
      <c r="F20" s="58" t="s">
        <v>96</v>
      </c>
      <c r="G20" s="58" t="s">
        <v>96</v>
      </c>
      <c r="H20" s="57">
        <v>0.0</v>
      </c>
      <c r="I20" s="97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</row>
    <row r="21" ht="15.75" customHeight="1">
      <c r="A21" s="1" t="s">
        <v>509</v>
      </c>
      <c r="B21" s="12">
        <v>45365.0</v>
      </c>
      <c r="C21" s="12">
        <v>45372.0</v>
      </c>
      <c r="D21" s="1" t="s">
        <v>515</v>
      </c>
      <c r="E21" s="56" t="s">
        <v>274</v>
      </c>
      <c r="F21" s="58" t="s">
        <v>133</v>
      </c>
      <c r="G21" s="58" t="s">
        <v>514</v>
      </c>
      <c r="H21" s="57">
        <v>0.35</v>
      </c>
      <c r="I21" s="97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</row>
    <row r="22" ht="15.75" customHeight="1">
      <c r="A22" s="1" t="s">
        <v>509</v>
      </c>
      <c r="B22" s="12">
        <v>45365.0</v>
      </c>
      <c r="C22" s="12">
        <v>45372.0</v>
      </c>
      <c r="D22" s="1" t="s">
        <v>515</v>
      </c>
      <c r="E22" s="56" t="s">
        <v>501</v>
      </c>
      <c r="F22" s="56" t="s">
        <v>132</v>
      </c>
      <c r="G22" s="56" t="s">
        <v>132</v>
      </c>
      <c r="H22" s="95">
        <v>0.0</v>
      </c>
      <c r="I22" s="98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</row>
    <row r="23" ht="15.75" customHeight="1">
      <c r="A23" s="26"/>
      <c r="B23" s="26"/>
      <c r="C23" s="26"/>
      <c r="D23" s="26"/>
      <c r="E23" s="26"/>
      <c r="F23" s="26"/>
      <c r="G23" s="26"/>
      <c r="H23" s="26"/>
      <c r="I23" s="94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</row>
    <row r="24" ht="15.75" customHeight="1">
      <c r="A24" s="1" t="s">
        <v>509</v>
      </c>
      <c r="B24" s="12">
        <v>45357.0</v>
      </c>
      <c r="C24" s="12">
        <v>45366.0</v>
      </c>
      <c r="D24" s="1" t="s">
        <v>504</v>
      </c>
      <c r="E24" s="56" t="s">
        <v>239</v>
      </c>
      <c r="F24" s="56" t="s">
        <v>89</v>
      </c>
      <c r="G24" s="14" t="s">
        <v>169</v>
      </c>
      <c r="H24" s="57">
        <v>0.67</v>
      </c>
      <c r="I24" s="96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</row>
    <row r="25" ht="15.75" customHeight="1">
      <c r="A25" s="1" t="s">
        <v>509</v>
      </c>
      <c r="B25" s="12">
        <v>45357.0</v>
      </c>
      <c r="C25" s="12">
        <v>45366.0</v>
      </c>
      <c r="D25" s="1" t="s">
        <v>504</v>
      </c>
      <c r="E25" s="56" t="s">
        <v>384</v>
      </c>
      <c r="F25" s="58" t="s">
        <v>88</v>
      </c>
      <c r="G25" s="58" t="s">
        <v>280</v>
      </c>
      <c r="H25" s="57">
        <v>0.6</v>
      </c>
      <c r="I25" s="97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</row>
    <row r="26" ht="15.75" customHeight="1">
      <c r="A26" s="1" t="s">
        <v>509</v>
      </c>
      <c r="B26" s="12">
        <v>45357.0</v>
      </c>
      <c r="C26" s="12">
        <v>45366.0</v>
      </c>
      <c r="D26" s="1" t="s">
        <v>504</v>
      </c>
      <c r="E26" s="56" t="s">
        <v>253</v>
      </c>
      <c r="F26" s="58" t="s">
        <v>132</v>
      </c>
      <c r="G26" s="58" t="s">
        <v>512</v>
      </c>
      <c r="H26" s="57">
        <v>0.55</v>
      </c>
      <c r="I26" s="97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</row>
    <row r="27" ht="15.75" customHeight="1">
      <c r="A27" s="1" t="s">
        <v>509</v>
      </c>
      <c r="B27" s="12">
        <v>45357.0</v>
      </c>
      <c r="C27" s="12">
        <v>45366.0</v>
      </c>
      <c r="D27" s="1" t="s">
        <v>504</v>
      </c>
      <c r="E27" s="56" t="s">
        <v>257</v>
      </c>
      <c r="F27" s="58" t="s">
        <v>179</v>
      </c>
      <c r="G27" s="15" t="s">
        <v>513</v>
      </c>
      <c r="H27" s="57">
        <v>0.2</v>
      </c>
      <c r="I27" s="97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</row>
    <row r="28" ht="15.75" customHeight="1">
      <c r="A28" s="1" t="s">
        <v>509</v>
      </c>
      <c r="B28" s="12">
        <v>45357.0</v>
      </c>
      <c r="C28" s="12">
        <v>45366.0</v>
      </c>
      <c r="D28" s="1" t="s">
        <v>504</v>
      </c>
      <c r="E28" s="56" t="s">
        <v>260</v>
      </c>
      <c r="F28" s="58" t="s">
        <v>244</v>
      </c>
      <c r="G28" s="15" t="s">
        <v>130</v>
      </c>
      <c r="H28" s="57">
        <v>0.4</v>
      </c>
      <c r="I28" s="97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</row>
    <row r="29" ht="15.75" customHeight="1">
      <c r="A29" s="1" t="s">
        <v>509</v>
      </c>
      <c r="B29" s="12">
        <v>45357.0</v>
      </c>
      <c r="C29" s="12">
        <v>45366.0</v>
      </c>
      <c r="D29" s="1" t="s">
        <v>504</v>
      </c>
      <c r="E29" s="56" t="s">
        <v>266</v>
      </c>
      <c r="F29" s="58" t="s">
        <v>89</v>
      </c>
      <c r="G29" s="15" t="s">
        <v>399</v>
      </c>
      <c r="H29" s="57">
        <v>0.4</v>
      </c>
      <c r="I29" s="97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</row>
    <row r="30" ht="15.75" customHeight="1">
      <c r="A30" s="1" t="s">
        <v>509</v>
      </c>
      <c r="B30" s="12">
        <v>45357.0</v>
      </c>
      <c r="C30" s="12">
        <v>45366.0</v>
      </c>
      <c r="D30" s="1" t="s">
        <v>504</v>
      </c>
      <c r="E30" s="56" t="s">
        <v>271</v>
      </c>
      <c r="F30" s="58" t="s">
        <v>96</v>
      </c>
      <c r="G30" s="58" t="s">
        <v>96</v>
      </c>
      <c r="H30" s="57">
        <v>0.0</v>
      </c>
      <c r="I30" s="97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</row>
    <row r="31" ht="15.75" customHeight="1">
      <c r="A31" s="1" t="s">
        <v>509</v>
      </c>
      <c r="B31" s="12">
        <v>45357.0</v>
      </c>
      <c r="C31" s="12">
        <v>45366.0</v>
      </c>
      <c r="D31" s="1" t="s">
        <v>504</v>
      </c>
      <c r="E31" s="56" t="s">
        <v>274</v>
      </c>
      <c r="F31" s="58" t="s">
        <v>133</v>
      </c>
      <c r="G31" s="58" t="s">
        <v>514</v>
      </c>
      <c r="H31" s="57">
        <v>0.35</v>
      </c>
      <c r="I31" s="97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</row>
    <row r="32" ht="15.75" customHeight="1">
      <c r="A32" s="1" t="s">
        <v>509</v>
      </c>
      <c r="B32" s="12">
        <v>45357.0</v>
      </c>
      <c r="C32" s="12">
        <v>45366.0</v>
      </c>
      <c r="D32" s="1" t="s">
        <v>504</v>
      </c>
      <c r="E32" s="56" t="s">
        <v>501</v>
      </c>
      <c r="F32" s="56" t="s">
        <v>132</v>
      </c>
      <c r="G32" s="56" t="s">
        <v>132</v>
      </c>
      <c r="H32" s="95">
        <v>0.0</v>
      </c>
      <c r="I32" s="98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</row>
    <row r="33" ht="15.75" customHeight="1">
      <c r="A33" s="26"/>
      <c r="B33" s="26"/>
      <c r="C33" s="26"/>
      <c r="D33" s="26"/>
      <c r="E33" s="26"/>
      <c r="F33" s="26"/>
      <c r="G33" s="26"/>
      <c r="H33" s="26"/>
      <c r="I33" s="94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</row>
    <row r="34" ht="15.75" customHeight="1">
      <c r="A34" s="1" t="s">
        <v>509</v>
      </c>
      <c r="B34" s="12">
        <v>45397.0</v>
      </c>
      <c r="C34" s="12">
        <v>45411.0</v>
      </c>
      <c r="D34" s="1" t="s">
        <v>504</v>
      </c>
      <c r="E34" s="56" t="s">
        <v>239</v>
      </c>
      <c r="F34" s="56">
        <v>29.99</v>
      </c>
      <c r="G34" s="15">
        <f t="shared" ref="G34:G42" si="1">F34*(1-H34)</f>
        <v>9.8967</v>
      </c>
      <c r="H34" s="57">
        <v>0.67</v>
      </c>
      <c r="I34" s="96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</row>
    <row r="35" ht="15.75" customHeight="1">
      <c r="A35" s="1" t="s">
        <v>509</v>
      </c>
      <c r="B35" s="12">
        <v>45397.0</v>
      </c>
      <c r="C35" s="12">
        <v>45411.0</v>
      </c>
      <c r="D35" s="1" t="s">
        <v>504</v>
      </c>
      <c r="E35" s="56" t="s">
        <v>384</v>
      </c>
      <c r="F35" s="58">
        <v>39.99</v>
      </c>
      <c r="G35" s="15">
        <f t="shared" si="1"/>
        <v>14.7963</v>
      </c>
      <c r="H35" s="57">
        <v>0.63</v>
      </c>
      <c r="I35" s="97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</row>
    <row r="36" ht="15.75" customHeight="1">
      <c r="A36" s="1" t="s">
        <v>509</v>
      </c>
      <c r="B36" s="12">
        <v>45397.0</v>
      </c>
      <c r="C36" s="12">
        <v>45411.0</v>
      </c>
      <c r="D36" s="1" t="s">
        <v>504</v>
      </c>
      <c r="E36" s="56" t="s">
        <v>253</v>
      </c>
      <c r="F36" s="58">
        <v>59.99</v>
      </c>
      <c r="G36" s="15">
        <f t="shared" si="1"/>
        <v>24.5959</v>
      </c>
      <c r="H36" s="57">
        <v>0.59</v>
      </c>
      <c r="I36" s="97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</row>
    <row r="37" ht="15.75" customHeight="1">
      <c r="A37" s="1" t="s">
        <v>509</v>
      </c>
      <c r="B37" s="12">
        <v>45397.0</v>
      </c>
      <c r="C37" s="12">
        <v>45411.0</v>
      </c>
      <c r="D37" s="1" t="s">
        <v>504</v>
      </c>
      <c r="E37" s="56" t="s">
        <v>257</v>
      </c>
      <c r="F37" s="58">
        <v>69.99</v>
      </c>
      <c r="G37" s="15">
        <f t="shared" si="1"/>
        <v>48.993</v>
      </c>
      <c r="H37" s="57">
        <v>0.3</v>
      </c>
      <c r="I37" s="97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</row>
    <row r="38" ht="15.75" customHeight="1">
      <c r="A38" s="1" t="s">
        <v>509</v>
      </c>
      <c r="B38" s="12">
        <v>45397.0</v>
      </c>
      <c r="C38" s="12">
        <v>45411.0</v>
      </c>
      <c r="D38" s="1" t="s">
        <v>504</v>
      </c>
      <c r="E38" s="56" t="s">
        <v>260</v>
      </c>
      <c r="F38" s="58">
        <v>24.99</v>
      </c>
      <c r="G38" s="15">
        <f t="shared" si="1"/>
        <v>14.994</v>
      </c>
      <c r="H38" s="57">
        <v>0.4</v>
      </c>
      <c r="I38" s="97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</row>
    <row r="39" ht="15.75" customHeight="1">
      <c r="A39" s="1" t="s">
        <v>509</v>
      </c>
      <c r="B39" s="12">
        <v>45397.0</v>
      </c>
      <c r="C39" s="12">
        <v>45411.0</v>
      </c>
      <c r="D39" s="1" t="s">
        <v>504</v>
      </c>
      <c r="E39" s="56" t="s">
        <v>266</v>
      </c>
      <c r="F39" s="58">
        <v>29.99</v>
      </c>
      <c r="G39" s="15">
        <f t="shared" si="1"/>
        <v>17.994</v>
      </c>
      <c r="H39" s="57">
        <v>0.4</v>
      </c>
      <c r="I39" s="97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</row>
    <row r="40" ht="15.75" customHeight="1">
      <c r="A40" s="1" t="s">
        <v>509</v>
      </c>
      <c r="B40" s="12">
        <v>45397.0</v>
      </c>
      <c r="C40" s="12">
        <v>45411.0</v>
      </c>
      <c r="D40" s="1" t="s">
        <v>504</v>
      </c>
      <c r="E40" s="56" t="s">
        <v>271</v>
      </c>
      <c r="F40" s="58">
        <v>34.99</v>
      </c>
      <c r="G40" s="15">
        <f t="shared" si="1"/>
        <v>34.99</v>
      </c>
      <c r="H40" s="57">
        <v>0.0</v>
      </c>
      <c r="I40" s="97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</row>
    <row r="41" ht="15.75" customHeight="1">
      <c r="A41" s="1" t="s">
        <v>509</v>
      </c>
      <c r="B41" s="12">
        <v>45397.0</v>
      </c>
      <c r="C41" s="12">
        <v>45411.0</v>
      </c>
      <c r="D41" s="1" t="s">
        <v>504</v>
      </c>
      <c r="E41" s="56" t="s">
        <v>274</v>
      </c>
      <c r="F41" s="58">
        <v>44.99</v>
      </c>
      <c r="G41" s="15">
        <f t="shared" si="1"/>
        <v>29.2435</v>
      </c>
      <c r="H41" s="57">
        <v>0.35</v>
      </c>
      <c r="I41" s="97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</row>
    <row r="42" ht="15.75" customHeight="1">
      <c r="A42" s="1" t="s">
        <v>509</v>
      </c>
      <c r="B42" s="12">
        <v>45397.0</v>
      </c>
      <c r="C42" s="12">
        <v>45411.0</v>
      </c>
      <c r="D42" s="1" t="s">
        <v>504</v>
      </c>
      <c r="E42" s="56" t="s">
        <v>501</v>
      </c>
      <c r="F42" s="56">
        <v>59.99</v>
      </c>
      <c r="G42" s="15">
        <f t="shared" si="1"/>
        <v>59.99</v>
      </c>
      <c r="H42" s="95">
        <v>0.0</v>
      </c>
      <c r="I42" s="98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</row>
    <row r="43" ht="15.75" customHeight="1">
      <c r="A43" s="26"/>
      <c r="B43" s="26"/>
      <c r="C43" s="26"/>
      <c r="D43" s="26"/>
      <c r="E43" s="26"/>
      <c r="F43" s="26"/>
      <c r="G43" s="26"/>
      <c r="H43" s="26"/>
      <c r="I43" s="94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</row>
    <row r="44" ht="15.75" customHeight="1">
      <c r="A44" s="1" t="s">
        <v>509</v>
      </c>
      <c r="B44" s="12">
        <v>45453.0</v>
      </c>
      <c r="C44" s="12">
        <v>45467.0</v>
      </c>
      <c r="D44" s="1" t="s">
        <v>524</v>
      </c>
      <c r="E44" s="56" t="s">
        <v>239</v>
      </c>
      <c r="F44" s="56">
        <v>29.99</v>
      </c>
      <c r="G44" s="14">
        <f t="shared" ref="G44:G52" si="2">F44*(1-H44)</f>
        <v>9.8967</v>
      </c>
      <c r="H44" s="60">
        <v>0.67</v>
      </c>
      <c r="I44" s="96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</row>
    <row r="45" ht="15.75" customHeight="1">
      <c r="A45" s="1" t="s">
        <v>509</v>
      </c>
      <c r="B45" s="12">
        <v>45453.0</v>
      </c>
      <c r="C45" s="12">
        <v>45467.0</v>
      </c>
      <c r="D45" s="1" t="s">
        <v>524</v>
      </c>
      <c r="E45" s="56" t="s">
        <v>384</v>
      </c>
      <c r="F45" s="58">
        <v>39.99</v>
      </c>
      <c r="G45" s="14">
        <f t="shared" si="2"/>
        <v>14.7963</v>
      </c>
      <c r="H45" s="60">
        <v>0.63</v>
      </c>
      <c r="I45" s="97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</row>
    <row r="46" ht="15.75" customHeight="1">
      <c r="A46" s="1" t="s">
        <v>509</v>
      </c>
      <c r="B46" s="12">
        <v>45453.0</v>
      </c>
      <c r="C46" s="12">
        <v>45467.0</v>
      </c>
      <c r="D46" s="1" t="s">
        <v>524</v>
      </c>
      <c r="E46" s="56" t="s">
        <v>253</v>
      </c>
      <c r="F46" s="58">
        <v>59.99</v>
      </c>
      <c r="G46" s="14">
        <f t="shared" si="2"/>
        <v>19.7967</v>
      </c>
      <c r="H46" s="60">
        <v>0.67</v>
      </c>
      <c r="I46" s="97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</row>
    <row r="47" ht="15.75" customHeight="1">
      <c r="A47" s="1" t="s">
        <v>509</v>
      </c>
      <c r="B47" s="12">
        <v>45453.0</v>
      </c>
      <c r="C47" s="12">
        <v>45467.0</v>
      </c>
      <c r="D47" s="1" t="s">
        <v>524</v>
      </c>
      <c r="E47" s="56" t="s">
        <v>257</v>
      </c>
      <c r="F47" s="58">
        <v>69.99</v>
      </c>
      <c r="G47" s="14">
        <f t="shared" si="2"/>
        <v>39.8943</v>
      </c>
      <c r="H47" s="60">
        <v>0.43</v>
      </c>
      <c r="I47" s="97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</row>
    <row r="48" ht="15.75" customHeight="1">
      <c r="A48" s="1" t="s">
        <v>509</v>
      </c>
      <c r="B48" s="12">
        <v>45453.0</v>
      </c>
      <c r="C48" s="12">
        <v>45467.0</v>
      </c>
      <c r="D48" s="1" t="s">
        <v>524</v>
      </c>
      <c r="E48" s="56" t="s">
        <v>260</v>
      </c>
      <c r="F48" s="58">
        <v>24.99</v>
      </c>
      <c r="G48" s="14">
        <f t="shared" si="2"/>
        <v>12.495</v>
      </c>
      <c r="H48" s="60">
        <v>0.5</v>
      </c>
      <c r="I48" s="97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</row>
    <row r="49" ht="15.75" customHeight="1">
      <c r="A49" s="1" t="s">
        <v>509</v>
      </c>
      <c r="B49" s="12">
        <v>45453.0</v>
      </c>
      <c r="C49" s="12">
        <v>45467.0</v>
      </c>
      <c r="D49" s="1" t="s">
        <v>524</v>
      </c>
      <c r="E49" s="56" t="s">
        <v>266</v>
      </c>
      <c r="F49" s="58">
        <v>29.99</v>
      </c>
      <c r="G49" s="14">
        <f t="shared" si="2"/>
        <v>14.995</v>
      </c>
      <c r="H49" s="60">
        <v>0.5</v>
      </c>
      <c r="I49" s="97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</row>
    <row r="50" ht="15.75" customHeight="1">
      <c r="A50" s="1" t="s">
        <v>509</v>
      </c>
      <c r="B50" s="12">
        <v>45453.0</v>
      </c>
      <c r="C50" s="12">
        <v>45467.0</v>
      </c>
      <c r="D50" s="1" t="s">
        <v>524</v>
      </c>
      <c r="E50" s="56" t="s">
        <v>271</v>
      </c>
      <c r="F50" s="58">
        <v>34.99</v>
      </c>
      <c r="G50" s="14">
        <f t="shared" si="2"/>
        <v>27.992</v>
      </c>
      <c r="H50" s="60">
        <v>0.2</v>
      </c>
      <c r="I50" s="97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</row>
    <row r="51" ht="15.75" customHeight="1">
      <c r="A51" s="1" t="s">
        <v>509</v>
      </c>
      <c r="B51" s="12">
        <v>45453.0</v>
      </c>
      <c r="C51" s="12">
        <v>45467.0</v>
      </c>
      <c r="D51" s="1" t="s">
        <v>524</v>
      </c>
      <c r="E51" s="56" t="s">
        <v>274</v>
      </c>
      <c r="F51" s="58">
        <v>44.99</v>
      </c>
      <c r="G51" s="14">
        <f t="shared" si="2"/>
        <v>22.495</v>
      </c>
      <c r="H51" s="60">
        <v>0.5</v>
      </c>
      <c r="I51" s="97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</row>
    <row r="52" ht="15.75" customHeight="1">
      <c r="A52" s="1" t="s">
        <v>509</v>
      </c>
      <c r="B52" s="12">
        <v>45453.0</v>
      </c>
      <c r="C52" s="12">
        <v>45467.0</v>
      </c>
      <c r="D52" s="1" t="s">
        <v>524</v>
      </c>
      <c r="E52" s="56" t="s">
        <v>501</v>
      </c>
      <c r="F52" s="56">
        <v>59.99</v>
      </c>
      <c r="G52" s="14">
        <f t="shared" si="2"/>
        <v>44.9925</v>
      </c>
      <c r="H52" s="60">
        <v>0.25</v>
      </c>
      <c r="I52" s="98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</row>
    <row r="53" ht="15.75" customHeight="1">
      <c r="A53" s="26"/>
      <c r="B53" s="26"/>
      <c r="C53" s="26"/>
      <c r="D53" s="26"/>
      <c r="E53" s="26"/>
      <c r="F53" s="26"/>
      <c r="G53" s="26"/>
      <c r="H53" s="26"/>
      <c r="I53" s="94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</row>
    <row r="54" ht="15.75" customHeight="1">
      <c r="A54" s="1" t="s">
        <v>509</v>
      </c>
      <c r="B54" s="12">
        <v>45470.0</v>
      </c>
      <c r="C54" s="12">
        <v>45484.0</v>
      </c>
      <c r="D54" s="1" t="s">
        <v>56</v>
      </c>
      <c r="E54" s="56" t="s">
        <v>239</v>
      </c>
      <c r="F54" s="56">
        <v>29.99</v>
      </c>
      <c r="G54" s="14">
        <f t="shared" ref="G54:G62" si="3">F54*(1-H54)</f>
        <v>9.8967</v>
      </c>
      <c r="H54" s="57">
        <v>0.67</v>
      </c>
      <c r="I54" s="96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</row>
    <row r="55" ht="15.75" customHeight="1">
      <c r="A55" s="1" t="s">
        <v>509</v>
      </c>
      <c r="B55" s="12">
        <v>45470.0</v>
      </c>
      <c r="C55" s="12">
        <v>45484.0</v>
      </c>
      <c r="D55" s="1" t="s">
        <v>56</v>
      </c>
      <c r="E55" s="56" t="s">
        <v>384</v>
      </c>
      <c r="F55" s="58">
        <v>39.99</v>
      </c>
      <c r="G55" s="14">
        <f t="shared" si="3"/>
        <v>14.7963</v>
      </c>
      <c r="H55" s="57">
        <v>0.63</v>
      </c>
      <c r="I55" s="97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</row>
    <row r="56" ht="15.75" customHeight="1">
      <c r="A56" s="1" t="s">
        <v>509</v>
      </c>
      <c r="B56" s="12">
        <v>45470.0</v>
      </c>
      <c r="C56" s="12">
        <v>45484.0</v>
      </c>
      <c r="D56" s="1" t="s">
        <v>56</v>
      </c>
      <c r="E56" s="56" t="s">
        <v>253</v>
      </c>
      <c r="F56" s="58">
        <v>59.99</v>
      </c>
      <c r="G56" s="14">
        <f t="shared" si="3"/>
        <v>19.7967</v>
      </c>
      <c r="H56" s="57">
        <v>0.67</v>
      </c>
      <c r="I56" s="97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</row>
    <row r="57" ht="15.75" customHeight="1">
      <c r="A57" s="1" t="s">
        <v>509</v>
      </c>
      <c r="B57" s="12">
        <v>45470.0</v>
      </c>
      <c r="C57" s="12">
        <v>45484.0</v>
      </c>
      <c r="D57" s="1" t="s">
        <v>56</v>
      </c>
      <c r="E57" s="56" t="s">
        <v>257</v>
      </c>
      <c r="F57" s="58">
        <v>69.99</v>
      </c>
      <c r="G57" s="14">
        <f t="shared" si="3"/>
        <v>39.8943</v>
      </c>
      <c r="H57" s="57">
        <v>0.43</v>
      </c>
      <c r="I57" s="97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</row>
    <row r="58" ht="15.75" customHeight="1">
      <c r="A58" s="1" t="s">
        <v>509</v>
      </c>
      <c r="B58" s="12">
        <v>45470.0</v>
      </c>
      <c r="C58" s="12">
        <v>45484.0</v>
      </c>
      <c r="D58" s="1" t="s">
        <v>56</v>
      </c>
      <c r="E58" s="56" t="s">
        <v>260</v>
      </c>
      <c r="F58" s="58">
        <v>24.99</v>
      </c>
      <c r="G58" s="14">
        <f t="shared" si="3"/>
        <v>12.495</v>
      </c>
      <c r="H58" s="57">
        <v>0.5</v>
      </c>
      <c r="I58" s="97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</row>
    <row r="59" ht="15.75" customHeight="1">
      <c r="A59" s="1" t="s">
        <v>509</v>
      </c>
      <c r="B59" s="12">
        <v>45470.0</v>
      </c>
      <c r="C59" s="12">
        <v>45484.0</v>
      </c>
      <c r="D59" s="1" t="s">
        <v>56</v>
      </c>
      <c r="E59" s="56" t="s">
        <v>266</v>
      </c>
      <c r="F59" s="58">
        <v>29.99</v>
      </c>
      <c r="G59" s="14">
        <f t="shared" si="3"/>
        <v>14.995</v>
      </c>
      <c r="H59" s="57">
        <v>0.5</v>
      </c>
      <c r="I59" s="97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</row>
    <row r="60" ht="15.75" customHeight="1">
      <c r="A60" s="1" t="s">
        <v>509</v>
      </c>
      <c r="B60" s="12">
        <v>45470.0</v>
      </c>
      <c r="C60" s="12">
        <v>45484.0</v>
      </c>
      <c r="D60" s="1" t="s">
        <v>56</v>
      </c>
      <c r="E60" s="56" t="s">
        <v>271</v>
      </c>
      <c r="F60" s="58">
        <v>34.99</v>
      </c>
      <c r="G60" s="14">
        <f t="shared" si="3"/>
        <v>27.992</v>
      </c>
      <c r="H60" s="57">
        <v>0.2</v>
      </c>
      <c r="I60" s="97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</row>
    <row r="61" ht="15.75" customHeight="1">
      <c r="A61" s="1" t="s">
        <v>509</v>
      </c>
      <c r="B61" s="12">
        <v>45470.0</v>
      </c>
      <c r="C61" s="12">
        <v>45484.0</v>
      </c>
      <c r="D61" s="1" t="s">
        <v>56</v>
      </c>
      <c r="E61" s="56" t="s">
        <v>274</v>
      </c>
      <c r="F61" s="58">
        <v>44.99</v>
      </c>
      <c r="G61" s="14">
        <f t="shared" si="3"/>
        <v>22.495</v>
      </c>
      <c r="H61" s="57">
        <v>0.5</v>
      </c>
      <c r="I61" s="97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</row>
    <row r="62" ht="15.75" customHeight="1">
      <c r="A62" s="1" t="s">
        <v>509</v>
      </c>
      <c r="B62" s="12">
        <v>45470.0</v>
      </c>
      <c r="C62" s="12">
        <v>45484.0</v>
      </c>
      <c r="D62" s="1" t="s">
        <v>56</v>
      </c>
      <c r="E62" s="56" t="s">
        <v>501</v>
      </c>
      <c r="F62" s="56">
        <v>59.99</v>
      </c>
      <c r="G62" s="14">
        <f t="shared" si="3"/>
        <v>44.9925</v>
      </c>
      <c r="H62" s="57">
        <v>0.25</v>
      </c>
      <c r="I62" s="98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</row>
    <row r="63" ht="15.75" customHeight="1">
      <c r="A63" s="26"/>
      <c r="B63" s="26"/>
      <c r="C63" s="26"/>
      <c r="D63" s="26"/>
      <c r="E63" s="26"/>
      <c r="F63" s="26"/>
      <c r="G63" s="26"/>
      <c r="H63" s="26"/>
      <c r="I63" s="94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</row>
    <row r="64" ht="15.75" customHeight="1">
      <c r="A64" s="1" t="s">
        <v>509</v>
      </c>
      <c r="B64" s="12">
        <v>45500.0</v>
      </c>
      <c r="C64" s="12">
        <v>45509.0</v>
      </c>
      <c r="D64" s="1" t="s">
        <v>56</v>
      </c>
      <c r="E64" s="56" t="s">
        <v>239</v>
      </c>
      <c r="F64" s="56">
        <v>29.99</v>
      </c>
      <c r="G64" s="14">
        <f t="shared" ref="G64:G72" si="4">F64*(1-H64)</f>
        <v>9.8967</v>
      </c>
      <c r="H64" s="57">
        <v>0.67</v>
      </c>
      <c r="I64" s="96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</row>
    <row r="65" ht="15.75" customHeight="1">
      <c r="A65" s="1" t="s">
        <v>509</v>
      </c>
      <c r="B65" s="12">
        <v>45500.0</v>
      </c>
      <c r="C65" s="12">
        <v>45509.0</v>
      </c>
      <c r="D65" s="1" t="s">
        <v>56</v>
      </c>
      <c r="E65" s="56" t="s">
        <v>384</v>
      </c>
      <c r="F65" s="58">
        <v>39.99</v>
      </c>
      <c r="G65" s="14">
        <f t="shared" si="4"/>
        <v>14.7963</v>
      </c>
      <c r="H65" s="57">
        <v>0.63</v>
      </c>
      <c r="I65" s="97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</row>
    <row r="66" ht="15.75" customHeight="1">
      <c r="A66" s="1" t="s">
        <v>509</v>
      </c>
      <c r="B66" s="12">
        <v>45500.0</v>
      </c>
      <c r="C66" s="12">
        <v>45509.0</v>
      </c>
      <c r="D66" s="1" t="s">
        <v>56</v>
      </c>
      <c r="E66" s="56" t="s">
        <v>253</v>
      </c>
      <c r="F66" s="58">
        <v>59.99</v>
      </c>
      <c r="G66" s="14">
        <f t="shared" si="4"/>
        <v>19.7967</v>
      </c>
      <c r="H66" s="57">
        <v>0.67</v>
      </c>
      <c r="I66" s="97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</row>
    <row r="67" ht="15.75" customHeight="1">
      <c r="A67" s="1" t="s">
        <v>509</v>
      </c>
      <c r="B67" s="12">
        <v>45500.0</v>
      </c>
      <c r="C67" s="12">
        <v>45509.0</v>
      </c>
      <c r="D67" s="1" t="s">
        <v>56</v>
      </c>
      <c r="E67" s="56" t="s">
        <v>257</v>
      </c>
      <c r="F67" s="58">
        <v>69.99</v>
      </c>
      <c r="G67" s="14">
        <f t="shared" si="4"/>
        <v>39.8943</v>
      </c>
      <c r="H67" s="57">
        <v>0.43</v>
      </c>
      <c r="I67" s="97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</row>
    <row r="68" ht="15.75" customHeight="1">
      <c r="A68" s="1" t="s">
        <v>509</v>
      </c>
      <c r="B68" s="12">
        <v>45500.0</v>
      </c>
      <c r="C68" s="12">
        <v>45509.0</v>
      </c>
      <c r="D68" s="1" t="s">
        <v>56</v>
      </c>
      <c r="E68" s="56" t="s">
        <v>260</v>
      </c>
      <c r="F68" s="58">
        <v>24.99</v>
      </c>
      <c r="G68" s="14">
        <f t="shared" si="4"/>
        <v>12.495</v>
      </c>
      <c r="H68" s="57">
        <v>0.5</v>
      </c>
      <c r="I68" s="97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</row>
    <row r="69" ht="15.75" customHeight="1">
      <c r="A69" s="1" t="s">
        <v>509</v>
      </c>
      <c r="B69" s="12">
        <v>45500.0</v>
      </c>
      <c r="C69" s="12">
        <v>45509.0</v>
      </c>
      <c r="D69" s="1" t="s">
        <v>56</v>
      </c>
      <c r="E69" s="56" t="s">
        <v>266</v>
      </c>
      <c r="F69" s="58">
        <v>29.99</v>
      </c>
      <c r="G69" s="14">
        <f t="shared" si="4"/>
        <v>14.995</v>
      </c>
      <c r="H69" s="57">
        <v>0.5</v>
      </c>
      <c r="I69" s="97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</row>
    <row r="70" ht="15.75" customHeight="1">
      <c r="A70" s="1" t="s">
        <v>509</v>
      </c>
      <c r="B70" s="12">
        <v>45500.0</v>
      </c>
      <c r="C70" s="12">
        <v>45509.0</v>
      </c>
      <c r="D70" s="1" t="s">
        <v>56</v>
      </c>
      <c r="E70" s="56" t="s">
        <v>271</v>
      </c>
      <c r="F70" s="58">
        <v>34.99</v>
      </c>
      <c r="G70" s="14">
        <f t="shared" si="4"/>
        <v>27.992</v>
      </c>
      <c r="H70" s="57">
        <v>0.2</v>
      </c>
      <c r="I70" s="97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</row>
    <row r="71" ht="15.75" customHeight="1">
      <c r="A71" s="1" t="s">
        <v>509</v>
      </c>
      <c r="B71" s="12">
        <v>45500.0</v>
      </c>
      <c r="C71" s="12">
        <v>45509.0</v>
      </c>
      <c r="D71" s="1" t="s">
        <v>56</v>
      </c>
      <c r="E71" s="56" t="s">
        <v>274</v>
      </c>
      <c r="F71" s="58">
        <v>44.99</v>
      </c>
      <c r="G71" s="14">
        <f t="shared" si="4"/>
        <v>22.495</v>
      </c>
      <c r="H71" s="57">
        <v>0.5</v>
      </c>
      <c r="I71" s="97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</row>
    <row r="72" ht="15.75" customHeight="1">
      <c r="A72" s="1" t="s">
        <v>509</v>
      </c>
      <c r="B72" s="12">
        <v>45500.0</v>
      </c>
      <c r="C72" s="12">
        <v>45509.0</v>
      </c>
      <c r="D72" s="1" t="s">
        <v>56</v>
      </c>
      <c r="E72" s="56" t="s">
        <v>501</v>
      </c>
      <c r="F72" s="56">
        <v>59.99</v>
      </c>
      <c r="G72" s="14">
        <f t="shared" si="4"/>
        <v>44.9925</v>
      </c>
      <c r="H72" s="57">
        <v>0.25</v>
      </c>
      <c r="I72" s="98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</row>
    <row r="73" ht="15.75" customHeight="1">
      <c r="A73" s="101"/>
      <c r="B73" s="101"/>
      <c r="C73" s="101"/>
      <c r="D73" s="101"/>
      <c r="E73" s="101"/>
      <c r="F73" s="101"/>
      <c r="G73" s="101"/>
      <c r="H73" s="101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</row>
    <row r="74" ht="15.75" customHeight="1">
      <c r="A74" s="102" t="s">
        <v>78</v>
      </c>
      <c r="B74" s="103">
        <v>45294.0</v>
      </c>
      <c r="C74" s="104">
        <v>45306.0</v>
      </c>
      <c r="D74" s="1" t="s">
        <v>450</v>
      </c>
      <c r="E74" s="1" t="s">
        <v>384</v>
      </c>
      <c r="F74" s="1" t="s">
        <v>95</v>
      </c>
      <c r="G74" s="1" t="s">
        <v>305</v>
      </c>
      <c r="H74" s="31">
        <v>0.5</v>
      </c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</row>
    <row r="75" ht="15.75" customHeight="1">
      <c r="A75" s="102" t="s">
        <v>78</v>
      </c>
      <c r="B75" s="103">
        <v>45300.0</v>
      </c>
      <c r="C75" s="104">
        <v>45313.0</v>
      </c>
      <c r="D75" s="1" t="s">
        <v>529</v>
      </c>
      <c r="E75" s="1" t="s">
        <v>377</v>
      </c>
      <c r="F75" s="1" t="s">
        <v>133</v>
      </c>
      <c r="G75" s="1" t="s">
        <v>308</v>
      </c>
      <c r="H75" s="31">
        <v>0.2</v>
      </c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</row>
    <row r="76" ht="15.75" customHeight="1">
      <c r="A76" s="102" t="s">
        <v>78</v>
      </c>
      <c r="B76" s="104">
        <v>45314.0</v>
      </c>
      <c r="C76" s="104">
        <v>45320.0</v>
      </c>
      <c r="D76" s="1" t="s">
        <v>92</v>
      </c>
      <c r="E76" s="1" t="s">
        <v>253</v>
      </c>
      <c r="F76" s="1" t="s">
        <v>132</v>
      </c>
      <c r="G76" s="1" t="s">
        <v>355</v>
      </c>
      <c r="H76" s="31">
        <v>0.6</v>
      </c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</row>
    <row r="77" ht="15.75" customHeight="1">
      <c r="A77" s="102" t="s">
        <v>78</v>
      </c>
      <c r="B77" s="104">
        <v>45335.0</v>
      </c>
      <c r="C77" s="104">
        <v>45348.0</v>
      </c>
      <c r="D77" s="1" t="s">
        <v>98</v>
      </c>
      <c r="E77" s="1" t="s">
        <v>239</v>
      </c>
      <c r="F77" s="1" t="s">
        <v>88</v>
      </c>
      <c r="G77" s="1" t="s">
        <v>280</v>
      </c>
      <c r="H77" s="31">
        <v>0.6</v>
      </c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</row>
    <row r="78" ht="15.75" customHeight="1">
      <c r="A78" s="102" t="s">
        <v>78</v>
      </c>
      <c r="B78" s="104">
        <v>45335.0</v>
      </c>
      <c r="C78" s="104">
        <v>45348.0</v>
      </c>
      <c r="D78" s="1" t="s">
        <v>98</v>
      </c>
      <c r="E78" s="1" t="s">
        <v>379</v>
      </c>
      <c r="F78" s="1" t="s">
        <v>244</v>
      </c>
      <c r="G78" s="1" t="s">
        <v>252</v>
      </c>
      <c r="H78" s="31">
        <v>0.2</v>
      </c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</row>
    <row r="79" ht="15.75" customHeight="1">
      <c r="A79" s="102" t="s">
        <v>78</v>
      </c>
      <c r="B79" s="104">
        <v>45335.0</v>
      </c>
      <c r="C79" s="104">
        <v>45348.0</v>
      </c>
      <c r="D79" s="1" t="s">
        <v>98</v>
      </c>
      <c r="E79" s="1" t="s">
        <v>381</v>
      </c>
      <c r="F79" s="1" t="s">
        <v>89</v>
      </c>
      <c r="G79" s="1" t="s">
        <v>134</v>
      </c>
      <c r="H79" s="31">
        <v>0.2</v>
      </c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</row>
    <row r="80" ht="15.75" customHeight="1">
      <c r="A80" s="102" t="s">
        <v>78</v>
      </c>
      <c r="B80" s="104">
        <v>45342.0</v>
      </c>
      <c r="C80" s="104">
        <v>45348.0</v>
      </c>
      <c r="D80" s="1" t="s">
        <v>92</v>
      </c>
      <c r="E80" s="1" t="s">
        <v>384</v>
      </c>
      <c r="F80" s="1" t="s">
        <v>95</v>
      </c>
      <c r="G80" s="1" t="s">
        <v>305</v>
      </c>
      <c r="H80" s="31">
        <v>0.5</v>
      </c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</row>
    <row r="81" ht="15.75" customHeight="1">
      <c r="A81" s="102" t="s">
        <v>78</v>
      </c>
      <c r="B81" s="104">
        <v>45349.0</v>
      </c>
      <c r="C81" s="105">
        <v>45355.0</v>
      </c>
      <c r="D81" s="1" t="s">
        <v>496</v>
      </c>
      <c r="E81" s="1" t="s">
        <v>253</v>
      </c>
      <c r="F81" s="1" t="s">
        <v>132</v>
      </c>
      <c r="G81" s="1" t="s">
        <v>355</v>
      </c>
      <c r="H81" s="31">
        <v>0.6</v>
      </c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</row>
    <row r="82" ht="15.75" customHeight="1">
      <c r="A82" s="102" t="s">
        <v>78</v>
      </c>
      <c r="B82" s="104">
        <v>45349.0</v>
      </c>
      <c r="C82" s="105">
        <v>45355.0</v>
      </c>
      <c r="D82" s="1" t="s">
        <v>496</v>
      </c>
      <c r="E82" s="1" t="s">
        <v>377</v>
      </c>
      <c r="F82" s="1" t="s">
        <v>133</v>
      </c>
      <c r="G82" s="1" t="s">
        <v>308</v>
      </c>
      <c r="H82" s="31">
        <v>0.2</v>
      </c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</row>
    <row r="83" ht="15.75" customHeight="1">
      <c r="A83" s="102" t="s">
        <v>78</v>
      </c>
      <c r="B83" s="105">
        <v>45356.0</v>
      </c>
      <c r="C83" s="106">
        <v>45362.0</v>
      </c>
      <c r="D83" s="1" t="s">
        <v>116</v>
      </c>
      <c r="E83" s="1" t="s">
        <v>257</v>
      </c>
      <c r="F83" s="1" t="s">
        <v>269</v>
      </c>
      <c r="G83" s="1" t="s">
        <v>273</v>
      </c>
      <c r="H83" s="31">
        <v>0.2</v>
      </c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</row>
    <row r="84" ht="15.75" customHeight="1">
      <c r="A84" s="102" t="s">
        <v>78</v>
      </c>
      <c r="B84" s="106">
        <v>45377.0</v>
      </c>
      <c r="C84" s="103">
        <v>45383.0</v>
      </c>
      <c r="D84" s="1" t="s">
        <v>92</v>
      </c>
      <c r="E84" s="1" t="s">
        <v>384</v>
      </c>
      <c r="F84" s="1" t="s">
        <v>95</v>
      </c>
      <c r="G84" s="1" t="s">
        <v>305</v>
      </c>
      <c r="H84" s="31">
        <v>0.5</v>
      </c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</row>
    <row r="85" ht="15.75" customHeight="1">
      <c r="A85" s="102" t="s">
        <v>78</v>
      </c>
      <c r="B85" s="106">
        <v>45380.0</v>
      </c>
      <c r="C85" s="104">
        <v>45393.0</v>
      </c>
      <c r="D85" s="1" t="s">
        <v>122</v>
      </c>
      <c r="E85" s="1" t="s">
        <v>239</v>
      </c>
      <c r="F85" s="1" t="s">
        <v>88</v>
      </c>
      <c r="G85" s="1" t="s">
        <v>280</v>
      </c>
      <c r="H85" s="31">
        <v>0.6</v>
      </c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</row>
    <row r="86" ht="15.75" customHeight="1">
      <c r="A86" s="102" t="s">
        <v>78</v>
      </c>
      <c r="B86" s="106">
        <v>45380.0</v>
      </c>
      <c r="C86" s="104">
        <v>45393.0</v>
      </c>
      <c r="D86" s="1" t="s">
        <v>122</v>
      </c>
      <c r="E86" s="1" t="s">
        <v>379</v>
      </c>
      <c r="F86" s="1" t="s">
        <v>244</v>
      </c>
      <c r="G86" s="1" t="s">
        <v>252</v>
      </c>
      <c r="H86" s="31">
        <v>0.2</v>
      </c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</row>
    <row r="87" ht="15.75" customHeight="1">
      <c r="A87" s="102" t="s">
        <v>78</v>
      </c>
      <c r="B87" s="106">
        <v>45380.0</v>
      </c>
      <c r="C87" s="104">
        <v>45393.0</v>
      </c>
      <c r="D87" s="1" t="s">
        <v>122</v>
      </c>
      <c r="E87" s="1" t="s">
        <v>381</v>
      </c>
      <c r="F87" s="1" t="s">
        <v>89</v>
      </c>
      <c r="G87" s="1" t="s">
        <v>134</v>
      </c>
      <c r="H87" s="31">
        <v>0.2</v>
      </c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</row>
    <row r="88" ht="15.75" customHeight="1">
      <c r="A88" s="102" t="s">
        <v>78</v>
      </c>
      <c r="B88" s="106">
        <v>45391.0</v>
      </c>
      <c r="C88" s="104">
        <v>45397.0</v>
      </c>
      <c r="D88" s="1" t="s">
        <v>92</v>
      </c>
      <c r="E88" s="1" t="s">
        <v>253</v>
      </c>
      <c r="F88" s="1" t="s">
        <v>132</v>
      </c>
      <c r="G88" s="1" t="s">
        <v>355</v>
      </c>
      <c r="H88" s="31">
        <v>0.6</v>
      </c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</row>
    <row r="89" ht="15.75" customHeight="1">
      <c r="A89" s="102" t="s">
        <v>78</v>
      </c>
      <c r="B89" s="106">
        <v>45391.0</v>
      </c>
      <c r="C89" s="104">
        <v>45397.0</v>
      </c>
      <c r="D89" s="1" t="s">
        <v>92</v>
      </c>
      <c r="E89" s="1" t="s">
        <v>253</v>
      </c>
      <c r="F89" s="1" t="s">
        <v>95</v>
      </c>
      <c r="G89" s="1" t="s">
        <v>378</v>
      </c>
      <c r="H89" s="31">
        <v>0.55</v>
      </c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</row>
    <row r="90" ht="15.75" customHeight="1">
      <c r="A90" s="102" t="s">
        <v>78</v>
      </c>
      <c r="B90" s="106">
        <v>45391.0</v>
      </c>
      <c r="C90" s="104">
        <v>45397.0</v>
      </c>
      <c r="D90" s="1" t="s">
        <v>92</v>
      </c>
      <c r="E90" s="1" t="s">
        <v>377</v>
      </c>
      <c r="F90" s="1" t="s">
        <v>133</v>
      </c>
      <c r="G90" s="1" t="s">
        <v>308</v>
      </c>
      <c r="H90" s="31">
        <v>0.2</v>
      </c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</row>
    <row r="91" ht="15.75" customHeight="1">
      <c r="A91" s="102" t="s">
        <v>78</v>
      </c>
      <c r="B91" s="106">
        <v>45398.0</v>
      </c>
      <c r="C91" s="104">
        <v>45404.0</v>
      </c>
      <c r="D91" s="1" t="s">
        <v>92</v>
      </c>
      <c r="E91" s="1" t="s">
        <v>257</v>
      </c>
      <c r="F91" s="1" t="s">
        <v>269</v>
      </c>
      <c r="G91" s="1" t="s">
        <v>132</v>
      </c>
      <c r="H91" s="31">
        <v>0.25</v>
      </c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</row>
    <row r="92" ht="15.75" customHeight="1">
      <c r="A92" s="102" t="s">
        <v>78</v>
      </c>
      <c r="B92" s="106">
        <v>45426.0</v>
      </c>
      <c r="C92" s="104">
        <v>45432.0</v>
      </c>
      <c r="D92" s="1" t="s">
        <v>92</v>
      </c>
      <c r="E92" s="1" t="s">
        <v>384</v>
      </c>
      <c r="F92" s="1" t="s">
        <v>95</v>
      </c>
      <c r="G92" s="1" t="s">
        <v>305</v>
      </c>
      <c r="H92" s="31">
        <v>0.5</v>
      </c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</row>
    <row r="93" ht="15.75" customHeight="1">
      <c r="A93" s="102" t="s">
        <v>78</v>
      </c>
      <c r="B93" s="106">
        <v>45426.0</v>
      </c>
      <c r="C93" s="104">
        <v>45432.0</v>
      </c>
      <c r="D93" s="1" t="s">
        <v>92</v>
      </c>
      <c r="E93" s="1" t="s">
        <v>384</v>
      </c>
      <c r="F93" s="1" t="s">
        <v>88</v>
      </c>
      <c r="G93" s="1" t="s">
        <v>280</v>
      </c>
      <c r="H93" s="31">
        <v>0.6</v>
      </c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</row>
    <row r="94" ht="15.75" customHeight="1">
      <c r="A94" s="102" t="s">
        <v>78</v>
      </c>
      <c r="B94" s="106">
        <v>45426.0</v>
      </c>
      <c r="C94" s="104">
        <v>45432.0</v>
      </c>
      <c r="D94" s="1" t="s">
        <v>191</v>
      </c>
      <c r="E94" s="1" t="s">
        <v>377</v>
      </c>
      <c r="F94" s="1" t="s">
        <v>133</v>
      </c>
      <c r="G94" s="1" t="s">
        <v>308</v>
      </c>
      <c r="H94" s="31">
        <v>0.2</v>
      </c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</row>
    <row r="95" ht="15.75" customHeight="1">
      <c r="A95" s="102" t="s">
        <v>78</v>
      </c>
      <c r="B95" s="106">
        <v>45433.0</v>
      </c>
      <c r="C95" s="104">
        <v>45439.0</v>
      </c>
      <c r="D95" s="1" t="s">
        <v>92</v>
      </c>
      <c r="E95" s="1" t="s">
        <v>239</v>
      </c>
      <c r="F95" s="1" t="s">
        <v>88</v>
      </c>
      <c r="G95" s="1" t="s">
        <v>280</v>
      </c>
      <c r="H95" s="31">
        <v>0.6</v>
      </c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</row>
    <row r="96" ht="15.75" customHeight="1">
      <c r="A96" s="102" t="s">
        <v>78</v>
      </c>
      <c r="B96" s="106">
        <v>45433.0</v>
      </c>
      <c r="C96" s="104">
        <v>45439.0</v>
      </c>
      <c r="D96" s="1" t="s">
        <v>92</v>
      </c>
      <c r="E96" s="1" t="s">
        <v>239</v>
      </c>
      <c r="F96" s="1" t="s">
        <v>89</v>
      </c>
      <c r="G96" s="1" t="s">
        <v>527</v>
      </c>
      <c r="H96" s="31">
        <v>0.67</v>
      </c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</row>
    <row r="97" ht="15.75" customHeight="1">
      <c r="A97" s="102" t="s">
        <v>78</v>
      </c>
      <c r="B97" s="106">
        <v>45433.0</v>
      </c>
      <c r="C97" s="104">
        <v>45439.0</v>
      </c>
      <c r="D97" s="1" t="s">
        <v>191</v>
      </c>
      <c r="E97" s="1" t="s">
        <v>379</v>
      </c>
      <c r="F97" s="1" t="s">
        <v>244</v>
      </c>
      <c r="G97" s="1" t="s">
        <v>252</v>
      </c>
      <c r="H97" s="31">
        <v>0.2</v>
      </c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</row>
    <row r="98" ht="15.75" customHeight="1">
      <c r="A98" s="102" t="s">
        <v>78</v>
      </c>
      <c r="B98" s="106">
        <v>45433.0</v>
      </c>
      <c r="C98" s="104">
        <v>45439.0</v>
      </c>
      <c r="D98" s="1" t="s">
        <v>191</v>
      </c>
      <c r="E98" s="1" t="s">
        <v>381</v>
      </c>
      <c r="F98" s="1" t="s">
        <v>89</v>
      </c>
      <c r="G98" s="1" t="s">
        <v>134</v>
      </c>
      <c r="H98" s="31">
        <v>0.2</v>
      </c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</row>
    <row r="99" ht="15.75" customHeight="1">
      <c r="A99" s="102" t="s">
        <v>78</v>
      </c>
      <c r="B99" s="106">
        <v>45440.0</v>
      </c>
      <c r="C99" s="104">
        <v>45446.0</v>
      </c>
      <c r="D99" s="1" t="s">
        <v>531</v>
      </c>
      <c r="E99" s="1" t="s">
        <v>257</v>
      </c>
      <c r="F99" s="1" t="s">
        <v>269</v>
      </c>
      <c r="G99" s="1" t="s">
        <v>132</v>
      </c>
      <c r="H99" s="31">
        <v>0.25</v>
      </c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</row>
    <row r="100" ht="15.75" customHeight="1">
      <c r="A100" s="102" t="s">
        <v>78</v>
      </c>
      <c r="B100" s="106">
        <v>45447.0</v>
      </c>
      <c r="C100" s="104">
        <v>45460.0</v>
      </c>
      <c r="D100" s="1" t="s">
        <v>125</v>
      </c>
      <c r="E100" s="1" t="s">
        <v>253</v>
      </c>
      <c r="F100" s="1" t="s">
        <v>132</v>
      </c>
      <c r="G100" s="1" t="s">
        <v>355</v>
      </c>
      <c r="H100" s="31">
        <v>0.6</v>
      </c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</row>
    <row r="101" ht="15.75" customHeight="1">
      <c r="A101" s="102" t="s">
        <v>78</v>
      </c>
      <c r="B101" s="106">
        <v>45447.0</v>
      </c>
      <c r="C101" s="104">
        <v>45460.0</v>
      </c>
      <c r="D101" s="1" t="s">
        <v>125</v>
      </c>
      <c r="E101" s="1" t="s">
        <v>253</v>
      </c>
      <c r="F101" s="1" t="s">
        <v>95</v>
      </c>
      <c r="G101" s="1" t="s">
        <v>378</v>
      </c>
      <c r="H101" s="31">
        <v>0.55</v>
      </c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</row>
    <row r="102" ht="15.75" customHeight="1">
      <c r="A102" s="102" t="s">
        <v>78</v>
      </c>
      <c r="B102" s="106">
        <v>45468.0</v>
      </c>
      <c r="C102" s="104">
        <v>45474.0</v>
      </c>
      <c r="D102" s="1" t="s">
        <v>294</v>
      </c>
      <c r="E102" s="1" t="s">
        <v>377</v>
      </c>
      <c r="F102" s="1" t="s">
        <v>133</v>
      </c>
      <c r="G102" s="1" t="s">
        <v>308</v>
      </c>
      <c r="H102" s="31">
        <v>0.2</v>
      </c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</row>
    <row r="103" ht="15.75" customHeight="1">
      <c r="A103" s="102" t="s">
        <v>78</v>
      </c>
      <c r="B103" s="106">
        <v>45475.0</v>
      </c>
      <c r="C103" s="104">
        <v>45481.0</v>
      </c>
      <c r="D103" s="1" t="s">
        <v>92</v>
      </c>
      <c r="E103" s="1" t="s">
        <v>384</v>
      </c>
      <c r="F103" s="1" t="s">
        <v>95</v>
      </c>
      <c r="G103" s="1" t="s">
        <v>305</v>
      </c>
      <c r="H103" s="31">
        <v>0.5</v>
      </c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</row>
    <row r="104" ht="15.75" customHeight="1">
      <c r="A104" s="102" t="s">
        <v>78</v>
      </c>
      <c r="B104" s="106">
        <v>45475.0</v>
      </c>
      <c r="C104" s="104">
        <v>45481.0</v>
      </c>
      <c r="D104" s="1" t="s">
        <v>92</v>
      </c>
      <c r="E104" s="1" t="s">
        <v>384</v>
      </c>
      <c r="F104" s="1" t="s">
        <v>88</v>
      </c>
      <c r="G104" s="1" t="s">
        <v>280</v>
      </c>
      <c r="H104" s="31">
        <v>0.6</v>
      </c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</row>
    <row r="105" ht="15.75" customHeight="1">
      <c r="A105" s="102" t="s">
        <v>78</v>
      </c>
      <c r="B105" s="106">
        <v>45475.0</v>
      </c>
      <c r="C105" s="104">
        <v>45481.0</v>
      </c>
      <c r="D105" s="1" t="s">
        <v>191</v>
      </c>
      <c r="E105" s="1" t="s">
        <v>379</v>
      </c>
      <c r="F105" s="1" t="s">
        <v>244</v>
      </c>
      <c r="G105" s="1" t="s">
        <v>252</v>
      </c>
      <c r="H105" s="31">
        <v>0.2</v>
      </c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</row>
    <row r="106" ht="15.75" customHeight="1">
      <c r="A106" s="102" t="s">
        <v>78</v>
      </c>
      <c r="B106" s="106">
        <v>45475.0</v>
      </c>
      <c r="C106" s="104">
        <v>45481.0</v>
      </c>
      <c r="D106" s="1" t="s">
        <v>191</v>
      </c>
      <c r="E106" s="1" t="s">
        <v>381</v>
      </c>
      <c r="F106" s="1" t="s">
        <v>89</v>
      </c>
      <c r="G106" s="1" t="s">
        <v>134</v>
      </c>
      <c r="H106" s="31">
        <v>0.2</v>
      </c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</row>
    <row r="107" ht="15.75" customHeight="1">
      <c r="A107" s="102" t="s">
        <v>78</v>
      </c>
      <c r="B107" s="106">
        <v>45482.0</v>
      </c>
      <c r="C107" s="104">
        <v>45490.0</v>
      </c>
      <c r="D107" s="1" t="s">
        <v>542</v>
      </c>
      <c r="E107" s="1" t="s">
        <v>257</v>
      </c>
      <c r="F107" s="1" t="s">
        <v>269</v>
      </c>
      <c r="G107" s="1" t="s">
        <v>479</v>
      </c>
      <c r="H107" s="31">
        <v>0.4</v>
      </c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</row>
    <row r="108" ht="15.75" customHeight="1">
      <c r="A108" s="102" t="s">
        <v>78</v>
      </c>
      <c r="B108" s="106">
        <v>45491.0</v>
      </c>
      <c r="C108" s="104">
        <v>45504.0</v>
      </c>
      <c r="D108" s="1" t="s">
        <v>543</v>
      </c>
      <c r="E108" s="1" t="s">
        <v>257</v>
      </c>
      <c r="F108" s="1" t="s">
        <v>269</v>
      </c>
      <c r="G108" s="1" t="s">
        <v>479</v>
      </c>
      <c r="H108" s="31">
        <v>0.4</v>
      </c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</row>
    <row r="109" ht="15.75" customHeight="1">
      <c r="A109" s="102" t="s">
        <v>78</v>
      </c>
      <c r="B109" s="106">
        <v>45491.0</v>
      </c>
      <c r="C109" s="104">
        <v>45504.0</v>
      </c>
      <c r="D109" s="1" t="s">
        <v>543</v>
      </c>
      <c r="E109" s="1" t="s">
        <v>253</v>
      </c>
      <c r="F109" s="1" t="s">
        <v>132</v>
      </c>
      <c r="G109" s="1" t="s">
        <v>355</v>
      </c>
      <c r="H109" s="31">
        <v>0.6</v>
      </c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</row>
    <row r="110" ht="15.75" customHeight="1">
      <c r="A110" s="102" t="s">
        <v>78</v>
      </c>
      <c r="B110" s="106">
        <v>45491.0</v>
      </c>
      <c r="C110" s="104">
        <v>45504.0</v>
      </c>
      <c r="D110" s="1" t="s">
        <v>543</v>
      </c>
      <c r="E110" s="1" t="s">
        <v>253</v>
      </c>
      <c r="F110" s="1" t="s">
        <v>95</v>
      </c>
      <c r="G110" s="1" t="s">
        <v>378</v>
      </c>
      <c r="H110" s="31">
        <v>0.55</v>
      </c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</row>
    <row r="111" ht="15.75" customHeight="1">
      <c r="A111" s="102" t="s">
        <v>78</v>
      </c>
      <c r="B111" s="106">
        <v>45505.0</v>
      </c>
      <c r="C111" s="104">
        <v>45516.0</v>
      </c>
      <c r="D111" s="1" t="s">
        <v>135</v>
      </c>
      <c r="E111" s="1" t="s">
        <v>377</v>
      </c>
      <c r="F111" s="1" t="s">
        <v>133</v>
      </c>
      <c r="G111" s="1" t="s">
        <v>544</v>
      </c>
      <c r="H111" s="31">
        <v>0.3</v>
      </c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</row>
    <row r="112" ht="15.75" customHeight="1">
      <c r="A112" s="102" t="s">
        <v>78</v>
      </c>
      <c r="B112" s="106">
        <v>45517.0</v>
      </c>
      <c r="C112" s="104">
        <v>45530.0</v>
      </c>
      <c r="D112" s="1" t="s">
        <v>92</v>
      </c>
      <c r="E112" s="1" t="s">
        <v>384</v>
      </c>
      <c r="F112" s="1" t="s">
        <v>95</v>
      </c>
      <c r="G112" s="1" t="s">
        <v>305</v>
      </c>
      <c r="H112" s="31">
        <v>0.5</v>
      </c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</row>
    <row r="113" ht="15.75" customHeight="1">
      <c r="A113" s="102" t="s">
        <v>78</v>
      </c>
      <c r="B113" s="106">
        <v>45538.0</v>
      </c>
      <c r="C113" s="104">
        <v>45551.0</v>
      </c>
      <c r="D113" s="1" t="s">
        <v>114</v>
      </c>
      <c r="E113" s="1" t="s">
        <v>239</v>
      </c>
      <c r="F113" s="1" t="s">
        <v>88</v>
      </c>
      <c r="G113" s="1" t="s">
        <v>280</v>
      </c>
      <c r="H113" s="31">
        <v>0.6</v>
      </c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</row>
    <row r="114" ht="15.75" customHeight="1">
      <c r="A114" s="102" t="s">
        <v>78</v>
      </c>
      <c r="B114" s="106">
        <v>45538.0</v>
      </c>
      <c r="C114" s="104">
        <v>45551.0</v>
      </c>
      <c r="D114" s="1" t="s">
        <v>114</v>
      </c>
      <c r="E114" s="1" t="s">
        <v>379</v>
      </c>
      <c r="F114" s="1" t="s">
        <v>244</v>
      </c>
      <c r="G114" s="1" t="s">
        <v>254</v>
      </c>
      <c r="H114" s="31">
        <v>0.3</v>
      </c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</row>
    <row r="115" ht="15.75" customHeight="1">
      <c r="A115" s="102" t="s">
        <v>78</v>
      </c>
      <c r="B115" s="106">
        <v>45538.0</v>
      </c>
      <c r="C115" s="104">
        <v>45551.0</v>
      </c>
      <c r="D115" s="1" t="s">
        <v>114</v>
      </c>
      <c r="E115" s="1" t="s">
        <v>381</v>
      </c>
      <c r="F115" s="1" t="s">
        <v>89</v>
      </c>
      <c r="G115" s="1" t="s">
        <v>400</v>
      </c>
      <c r="H115" s="31">
        <v>0.3</v>
      </c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</row>
    <row r="116" ht="15.75" customHeight="1">
      <c r="A116" s="102" t="s">
        <v>78</v>
      </c>
      <c r="B116" s="106">
        <v>45552.0</v>
      </c>
      <c r="C116" s="104">
        <v>45558.0</v>
      </c>
      <c r="D116" s="1" t="s">
        <v>92</v>
      </c>
      <c r="E116" s="1" t="s">
        <v>253</v>
      </c>
      <c r="F116" s="1" t="s">
        <v>132</v>
      </c>
      <c r="G116" s="1" t="s">
        <v>355</v>
      </c>
      <c r="H116" s="31">
        <v>0.6</v>
      </c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</row>
    <row r="117" ht="15.75" customHeight="1">
      <c r="A117" s="102" t="s">
        <v>78</v>
      </c>
      <c r="B117" s="106">
        <v>45552.0</v>
      </c>
      <c r="C117" s="104">
        <v>45558.0</v>
      </c>
      <c r="D117" s="1" t="s">
        <v>191</v>
      </c>
      <c r="E117" s="1" t="s">
        <v>377</v>
      </c>
      <c r="F117" s="1" t="s">
        <v>133</v>
      </c>
      <c r="G117" s="1" t="s">
        <v>544</v>
      </c>
      <c r="H117" s="31">
        <v>0.3</v>
      </c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</row>
    <row r="118" ht="15.75" customHeight="1">
      <c r="A118" s="102" t="s">
        <v>78</v>
      </c>
      <c r="B118" s="106">
        <v>45559.0</v>
      </c>
      <c r="C118" s="104">
        <v>45565.0</v>
      </c>
      <c r="D118" s="1" t="s">
        <v>92</v>
      </c>
      <c r="E118" s="1" t="s">
        <v>257</v>
      </c>
      <c r="F118" s="1" t="s">
        <v>269</v>
      </c>
      <c r="G118" s="1" t="s">
        <v>479</v>
      </c>
      <c r="H118" s="31">
        <v>0.4</v>
      </c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</row>
    <row r="119" ht="15.75" customHeight="1">
      <c r="A119" s="102" t="s">
        <v>78</v>
      </c>
      <c r="B119" s="106">
        <v>45566.0</v>
      </c>
      <c r="C119" s="104">
        <v>45572.0</v>
      </c>
      <c r="D119" s="1" t="s">
        <v>92</v>
      </c>
      <c r="E119" s="1" t="s">
        <v>384</v>
      </c>
      <c r="F119" s="1" t="s">
        <v>95</v>
      </c>
      <c r="G119" s="1" t="s">
        <v>305</v>
      </c>
      <c r="H119" s="31">
        <v>0.5</v>
      </c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</row>
    <row r="120" ht="15.75" customHeight="1">
      <c r="A120" s="102" t="s">
        <v>78</v>
      </c>
      <c r="B120" s="112">
        <v>45580.375</v>
      </c>
      <c r="C120" s="112">
        <v>45586.375</v>
      </c>
      <c r="D120" s="113" t="s">
        <v>92</v>
      </c>
      <c r="E120" s="113" t="s">
        <v>0</v>
      </c>
      <c r="F120" s="114">
        <v>39.99</v>
      </c>
      <c r="G120" s="114">
        <v>15.996000000000002</v>
      </c>
      <c r="H120" s="115">
        <v>0.6</v>
      </c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</row>
    <row r="121" ht="15.75" customHeight="1">
      <c r="A121" s="102" t="s">
        <v>78</v>
      </c>
      <c r="B121" s="112">
        <v>45580.375</v>
      </c>
      <c r="C121" s="112">
        <v>45586.375</v>
      </c>
      <c r="D121" s="113" t="s">
        <v>92</v>
      </c>
      <c r="E121" s="113" t="s">
        <v>0</v>
      </c>
      <c r="F121" s="114">
        <v>29.99</v>
      </c>
      <c r="G121" s="114">
        <v>9.8967</v>
      </c>
      <c r="H121" s="115">
        <v>0.67</v>
      </c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</row>
    <row r="122" ht="15.75" customHeight="1">
      <c r="A122" s="102" t="s">
        <v>78</v>
      </c>
      <c r="B122" s="112">
        <v>45594.33333333333</v>
      </c>
      <c r="C122" s="112">
        <v>45600.375</v>
      </c>
      <c r="D122" s="113" t="s">
        <v>92</v>
      </c>
      <c r="E122" s="113" t="s">
        <v>1</v>
      </c>
      <c r="F122" s="114">
        <v>59.99</v>
      </c>
      <c r="G122" s="114">
        <v>29.995</v>
      </c>
      <c r="H122" s="115">
        <v>0.5</v>
      </c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</row>
    <row r="123" ht="15.75" customHeight="1">
      <c r="A123" s="102" t="s">
        <v>78</v>
      </c>
      <c r="B123" s="112">
        <v>45594.33333333333</v>
      </c>
      <c r="C123" s="112">
        <v>45600.375</v>
      </c>
      <c r="D123" s="113" t="s">
        <v>92</v>
      </c>
      <c r="E123" s="113" t="s">
        <v>1</v>
      </c>
      <c r="F123" s="114">
        <v>49.99</v>
      </c>
      <c r="G123" s="114">
        <v>22.4955</v>
      </c>
      <c r="H123" s="115">
        <v>0.55</v>
      </c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</row>
    <row r="124" ht="15.75" customHeight="1">
      <c r="A124" s="102" t="s">
        <v>78</v>
      </c>
      <c r="B124" s="112">
        <v>45594.33333333333</v>
      </c>
      <c r="C124" s="112">
        <v>45600.375</v>
      </c>
      <c r="D124" s="113" t="s">
        <v>92</v>
      </c>
      <c r="E124" s="113" t="s">
        <v>12</v>
      </c>
      <c r="F124" s="114">
        <v>79.99</v>
      </c>
      <c r="G124" s="114">
        <v>47.99399999999999</v>
      </c>
      <c r="H124" s="115">
        <v>0.4</v>
      </c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</row>
    <row r="125" ht="15.75" customHeight="1">
      <c r="A125" s="102" t="s">
        <v>78</v>
      </c>
      <c r="B125" s="112">
        <v>45594.33333333333</v>
      </c>
      <c r="C125" s="112">
        <v>45600.375</v>
      </c>
      <c r="D125" s="113" t="s">
        <v>92</v>
      </c>
      <c r="E125" s="113" t="s">
        <v>12</v>
      </c>
      <c r="F125" s="114">
        <v>69.99</v>
      </c>
      <c r="G125" s="114">
        <v>41.99399999999999</v>
      </c>
      <c r="H125" s="115">
        <v>0.4</v>
      </c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</row>
    <row r="126" ht="15.75" customHeight="1">
      <c r="A126" s="102" t="s">
        <v>78</v>
      </c>
      <c r="B126" s="112">
        <v>45608.375</v>
      </c>
      <c r="C126" s="112">
        <v>45614.375</v>
      </c>
      <c r="D126" s="113" t="s">
        <v>92</v>
      </c>
      <c r="E126" s="113" t="s">
        <v>5</v>
      </c>
      <c r="F126" s="114">
        <v>49.99</v>
      </c>
      <c r="G126" s="114">
        <v>24.995</v>
      </c>
      <c r="H126" s="115">
        <v>0.5</v>
      </c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</row>
    <row r="127" ht="15.75" customHeight="1">
      <c r="A127" s="102" t="s">
        <v>78</v>
      </c>
      <c r="B127" s="112">
        <v>45608.375</v>
      </c>
      <c r="C127" s="112">
        <v>45614.375</v>
      </c>
      <c r="D127" s="113" t="s">
        <v>92</v>
      </c>
      <c r="E127" s="113" t="s">
        <v>5</v>
      </c>
      <c r="F127" s="114">
        <v>39.99</v>
      </c>
      <c r="G127" s="114">
        <v>15.996000000000002</v>
      </c>
      <c r="H127" s="115">
        <v>0.6</v>
      </c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</row>
    <row r="128" ht="15.75" customHeight="1">
      <c r="A128" s="102" t="s">
        <v>78</v>
      </c>
      <c r="B128" s="112">
        <v>45611.375</v>
      </c>
      <c r="C128" s="112">
        <v>45628.375</v>
      </c>
      <c r="D128" s="113" t="s">
        <v>103</v>
      </c>
      <c r="E128" s="113" t="s">
        <v>0</v>
      </c>
      <c r="F128" s="114">
        <v>39.99</v>
      </c>
      <c r="G128" s="114">
        <v>15.996000000000002</v>
      </c>
      <c r="H128" s="115">
        <v>0.6</v>
      </c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</row>
    <row r="129" ht="15.75" customHeight="1">
      <c r="A129" s="102" t="s">
        <v>78</v>
      </c>
      <c r="B129" s="112">
        <v>45611.375</v>
      </c>
      <c r="C129" s="112">
        <v>45628.375</v>
      </c>
      <c r="D129" s="113" t="s">
        <v>103</v>
      </c>
      <c r="E129" s="113" t="s">
        <v>0</v>
      </c>
      <c r="F129" s="114">
        <v>29.99</v>
      </c>
      <c r="G129" s="114">
        <v>9.8967</v>
      </c>
      <c r="H129" s="115">
        <v>0.67</v>
      </c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</row>
    <row r="130" ht="15.75" customHeight="1">
      <c r="A130" s="102" t="s">
        <v>78</v>
      </c>
      <c r="B130" s="112">
        <v>45629.375</v>
      </c>
      <c r="C130" s="112">
        <v>45635.375</v>
      </c>
      <c r="D130" s="113" t="s">
        <v>92</v>
      </c>
      <c r="E130" s="113" t="s">
        <v>12</v>
      </c>
      <c r="F130" s="114">
        <v>79.99</v>
      </c>
      <c r="G130" s="114">
        <v>47.99399999999999</v>
      </c>
      <c r="H130" s="115">
        <v>0.4</v>
      </c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</row>
    <row r="131" ht="15.75" customHeight="1">
      <c r="A131" s="102" t="s">
        <v>78</v>
      </c>
      <c r="B131" s="112">
        <v>45629.375</v>
      </c>
      <c r="C131" s="112">
        <v>45635.375</v>
      </c>
      <c r="D131" s="113" t="s">
        <v>92</v>
      </c>
      <c r="E131" s="113" t="s">
        <v>12</v>
      </c>
      <c r="F131" s="114">
        <v>69.99</v>
      </c>
      <c r="G131" s="114">
        <v>41.99399999999999</v>
      </c>
      <c r="H131" s="115">
        <v>0.4</v>
      </c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</row>
    <row r="132" ht="15.75" customHeight="1">
      <c r="A132" s="102" t="s">
        <v>78</v>
      </c>
      <c r="B132" s="112">
        <v>45629.375</v>
      </c>
      <c r="C132" s="112">
        <v>45638.375</v>
      </c>
      <c r="D132" s="113" t="s">
        <v>138</v>
      </c>
      <c r="E132" s="113" t="s">
        <v>546</v>
      </c>
      <c r="F132" s="114">
        <v>44.99</v>
      </c>
      <c r="G132" s="114">
        <v>31.493</v>
      </c>
      <c r="H132" s="115">
        <v>0.3</v>
      </c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</row>
    <row r="133" ht="15.75" customHeight="1">
      <c r="A133" s="102" t="s">
        <v>78</v>
      </c>
      <c r="B133" s="112">
        <v>45629.375</v>
      </c>
      <c r="C133" s="112">
        <v>45638.375</v>
      </c>
      <c r="D133" s="113" t="s">
        <v>138</v>
      </c>
      <c r="E133" s="113" t="s">
        <v>379</v>
      </c>
      <c r="F133" s="114">
        <v>24.99</v>
      </c>
      <c r="G133" s="114">
        <v>17.493</v>
      </c>
      <c r="H133" s="115">
        <v>0.3</v>
      </c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</row>
    <row r="134" ht="15.75" customHeight="1">
      <c r="A134" s="102" t="s">
        <v>78</v>
      </c>
      <c r="B134" s="112">
        <v>45629.375</v>
      </c>
      <c r="C134" s="112">
        <v>45638.375</v>
      </c>
      <c r="D134" s="113" t="s">
        <v>138</v>
      </c>
      <c r="E134" s="113" t="s">
        <v>381</v>
      </c>
      <c r="F134" s="114">
        <v>29.99</v>
      </c>
      <c r="G134" s="114">
        <v>20.993</v>
      </c>
      <c r="H134" s="115">
        <v>0.3</v>
      </c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</row>
    <row r="135" ht="15.75" customHeight="1">
      <c r="A135" s="102" t="s">
        <v>78</v>
      </c>
      <c r="B135" s="112">
        <v>45629.375</v>
      </c>
      <c r="C135" s="112">
        <v>45638.375</v>
      </c>
      <c r="D135" s="113" t="s">
        <v>138</v>
      </c>
      <c r="E135" s="113" t="s">
        <v>382</v>
      </c>
      <c r="F135" s="114">
        <v>34.99</v>
      </c>
      <c r="G135" s="114">
        <v>27.992000000000004</v>
      </c>
      <c r="H135" s="115">
        <v>0.2</v>
      </c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</row>
    <row r="136" ht="15.75" customHeight="1">
      <c r="A136" s="102" t="s">
        <v>78</v>
      </c>
      <c r="B136" s="112">
        <v>45639.375</v>
      </c>
      <c r="C136" s="112">
        <v>45293.375</v>
      </c>
      <c r="D136" s="113" t="s">
        <v>106</v>
      </c>
      <c r="E136" s="113" t="s">
        <v>5</v>
      </c>
      <c r="F136" s="114">
        <v>49.99</v>
      </c>
      <c r="G136" s="114">
        <v>24.995</v>
      </c>
      <c r="H136" s="115">
        <v>0.5</v>
      </c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</row>
    <row r="137" ht="15.75" customHeight="1">
      <c r="A137" s="102" t="s">
        <v>78</v>
      </c>
      <c r="B137" s="112">
        <v>45639.375</v>
      </c>
      <c r="C137" s="112">
        <v>45293.375</v>
      </c>
      <c r="D137" s="113" t="s">
        <v>106</v>
      </c>
      <c r="E137" s="113" t="s">
        <v>5</v>
      </c>
      <c r="F137" s="114">
        <v>39.99</v>
      </c>
      <c r="G137" s="114">
        <v>15.996000000000002</v>
      </c>
      <c r="H137" s="115">
        <v>0.6</v>
      </c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</row>
    <row r="138" ht="15.75" customHeight="1">
      <c r="A138" s="102" t="s">
        <v>78</v>
      </c>
      <c r="B138" s="112">
        <v>45639.375</v>
      </c>
      <c r="C138" s="112">
        <v>45293.375</v>
      </c>
      <c r="D138" s="113" t="s">
        <v>106</v>
      </c>
      <c r="E138" s="113" t="s">
        <v>1</v>
      </c>
      <c r="F138" s="114">
        <v>59.99</v>
      </c>
      <c r="G138" s="114">
        <v>29.995</v>
      </c>
      <c r="H138" s="115">
        <v>0.5</v>
      </c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</row>
    <row r="139" ht="15.75" customHeight="1">
      <c r="A139" s="102" t="s">
        <v>78</v>
      </c>
      <c r="B139" s="112">
        <v>45639.375</v>
      </c>
      <c r="C139" s="112">
        <v>45293.375</v>
      </c>
      <c r="D139" s="113" t="s">
        <v>106</v>
      </c>
      <c r="E139" s="113" t="s">
        <v>1</v>
      </c>
      <c r="F139" s="114">
        <v>49.99</v>
      </c>
      <c r="G139" s="114">
        <v>22.4955</v>
      </c>
      <c r="H139" s="115">
        <v>0.55</v>
      </c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</row>
    <row r="140" ht="15.75" customHeight="1">
      <c r="A140" s="102" t="s">
        <v>78</v>
      </c>
      <c r="B140" s="112">
        <v>45660.375</v>
      </c>
      <c r="C140" s="112">
        <v>45670.375</v>
      </c>
      <c r="D140" s="113" t="s">
        <v>450</v>
      </c>
      <c r="E140" s="113" t="s">
        <v>0</v>
      </c>
      <c r="F140" s="114">
        <v>39.99</v>
      </c>
      <c r="G140" s="114">
        <v>15.996000000000002</v>
      </c>
      <c r="H140" s="115">
        <v>0.6</v>
      </c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</row>
    <row r="141" ht="15.75" customHeight="1">
      <c r="A141" s="102" t="s">
        <v>78</v>
      </c>
      <c r="B141" s="112">
        <v>45660.375</v>
      </c>
      <c r="C141" s="112">
        <v>45670.375</v>
      </c>
      <c r="D141" s="113" t="s">
        <v>450</v>
      </c>
      <c r="E141" s="113" t="s">
        <v>0</v>
      </c>
      <c r="F141" s="114">
        <v>29.99</v>
      </c>
      <c r="G141" s="114">
        <v>9.8967</v>
      </c>
      <c r="H141" s="115">
        <v>0.67</v>
      </c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</row>
    <row r="142" ht="15.75" customHeight="1">
      <c r="A142" s="101"/>
      <c r="B142" s="101"/>
      <c r="C142" s="101"/>
      <c r="D142" s="101"/>
      <c r="E142" s="101"/>
      <c r="F142" s="101"/>
      <c r="G142" s="101"/>
      <c r="H142" s="101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</row>
    <row r="143" ht="15.75" customHeight="1">
      <c r="A143" s="117" t="s">
        <v>107</v>
      </c>
      <c r="B143" s="12">
        <v>45294.0</v>
      </c>
      <c r="C143" s="12">
        <v>45308.0</v>
      </c>
      <c r="D143" s="1" t="s">
        <v>317</v>
      </c>
      <c r="E143" s="1" t="s">
        <v>1</v>
      </c>
      <c r="F143" s="3">
        <v>69.99</v>
      </c>
      <c r="G143" s="10">
        <f t="shared" ref="G143:G145" si="5">F143*(1-H143)</f>
        <v>27.996</v>
      </c>
      <c r="H143" s="31">
        <v>0.6</v>
      </c>
      <c r="I143" s="94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</row>
    <row r="144" ht="15.75" customHeight="1">
      <c r="A144" s="117" t="s">
        <v>107</v>
      </c>
      <c r="B144" s="12"/>
      <c r="C144" s="12"/>
      <c r="D144" s="1"/>
      <c r="E144" s="1" t="s">
        <v>13</v>
      </c>
      <c r="F144" s="3">
        <v>44.99</v>
      </c>
      <c r="G144" s="10">
        <f t="shared" si="5"/>
        <v>30.1433</v>
      </c>
      <c r="H144" s="31">
        <v>0.33</v>
      </c>
      <c r="I144" s="94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</row>
    <row r="145" ht="15.75" customHeight="1">
      <c r="A145" s="117" t="s">
        <v>107</v>
      </c>
      <c r="B145" s="12">
        <v>45308.0</v>
      </c>
      <c r="C145" s="12">
        <v>45322.0</v>
      </c>
      <c r="D145" s="1" t="s">
        <v>520</v>
      </c>
      <c r="E145" s="1" t="s">
        <v>5</v>
      </c>
      <c r="F145" s="3">
        <v>49.99</v>
      </c>
      <c r="G145" s="10">
        <f t="shared" si="5"/>
        <v>19.996</v>
      </c>
      <c r="H145" s="31">
        <v>0.6</v>
      </c>
      <c r="I145" s="94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</row>
    <row r="146" ht="15.75" customHeight="1">
      <c r="A146" s="117" t="s">
        <v>107</v>
      </c>
      <c r="B146" s="12"/>
      <c r="C146" s="12"/>
      <c r="D146" s="1"/>
      <c r="E146" s="1" t="s">
        <v>3</v>
      </c>
      <c r="F146" s="3" t="s">
        <v>4</v>
      </c>
      <c r="G146" s="10" t="s">
        <v>4</v>
      </c>
      <c r="H146" s="31">
        <v>0.2</v>
      </c>
      <c r="I146" s="94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</row>
    <row r="147" ht="15.75" customHeight="1">
      <c r="A147" s="118" t="s">
        <v>107</v>
      </c>
      <c r="B147" s="78">
        <v>45322.0</v>
      </c>
      <c r="C147" s="78">
        <v>45336.0</v>
      </c>
      <c r="D147" s="79" t="s">
        <v>476</v>
      </c>
      <c r="E147" s="79" t="s">
        <v>0</v>
      </c>
      <c r="F147" s="119">
        <v>39.99</v>
      </c>
      <c r="G147" s="120">
        <f t="shared" ref="G147:G153" si="6">F147*(1-H147)</f>
        <v>15.996</v>
      </c>
      <c r="H147" s="121">
        <v>0.6</v>
      </c>
      <c r="I147" s="94" t="s">
        <v>553</v>
      </c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</row>
    <row r="148" ht="15.75" customHeight="1">
      <c r="A148" s="118" t="s">
        <v>107</v>
      </c>
      <c r="B148" s="78"/>
      <c r="C148" s="78"/>
      <c r="D148" s="79"/>
      <c r="E148" s="79" t="s">
        <v>12</v>
      </c>
      <c r="F148" s="119">
        <v>79.99</v>
      </c>
      <c r="G148" s="120">
        <f t="shared" si="6"/>
        <v>55.993</v>
      </c>
      <c r="H148" s="121">
        <v>0.3</v>
      </c>
      <c r="I148" s="94" t="s">
        <v>553</v>
      </c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</row>
    <row r="149" ht="15.75" customHeight="1">
      <c r="A149" s="118" t="s">
        <v>107</v>
      </c>
      <c r="B149" s="78">
        <v>45336.0</v>
      </c>
      <c r="C149" s="78">
        <v>45350.0</v>
      </c>
      <c r="D149" s="79" t="s">
        <v>424</v>
      </c>
      <c r="E149" s="79" t="s">
        <v>1</v>
      </c>
      <c r="F149" s="119">
        <v>69.99</v>
      </c>
      <c r="G149" s="120">
        <f t="shared" si="6"/>
        <v>27.996</v>
      </c>
      <c r="H149" s="121">
        <v>0.6</v>
      </c>
      <c r="I149" s="94" t="s">
        <v>553</v>
      </c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</row>
    <row r="150" ht="15.75" customHeight="1">
      <c r="A150" s="118" t="s">
        <v>107</v>
      </c>
      <c r="B150" s="78"/>
      <c r="C150" s="78"/>
      <c r="D150" s="79"/>
      <c r="E150" s="79" t="s">
        <v>13</v>
      </c>
      <c r="F150" s="119">
        <v>44.99</v>
      </c>
      <c r="G150" s="120">
        <f t="shared" si="6"/>
        <v>35.992</v>
      </c>
      <c r="H150" s="121">
        <v>0.2</v>
      </c>
      <c r="I150" s="94" t="s">
        <v>553</v>
      </c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</row>
    <row r="151" ht="15.75" customHeight="1">
      <c r="A151" s="117" t="s">
        <v>107</v>
      </c>
      <c r="B151" s="12">
        <v>45350.0</v>
      </c>
      <c r="C151" s="12">
        <v>45364.0</v>
      </c>
      <c r="D151" s="1" t="s">
        <v>523</v>
      </c>
      <c r="E151" s="1" t="s">
        <v>1</v>
      </c>
      <c r="F151" s="3">
        <v>69.99</v>
      </c>
      <c r="G151" s="10">
        <f t="shared" si="6"/>
        <v>41.994</v>
      </c>
      <c r="H151" s="31">
        <v>0.4</v>
      </c>
      <c r="I151" s="94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</row>
    <row r="152" ht="15.75" customHeight="1">
      <c r="A152" s="117" t="s">
        <v>107</v>
      </c>
      <c r="B152" s="12"/>
      <c r="C152" s="12"/>
      <c r="D152" s="1"/>
      <c r="E152" s="1" t="s">
        <v>13</v>
      </c>
      <c r="F152" s="3">
        <v>44.99</v>
      </c>
      <c r="G152" s="10">
        <f t="shared" si="6"/>
        <v>31.493</v>
      </c>
      <c r="H152" s="31">
        <v>0.3</v>
      </c>
      <c r="I152" s="94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</row>
    <row r="153" ht="15.75" customHeight="1">
      <c r="A153" s="117" t="s">
        <v>107</v>
      </c>
      <c r="B153" s="12">
        <v>45364.0</v>
      </c>
      <c r="C153" s="12">
        <v>45378.0</v>
      </c>
      <c r="D153" s="1" t="s">
        <v>554</v>
      </c>
      <c r="E153" s="1" t="s">
        <v>5</v>
      </c>
      <c r="F153" s="3">
        <v>49.99</v>
      </c>
      <c r="G153" s="10">
        <f t="shared" si="6"/>
        <v>29.994</v>
      </c>
      <c r="H153" s="31">
        <v>0.4</v>
      </c>
      <c r="I153" s="94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</row>
    <row r="154" ht="15.75" customHeight="1">
      <c r="A154" s="117" t="s">
        <v>107</v>
      </c>
      <c r="B154" s="12"/>
      <c r="C154" s="12"/>
      <c r="D154" s="1"/>
      <c r="E154" s="1" t="s">
        <v>3</v>
      </c>
      <c r="F154" s="3" t="s">
        <v>4</v>
      </c>
      <c r="G154" s="10" t="s">
        <v>4</v>
      </c>
      <c r="H154" s="31">
        <v>0.3</v>
      </c>
      <c r="I154" s="94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</row>
    <row r="155" ht="15.75" customHeight="1">
      <c r="A155" s="117" t="s">
        <v>107</v>
      </c>
      <c r="B155" s="12">
        <v>45378.0</v>
      </c>
      <c r="C155" s="12">
        <v>45392.0</v>
      </c>
      <c r="D155" s="1" t="s">
        <v>146</v>
      </c>
      <c r="E155" s="1" t="s">
        <v>0</v>
      </c>
      <c r="F155" s="3">
        <v>39.99</v>
      </c>
      <c r="G155" s="10">
        <f t="shared" ref="G155:G159" si="7">F155*(1-H155)</f>
        <v>27.993</v>
      </c>
      <c r="H155" s="31">
        <v>0.3</v>
      </c>
      <c r="I155" s="94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</row>
    <row r="156" ht="15.75" customHeight="1">
      <c r="A156" s="117" t="s">
        <v>107</v>
      </c>
      <c r="B156" s="12"/>
      <c r="C156" s="12"/>
      <c r="D156" s="1"/>
      <c r="E156" s="1" t="s">
        <v>12</v>
      </c>
      <c r="F156" s="3">
        <v>79.99</v>
      </c>
      <c r="G156" s="10">
        <f t="shared" si="7"/>
        <v>47.994</v>
      </c>
      <c r="H156" s="31">
        <v>0.4</v>
      </c>
      <c r="I156" s="94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</row>
    <row r="157" ht="15.75" customHeight="1">
      <c r="A157" s="117" t="s">
        <v>107</v>
      </c>
      <c r="B157" s="12">
        <v>45392.0</v>
      </c>
      <c r="C157" s="12">
        <v>45406.0</v>
      </c>
      <c r="D157" s="1" t="s">
        <v>147</v>
      </c>
      <c r="E157" s="1" t="s">
        <v>1</v>
      </c>
      <c r="F157" s="3">
        <v>69.99</v>
      </c>
      <c r="G157" s="10">
        <f t="shared" si="7"/>
        <v>41.994</v>
      </c>
      <c r="H157" s="31">
        <v>0.4</v>
      </c>
      <c r="I157" s="94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</row>
    <row r="158" ht="15.75" customHeight="1">
      <c r="A158" s="117" t="s">
        <v>107</v>
      </c>
      <c r="B158" s="12"/>
      <c r="C158" s="12"/>
      <c r="D158" s="1"/>
      <c r="E158" s="1" t="s">
        <v>13</v>
      </c>
      <c r="F158" s="3">
        <v>44.99</v>
      </c>
      <c r="G158" s="10">
        <f t="shared" si="7"/>
        <v>31.493</v>
      </c>
      <c r="H158" s="31">
        <v>0.3</v>
      </c>
      <c r="I158" s="94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</row>
    <row r="159" ht="15.75" customHeight="1">
      <c r="A159" s="117" t="s">
        <v>107</v>
      </c>
      <c r="B159" s="12">
        <v>45406.0</v>
      </c>
      <c r="C159" s="12">
        <v>45420.0</v>
      </c>
      <c r="D159" s="113" t="s">
        <v>555</v>
      </c>
      <c r="E159" s="1" t="s">
        <v>5</v>
      </c>
      <c r="F159" s="3">
        <v>49.99</v>
      </c>
      <c r="G159" s="10">
        <f t="shared" si="7"/>
        <v>29.994</v>
      </c>
      <c r="H159" s="31">
        <v>0.4</v>
      </c>
      <c r="I159" s="94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</row>
    <row r="160" ht="15.75" customHeight="1">
      <c r="A160" s="117" t="s">
        <v>107</v>
      </c>
      <c r="B160" s="12"/>
      <c r="C160" s="12"/>
      <c r="D160" s="113"/>
      <c r="E160" s="1" t="s">
        <v>3</v>
      </c>
      <c r="F160" s="3" t="s">
        <v>4</v>
      </c>
      <c r="G160" s="10" t="s">
        <v>4</v>
      </c>
      <c r="H160" s="31">
        <v>0.3</v>
      </c>
      <c r="I160" s="94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</row>
    <row r="161" ht="15.75" customHeight="1">
      <c r="A161" s="117" t="s">
        <v>107</v>
      </c>
      <c r="B161" s="12">
        <v>45420.0</v>
      </c>
      <c r="C161" s="12">
        <v>45434.0</v>
      </c>
      <c r="D161" s="113" t="s">
        <v>525</v>
      </c>
      <c r="E161" s="1" t="s">
        <v>0</v>
      </c>
      <c r="F161" s="3">
        <v>39.99</v>
      </c>
      <c r="G161" s="10">
        <f t="shared" ref="G161:G166" si="8">F161*(1-H161)</f>
        <v>19.995</v>
      </c>
      <c r="H161" s="31">
        <v>0.5</v>
      </c>
      <c r="I161" s="94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</row>
    <row r="162" ht="15.75" customHeight="1">
      <c r="A162" s="117" t="s">
        <v>107</v>
      </c>
      <c r="B162" s="12"/>
      <c r="C162" s="12"/>
      <c r="D162" s="113"/>
      <c r="E162" s="1" t="s">
        <v>12</v>
      </c>
      <c r="F162" s="3">
        <v>79.99</v>
      </c>
      <c r="G162" s="10">
        <f t="shared" si="8"/>
        <v>47.994</v>
      </c>
      <c r="H162" s="31">
        <v>0.4</v>
      </c>
      <c r="I162" s="94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</row>
    <row r="163" ht="15.75" customHeight="1">
      <c r="A163" s="117" t="s">
        <v>107</v>
      </c>
      <c r="B163" s="12"/>
      <c r="C163" s="12"/>
      <c r="D163" s="113"/>
      <c r="E163" s="1" t="s">
        <v>15</v>
      </c>
      <c r="F163" s="3">
        <v>59.99</v>
      </c>
      <c r="G163" s="10">
        <f t="shared" si="8"/>
        <v>47.992</v>
      </c>
      <c r="H163" s="31">
        <v>0.2</v>
      </c>
      <c r="I163" s="94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</row>
    <row r="164" ht="15.75" customHeight="1">
      <c r="A164" s="117" t="s">
        <v>107</v>
      </c>
      <c r="B164" s="12">
        <v>45434.0</v>
      </c>
      <c r="C164" s="12">
        <v>45448.0</v>
      </c>
      <c r="D164" s="113" t="s">
        <v>424</v>
      </c>
      <c r="E164" s="1" t="s">
        <v>1</v>
      </c>
      <c r="F164" s="3">
        <v>69.99</v>
      </c>
      <c r="G164" s="10">
        <f t="shared" si="8"/>
        <v>34.995</v>
      </c>
      <c r="H164" s="31">
        <v>0.5</v>
      </c>
      <c r="I164" s="94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</row>
    <row r="165" ht="15.75" customHeight="1">
      <c r="A165" s="117" t="s">
        <v>107</v>
      </c>
      <c r="B165" s="12"/>
      <c r="C165" s="12"/>
      <c r="D165" s="113"/>
      <c r="E165" s="1" t="s">
        <v>13</v>
      </c>
      <c r="F165" s="3">
        <v>44.99</v>
      </c>
      <c r="G165" s="10">
        <f t="shared" si="8"/>
        <v>31.493</v>
      </c>
      <c r="H165" s="31">
        <v>0.3</v>
      </c>
      <c r="I165" s="94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</row>
    <row r="166" ht="15.75" customHeight="1">
      <c r="A166" s="117" t="s">
        <v>107</v>
      </c>
      <c r="B166" s="12">
        <v>45448.0</v>
      </c>
      <c r="C166" s="12">
        <v>45462.0</v>
      </c>
      <c r="D166" s="113" t="s">
        <v>556</v>
      </c>
      <c r="E166" s="1" t="s">
        <v>5</v>
      </c>
      <c r="F166" s="3">
        <v>49.99</v>
      </c>
      <c r="G166" s="10">
        <f t="shared" si="8"/>
        <v>24.995</v>
      </c>
      <c r="H166" s="31">
        <v>0.5</v>
      </c>
      <c r="I166" s="94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</row>
    <row r="167" ht="15.75" customHeight="1">
      <c r="A167" s="117" t="s">
        <v>107</v>
      </c>
      <c r="B167" s="12"/>
      <c r="C167" s="12"/>
      <c r="D167" s="113"/>
      <c r="E167" s="1" t="s">
        <v>3</v>
      </c>
      <c r="F167" s="3" t="s">
        <v>4</v>
      </c>
      <c r="G167" s="10" t="s">
        <v>4</v>
      </c>
      <c r="H167" s="31">
        <v>0.3</v>
      </c>
      <c r="I167" s="94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</row>
    <row r="168" ht="15.75" customHeight="1">
      <c r="A168" s="117" t="s">
        <v>107</v>
      </c>
      <c r="B168" s="12">
        <v>45462.0</v>
      </c>
      <c r="C168" s="12">
        <v>45476.0</v>
      </c>
      <c r="D168" s="113" t="s">
        <v>558</v>
      </c>
      <c r="E168" s="1" t="s">
        <v>0</v>
      </c>
      <c r="F168" s="3">
        <v>39.99</v>
      </c>
      <c r="G168" s="10">
        <f t="shared" ref="G168:G174" si="9">F168*(1-H168)</f>
        <v>19.995</v>
      </c>
      <c r="H168" s="31">
        <v>0.5</v>
      </c>
      <c r="I168" s="94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</row>
    <row r="169" ht="15.75" customHeight="1">
      <c r="A169" s="117" t="s">
        <v>107</v>
      </c>
      <c r="B169" s="12"/>
      <c r="C169" s="12"/>
      <c r="D169" s="113"/>
      <c r="E169" s="1" t="s">
        <v>12</v>
      </c>
      <c r="F169" s="3">
        <v>79.99</v>
      </c>
      <c r="G169" s="10">
        <f t="shared" si="9"/>
        <v>47.994</v>
      </c>
      <c r="H169" s="31">
        <v>0.4</v>
      </c>
      <c r="I169" s="94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</row>
    <row r="170" ht="15.75" customHeight="1">
      <c r="A170" s="117" t="s">
        <v>107</v>
      </c>
      <c r="B170" s="12"/>
      <c r="C170" s="12"/>
      <c r="D170" s="113"/>
      <c r="E170" s="1" t="s">
        <v>15</v>
      </c>
      <c r="F170" s="3">
        <v>59.99</v>
      </c>
      <c r="G170" s="10">
        <f t="shared" si="9"/>
        <v>47.992</v>
      </c>
      <c r="H170" s="31">
        <v>0.2</v>
      </c>
      <c r="I170" s="94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</row>
    <row r="171" ht="15.75" customHeight="1">
      <c r="A171" s="117" t="s">
        <v>107</v>
      </c>
      <c r="B171" s="12">
        <v>45476.0</v>
      </c>
      <c r="C171" s="12">
        <v>45490.0</v>
      </c>
      <c r="D171" s="113" t="s">
        <v>554</v>
      </c>
      <c r="E171" s="1" t="s">
        <v>1</v>
      </c>
      <c r="F171" s="3">
        <v>69.99</v>
      </c>
      <c r="G171" s="10">
        <f t="shared" si="9"/>
        <v>34.995</v>
      </c>
      <c r="H171" s="31">
        <v>0.5</v>
      </c>
      <c r="I171" s="94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</row>
    <row r="172" ht="15.75" customHeight="1">
      <c r="A172" s="117" t="s">
        <v>107</v>
      </c>
      <c r="B172" s="12"/>
      <c r="C172" s="12"/>
      <c r="D172" s="113"/>
      <c r="E172" s="1" t="s">
        <v>13</v>
      </c>
      <c r="F172" s="3">
        <v>44.99</v>
      </c>
      <c r="G172" s="10">
        <f t="shared" si="9"/>
        <v>31.493</v>
      </c>
      <c r="H172" s="31">
        <v>0.3</v>
      </c>
      <c r="I172" s="94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</row>
    <row r="173" ht="15.75" customHeight="1">
      <c r="A173" s="117" t="s">
        <v>107</v>
      </c>
      <c r="B173" s="12"/>
      <c r="C173" s="12"/>
      <c r="D173" s="113"/>
      <c r="E173" s="1" t="s">
        <v>16</v>
      </c>
      <c r="F173" s="114">
        <v>34.99</v>
      </c>
      <c r="G173" s="10">
        <f t="shared" si="9"/>
        <v>27.992</v>
      </c>
      <c r="H173" s="115">
        <v>0.2</v>
      </c>
      <c r="I173" s="94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</row>
    <row r="174" ht="15.75" customHeight="1">
      <c r="A174" s="117" t="s">
        <v>107</v>
      </c>
      <c r="B174" s="12">
        <v>45490.0</v>
      </c>
      <c r="C174" s="12">
        <v>45504.0</v>
      </c>
      <c r="D174" s="113" t="s">
        <v>419</v>
      </c>
      <c r="E174" s="1" t="s">
        <v>5</v>
      </c>
      <c r="F174" s="3">
        <v>49.99</v>
      </c>
      <c r="G174" s="10">
        <f t="shared" si="9"/>
        <v>24.995</v>
      </c>
      <c r="H174" s="31">
        <v>0.5</v>
      </c>
      <c r="I174" s="94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</row>
    <row r="175" ht="15.75" customHeight="1">
      <c r="A175" s="117" t="s">
        <v>107</v>
      </c>
      <c r="B175" s="12"/>
      <c r="C175" s="12"/>
      <c r="D175" s="113"/>
      <c r="E175" s="1" t="s">
        <v>3</v>
      </c>
      <c r="F175" s="3" t="s">
        <v>4</v>
      </c>
      <c r="G175" s="10" t="s">
        <v>4</v>
      </c>
      <c r="H175" s="31">
        <v>0.3</v>
      </c>
      <c r="I175" s="94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</row>
    <row r="176" ht="15.75" customHeight="1">
      <c r="A176" s="117" t="s">
        <v>107</v>
      </c>
      <c r="B176" s="12">
        <v>45504.0</v>
      </c>
      <c r="C176" s="12">
        <v>45518.0</v>
      </c>
      <c r="D176" s="113" t="s">
        <v>559</v>
      </c>
      <c r="E176" s="1" t="s">
        <v>0</v>
      </c>
      <c r="F176" s="3">
        <v>39.99</v>
      </c>
      <c r="G176" s="10">
        <f t="shared" ref="G176:G179" si="10">F176*(1-H176)</f>
        <v>19.995</v>
      </c>
      <c r="H176" s="31">
        <v>0.5</v>
      </c>
      <c r="I176" s="94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</row>
    <row r="177" ht="15.75" customHeight="1">
      <c r="A177" s="117" t="s">
        <v>107</v>
      </c>
      <c r="B177" s="12"/>
      <c r="C177" s="12"/>
      <c r="D177" s="113"/>
      <c r="E177" s="1" t="s">
        <v>12</v>
      </c>
      <c r="F177" s="3">
        <v>79.99</v>
      </c>
      <c r="G177" s="10">
        <f t="shared" si="10"/>
        <v>47.994</v>
      </c>
      <c r="H177" s="31">
        <v>0.4</v>
      </c>
      <c r="I177" s="94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</row>
    <row r="178" ht="15.75" customHeight="1">
      <c r="A178" s="117" t="s">
        <v>107</v>
      </c>
      <c r="B178" s="12"/>
      <c r="C178" s="12"/>
      <c r="D178" s="113"/>
      <c r="E178" s="1" t="s">
        <v>15</v>
      </c>
      <c r="F178" s="3">
        <v>59.99</v>
      </c>
      <c r="G178" s="10">
        <f t="shared" si="10"/>
        <v>47.992</v>
      </c>
      <c r="H178" s="31">
        <v>0.2</v>
      </c>
      <c r="I178" s="94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</row>
    <row r="179" ht="15.75" customHeight="1">
      <c r="A179" s="117" t="s">
        <v>107</v>
      </c>
      <c r="B179" s="12">
        <v>45518.0</v>
      </c>
      <c r="C179" s="12">
        <v>45525.0</v>
      </c>
      <c r="D179" s="113" t="s">
        <v>561</v>
      </c>
      <c r="E179" s="1" t="s">
        <v>5</v>
      </c>
      <c r="F179" s="3">
        <v>49.99</v>
      </c>
      <c r="G179" s="10">
        <f t="shared" si="10"/>
        <v>24.995</v>
      </c>
      <c r="H179" s="31">
        <v>0.5</v>
      </c>
      <c r="I179" s="94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</row>
    <row r="180" ht="15.75" customHeight="1">
      <c r="A180" s="117" t="s">
        <v>107</v>
      </c>
      <c r="B180" s="12"/>
      <c r="C180" s="12"/>
      <c r="D180" s="113"/>
      <c r="E180" s="1" t="s">
        <v>3</v>
      </c>
      <c r="F180" s="3" t="s">
        <v>4</v>
      </c>
      <c r="G180" s="10" t="s">
        <v>4</v>
      </c>
      <c r="H180" s="31">
        <v>0.3</v>
      </c>
      <c r="I180" s="94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</row>
    <row r="181" ht="15.75" customHeight="1">
      <c r="A181" s="117" t="s">
        <v>107</v>
      </c>
      <c r="B181" s="12">
        <v>45518.0</v>
      </c>
      <c r="C181" s="12">
        <v>45532.0</v>
      </c>
      <c r="D181" s="113" t="s">
        <v>562</v>
      </c>
      <c r="E181" s="1" t="s">
        <v>1</v>
      </c>
      <c r="F181" s="3">
        <v>69.99</v>
      </c>
      <c r="G181" s="10">
        <f t="shared" ref="G181:G184" si="11">F181*(1-H181)</f>
        <v>34.995</v>
      </c>
      <c r="H181" s="31">
        <v>0.5</v>
      </c>
      <c r="I181" s="94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</row>
    <row r="182" ht="15.75" customHeight="1">
      <c r="A182" s="117" t="s">
        <v>107</v>
      </c>
      <c r="B182" s="12"/>
      <c r="C182" s="12"/>
      <c r="D182" s="113"/>
      <c r="E182" s="1" t="s">
        <v>13</v>
      </c>
      <c r="F182" s="3">
        <v>44.99</v>
      </c>
      <c r="G182" s="10">
        <f t="shared" si="11"/>
        <v>31.493</v>
      </c>
      <c r="H182" s="31">
        <v>0.3</v>
      </c>
      <c r="I182" s="94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</row>
    <row r="183" ht="15.75" customHeight="1">
      <c r="A183" s="117" t="s">
        <v>107</v>
      </c>
      <c r="B183" s="12"/>
      <c r="C183" s="12"/>
      <c r="D183" s="113"/>
      <c r="E183" s="1" t="s">
        <v>16</v>
      </c>
      <c r="F183" s="114">
        <v>34.99</v>
      </c>
      <c r="G183" s="10">
        <f t="shared" si="11"/>
        <v>27.992</v>
      </c>
      <c r="H183" s="115">
        <v>0.2</v>
      </c>
      <c r="I183" s="94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</row>
    <row r="184" ht="15.75" customHeight="1">
      <c r="A184" s="117" t="s">
        <v>107</v>
      </c>
      <c r="B184" s="12">
        <v>45532.0</v>
      </c>
      <c r="C184" s="12">
        <v>45546.0</v>
      </c>
      <c r="D184" s="113" t="s">
        <v>144</v>
      </c>
      <c r="E184" s="1" t="s">
        <v>5</v>
      </c>
      <c r="F184" s="3">
        <v>49.99</v>
      </c>
      <c r="G184" s="10">
        <f t="shared" si="11"/>
        <v>24.995</v>
      </c>
      <c r="H184" s="31">
        <v>0.5</v>
      </c>
      <c r="I184" s="94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</row>
    <row r="185" ht="15.75" customHeight="1">
      <c r="A185" s="117" t="s">
        <v>107</v>
      </c>
      <c r="B185" s="12"/>
      <c r="C185" s="12"/>
      <c r="D185" s="113"/>
      <c r="E185" s="1" t="s">
        <v>3</v>
      </c>
      <c r="F185" s="3" t="s">
        <v>4</v>
      </c>
      <c r="G185" s="10" t="s">
        <v>4</v>
      </c>
      <c r="H185" s="31">
        <v>0.3</v>
      </c>
      <c r="I185" s="94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</row>
    <row r="186" ht="15.75" customHeight="1">
      <c r="A186" s="117" t="s">
        <v>107</v>
      </c>
      <c r="B186" s="12">
        <v>45546.0</v>
      </c>
      <c r="C186" s="12">
        <v>45560.0</v>
      </c>
      <c r="D186" s="113" t="s">
        <v>424</v>
      </c>
      <c r="E186" s="1" t="s">
        <v>0</v>
      </c>
      <c r="F186" s="3">
        <v>39.99</v>
      </c>
      <c r="G186" s="10">
        <f t="shared" ref="G186:G192" si="12">F186*(1-H186)</f>
        <v>19.995</v>
      </c>
      <c r="H186" s="31">
        <v>0.5</v>
      </c>
      <c r="I186" s="94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</row>
    <row r="187" ht="15.75" customHeight="1">
      <c r="A187" s="117" t="s">
        <v>107</v>
      </c>
      <c r="B187" s="12"/>
      <c r="C187" s="12"/>
      <c r="D187" s="113"/>
      <c r="E187" s="1" t="s">
        <v>12</v>
      </c>
      <c r="F187" s="3">
        <v>79.99</v>
      </c>
      <c r="G187" s="10">
        <f t="shared" si="12"/>
        <v>47.994</v>
      </c>
      <c r="H187" s="31">
        <v>0.4</v>
      </c>
      <c r="I187" s="94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</row>
    <row r="188" ht="15.75" customHeight="1">
      <c r="A188" s="117" t="s">
        <v>107</v>
      </c>
      <c r="B188" s="12"/>
      <c r="C188" s="12"/>
      <c r="D188" s="113"/>
      <c r="E188" s="1" t="s">
        <v>15</v>
      </c>
      <c r="F188" s="3">
        <v>59.99</v>
      </c>
      <c r="G188" s="10">
        <f t="shared" si="12"/>
        <v>47.992</v>
      </c>
      <c r="H188" s="31">
        <v>0.2</v>
      </c>
      <c r="I188" s="94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</row>
    <row r="189" ht="15.75" customHeight="1">
      <c r="A189" s="117" t="s">
        <v>107</v>
      </c>
      <c r="B189" s="12">
        <v>45553.0</v>
      </c>
      <c r="C189" s="12">
        <v>45567.0</v>
      </c>
      <c r="D189" s="113" t="s">
        <v>563</v>
      </c>
      <c r="E189" s="1" t="s">
        <v>1</v>
      </c>
      <c r="F189" s="3">
        <v>69.99</v>
      </c>
      <c r="G189" s="10">
        <f t="shared" si="12"/>
        <v>34.995</v>
      </c>
      <c r="H189" s="31">
        <v>0.5</v>
      </c>
      <c r="I189" s="94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</row>
    <row r="190" ht="15.75" customHeight="1">
      <c r="A190" s="117" t="s">
        <v>107</v>
      </c>
      <c r="B190" s="12"/>
      <c r="C190" s="12"/>
      <c r="D190" s="113"/>
      <c r="E190" s="1" t="s">
        <v>13</v>
      </c>
      <c r="F190" s="3">
        <v>44.99</v>
      </c>
      <c r="G190" s="10">
        <f t="shared" si="12"/>
        <v>31.493</v>
      </c>
      <c r="H190" s="31">
        <v>0.3</v>
      </c>
      <c r="I190" s="94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</row>
    <row r="191" ht="15.75" customHeight="1">
      <c r="A191" s="117" t="s">
        <v>107</v>
      </c>
      <c r="B191" s="12"/>
      <c r="C191" s="12"/>
      <c r="D191" s="113"/>
      <c r="E191" s="1" t="s">
        <v>16</v>
      </c>
      <c r="F191" s="114">
        <v>34.99</v>
      </c>
      <c r="G191" s="10">
        <f t="shared" si="12"/>
        <v>27.992</v>
      </c>
      <c r="H191" s="115">
        <v>0.2</v>
      </c>
      <c r="I191" s="94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</row>
    <row r="192" ht="15.75" customHeight="1">
      <c r="A192" s="117" t="s">
        <v>107</v>
      </c>
      <c r="B192" s="12">
        <v>45574.0</v>
      </c>
      <c r="C192" s="12">
        <v>45588.0</v>
      </c>
      <c r="D192" s="113" t="s">
        <v>564</v>
      </c>
      <c r="E192" s="1" t="s">
        <v>5</v>
      </c>
      <c r="F192" s="3">
        <v>49.99</v>
      </c>
      <c r="G192" s="10">
        <f t="shared" si="12"/>
        <v>24.995</v>
      </c>
      <c r="H192" s="31">
        <v>0.5</v>
      </c>
      <c r="I192" s="94"/>
      <c r="J192" s="1" t="s">
        <v>0</v>
      </c>
      <c r="K192" s="3">
        <v>39.99</v>
      </c>
      <c r="L192" s="10">
        <f t="shared" ref="L192:L195" si="13">K192*(1-M192)</f>
        <v>19.995</v>
      </c>
      <c r="M192" s="31">
        <v>0.5</v>
      </c>
      <c r="N192" s="93"/>
      <c r="O192" s="10">
        <f t="shared" ref="O192:O195" si="14">K192*(1-P192)</f>
        <v>15.996</v>
      </c>
      <c r="P192" s="123">
        <v>0.6</v>
      </c>
      <c r="R192" s="93"/>
      <c r="S192" s="93"/>
      <c r="T192" s="93"/>
      <c r="U192" s="93"/>
      <c r="V192" s="93"/>
      <c r="W192" s="93"/>
      <c r="X192" s="93"/>
      <c r="Y192" s="93"/>
    </row>
    <row r="193" ht="15.75" customHeight="1">
      <c r="A193" s="117" t="s">
        <v>107</v>
      </c>
      <c r="B193" s="12"/>
      <c r="C193" s="12"/>
      <c r="D193" s="113"/>
      <c r="E193" s="1" t="s">
        <v>3</v>
      </c>
      <c r="F193" s="3" t="s">
        <v>4</v>
      </c>
      <c r="G193" s="10" t="s">
        <v>4</v>
      </c>
      <c r="H193" s="31">
        <v>0.3</v>
      </c>
      <c r="I193" s="94"/>
      <c r="J193" s="1" t="s">
        <v>5</v>
      </c>
      <c r="K193" s="3">
        <v>49.99</v>
      </c>
      <c r="L193" s="10">
        <f t="shared" si="13"/>
        <v>24.995</v>
      </c>
      <c r="M193" s="31">
        <v>0.5</v>
      </c>
      <c r="N193" s="93"/>
      <c r="O193" s="10">
        <f t="shared" si="14"/>
        <v>19.996</v>
      </c>
      <c r="P193" s="123">
        <v>0.6</v>
      </c>
      <c r="R193" s="93"/>
      <c r="S193" s="93"/>
      <c r="T193" s="93"/>
      <c r="U193" s="93"/>
      <c r="V193" s="93"/>
      <c r="W193" s="93"/>
      <c r="X193" s="93"/>
      <c r="Y193" s="93"/>
    </row>
    <row r="194" ht="15.75" customHeight="1">
      <c r="A194" s="117" t="s">
        <v>107</v>
      </c>
      <c r="B194" s="12">
        <v>45588.0</v>
      </c>
      <c r="C194" s="12">
        <v>45602.0</v>
      </c>
      <c r="D194" s="113" t="s">
        <v>554</v>
      </c>
      <c r="E194" s="1" t="s">
        <v>12</v>
      </c>
      <c r="F194" s="3">
        <v>79.99</v>
      </c>
      <c r="G194" s="10">
        <f t="shared" ref="G194:G198" si="15">F194*(1-H194)</f>
        <v>47.994</v>
      </c>
      <c r="H194" s="31">
        <v>0.4</v>
      </c>
      <c r="I194" s="94"/>
      <c r="J194" s="1" t="s">
        <v>1</v>
      </c>
      <c r="K194" s="3">
        <v>69.99</v>
      </c>
      <c r="L194" s="10">
        <f t="shared" si="13"/>
        <v>34.995</v>
      </c>
      <c r="M194" s="31">
        <v>0.5</v>
      </c>
      <c r="N194" s="93"/>
      <c r="O194" s="10">
        <f t="shared" si="14"/>
        <v>27.996</v>
      </c>
      <c r="P194" s="123">
        <v>0.6</v>
      </c>
      <c r="R194" s="93"/>
      <c r="S194" s="93"/>
      <c r="T194" s="93"/>
      <c r="U194" s="93"/>
      <c r="V194" s="93"/>
      <c r="W194" s="93"/>
      <c r="X194" s="93"/>
      <c r="Y194" s="93"/>
    </row>
    <row r="195" ht="15.75" customHeight="1">
      <c r="A195" s="117" t="s">
        <v>107</v>
      </c>
      <c r="B195" s="12"/>
      <c r="C195" s="12"/>
      <c r="D195" s="113"/>
      <c r="E195" s="1" t="s">
        <v>13</v>
      </c>
      <c r="F195" s="3">
        <v>44.99</v>
      </c>
      <c r="G195" s="10">
        <f t="shared" si="15"/>
        <v>31.493</v>
      </c>
      <c r="H195" s="31">
        <v>0.3</v>
      </c>
      <c r="I195" s="94"/>
      <c r="J195" s="1" t="s">
        <v>12</v>
      </c>
      <c r="K195" s="3">
        <v>79.99</v>
      </c>
      <c r="L195" s="10">
        <f t="shared" si="13"/>
        <v>47.994</v>
      </c>
      <c r="M195" s="31">
        <v>0.4</v>
      </c>
      <c r="N195" s="93"/>
      <c r="O195" s="10">
        <f t="shared" si="14"/>
        <v>39.995</v>
      </c>
      <c r="P195" s="123">
        <v>0.5</v>
      </c>
      <c r="R195" s="93"/>
      <c r="S195" s="93"/>
      <c r="T195" s="93"/>
      <c r="U195" s="93"/>
      <c r="V195" s="93"/>
      <c r="W195" s="93"/>
      <c r="X195" s="93"/>
      <c r="Y195" s="93"/>
    </row>
    <row r="196" ht="15.75" customHeight="1">
      <c r="A196" s="117" t="s">
        <v>107</v>
      </c>
      <c r="B196" s="12"/>
      <c r="C196" s="12"/>
      <c r="D196" s="113"/>
      <c r="E196" s="1" t="s">
        <v>15</v>
      </c>
      <c r="F196" s="3">
        <v>59.99</v>
      </c>
      <c r="G196" s="10">
        <f t="shared" si="15"/>
        <v>47.992</v>
      </c>
      <c r="H196" s="31">
        <v>0.2</v>
      </c>
      <c r="I196" s="94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</row>
    <row r="197" ht="15.75" customHeight="1">
      <c r="A197" s="117" t="s">
        <v>107</v>
      </c>
      <c r="B197" s="12"/>
      <c r="C197" s="12"/>
      <c r="D197" s="113"/>
      <c r="E197" s="1" t="s">
        <v>16</v>
      </c>
      <c r="F197" s="114">
        <v>34.99</v>
      </c>
      <c r="G197" s="10">
        <f t="shared" si="15"/>
        <v>27.992</v>
      </c>
      <c r="H197" s="115">
        <v>0.2</v>
      </c>
      <c r="I197" s="94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</row>
    <row r="198" ht="15.75" customHeight="1">
      <c r="A198" s="117" t="s">
        <v>107</v>
      </c>
      <c r="B198" s="100">
        <v>45602.0</v>
      </c>
      <c r="C198" s="100">
        <v>45603.0</v>
      </c>
      <c r="D198" s="113" t="s">
        <v>567</v>
      </c>
      <c r="E198" s="1" t="s">
        <v>5</v>
      </c>
      <c r="F198" s="3">
        <v>49.99</v>
      </c>
      <c r="G198" s="10">
        <f t="shared" si="15"/>
        <v>24.995</v>
      </c>
      <c r="H198" s="31">
        <v>0.5</v>
      </c>
      <c r="I198" s="94" t="s">
        <v>568</v>
      </c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</row>
    <row r="199" ht="15.75" customHeight="1">
      <c r="A199" s="117" t="s">
        <v>107</v>
      </c>
      <c r="B199" s="12"/>
      <c r="C199" s="12"/>
      <c r="D199" s="113"/>
      <c r="E199" s="1" t="s">
        <v>3</v>
      </c>
      <c r="F199" s="3" t="s">
        <v>4</v>
      </c>
      <c r="G199" s="10" t="s">
        <v>4</v>
      </c>
      <c r="H199" s="31">
        <v>0.3</v>
      </c>
      <c r="I199" s="94" t="s">
        <v>568</v>
      </c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</row>
    <row r="200" ht="15.75" customHeight="1">
      <c r="A200" s="117" t="s">
        <v>107</v>
      </c>
      <c r="B200" s="12">
        <v>45618.0</v>
      </c>
      <c r="C200" s="12">
        <v>45628.0</v>
      </c>
      <c r="D200" s="113" t="s">
        <v>425</v>
      </c>
      <c r="E200" s="1" t="s">
        <v>0</v>
      </c>
      <c r="F200" s="3">
        <v>39.99</v>
      </c>
      <c r="G200" s="10">
        <f t="shared" ref="G200:G201" si="16">F200*(1-H200)</f>
        <v>19.995</v>
      </c>
      <c r="H200" s="23">
        <v>0.5</v>
      </c>
      <c r="I200" s="94" t="s">
        <v>570</v>
      </c>
      <c r="S200" s="93"/>
      <c r="T200" s="93"/>
      <c r="U200" s="93"/>
      <c r="V200" s="93"/>
      <c r="W200" s="93"/>
      <c r="X200" s="93"/>
      <c r="Y200" s="93"/>
    </row>
    <row r="201" ht="15.75" customHeight="1">
      <c r="A201" s="117" t="s">
        <v>107</v>
      </c>
      <c r="B201" s="12"/>
      <c r="C201" s="12"/>
      <c r="D201" s="113"/>
      <c r="E201" s="1" t="s">
        <v>1</v>
      </c>
      <c r="F201" s="3">
        <v>69.99</v>
      </c>
      <c r="G201" s="10">
        <f t="shared" si="16"/>
        <v>34.995</v>
      </c>
      <c r="H201" s="23">
        <v>0.5</v>
      </c>
      <c r="I201" s="94" t="s">
        <v>570</v>
      </c>
      <c r="S201" s="93"/>
      <c r="T201" s="93"/>
      <c r="U201" s="93"/>
      <c r="V201" s="93"/>
      <c r="W201" s="93"/>
      <c r="X201" s="93"/>
      <c r="Y201" s="93"/>
    </row>
    <row r="202" ht="15.75" customHeight="1">
      <c r="A202" s="117" t="s">
        <v>107</v>
      </c>
      <c r="B202" s="12"/>
      <c r="C202" s="12"/>
      <c r="D202" s="113"/>
      <c r="E202" s="1" t="s">
        <v>3</v>
      </c>
      <c r="F202" s="3" t="s">
        <v>4</v>
      </c>
      <c r="G202" s="10" t="s">
        <v>4</v>
      </c>
      <c r="H202" s="31">
        <v>0.3</v>
      </c>
      <c r="I202" s="94"/>
      <c r="S202" s="93"/>
      <c r="T202" s="93"/>
      <c r="U202" s="93"/>
      <c r="V202" s="93"/>
      <c r="W202" s="93"/>
      <c r="X202" s="93"/>
      <c r="Y202" s="93"/>
    </row>
    <row r="203" ht="15.75" customHeight="1">
      <c r="A203" s="117" t="s">
        <v>107</v>
      </c>
      <c r="B203" s="12">
        <v>45628.0</v>
      </c>
      <c r="C203" s="12">
        <v>45646.0</v>
      </c>
      <c r="D203" s="113" t="s">
        <v>571</v>
      </c>
      <c r="E203" s="1" t="s">
        <v>5</v>
      </c>
      <c r="F203" s="3">
        <v>49.99</v>
      </c>
      <c r="G203" s="10">
        <f t="shared" ref="G203:G209" si="17">F203*(1-H203)</f>
        <v>19.996</v>
      </c>
      <c r="H203" s="23">
        <v>0.6</v>
      </c>
      <c r="I203" s="94"/>
      <c r="S203" s="93"/>
      <c r="T203" s="93"/>
      <c r="U203" s="93"/>
      <c r="V203" s="93"/>
      <c r="W203" s="93"/>
      <c r="X203" s="93"/>
      <c r="Y203" s="93"/>
    </row>
    <row r="204" ht="15.75" customHeight="1">
      <c r="A204" s="117" t="s">
        <v>107</v>
      </c>
      <c r="B204" s="12"/>
      <c r="C204" s="12"/>
      <c r="D204" s="113"/>
      <c r="E204" s="1" t="s">
        <v>12</v>
      </c>
      <c r="F204" s="3">
        <v>79.99</v>
      </c>
      <c r="G204" s="10">
        <f t="shared" si="17"/>
        <v>39.995</v>
      </c>
      <c r="H204" s="23">
        <v>0.5</v>
      </c>
      <c r="I204" s="94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</row>
    <row r="205" ht="15.75" customHeight="1">
      <c r="A205" s="117" t="s">
        <v>107</v>
      </c>
      <c r="B205" s="12"/>
      <c r="C205" s="12"/>
      <c r="D205" s="113"/>
      <c r="E205" s="1" t="s">
        <v>13</v>
      </c>
      <c r="F205" s="3">
        <v>44.99</v>
      </c>
      <c r="G205" s="10">
        <f t="shared" si="17"/>
        <v>31.493</v>
      </c>
      <c r="H205" s="31">
        <v>0.3</v>
      </c>
      <c r="I205" s="94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</row>
    <row r="206" ht="15.75" customHeight="1">
      <c r="A206" s="117" t="s">
        <v>107</v>
      </c>
      <c r="B206" s="12"/>
      <c r="C206" s="12"/>
      <c r="D206" s="113"/>
      <c r="E206" s="1" t="s">
        <v>15</v>
      </c>
      <c r="F206" s="3">
        <v>59.99</v>
      </c>
      <c r="G206" s="10">
        <f t="shared" si="17"/>
        <v>47.992</v>
      </c>
      <c r="H206" s="31">
        <v>0.2</v>
      </c>
      <c r="I206" s="94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</row>
    <row r="207" ht="15.75" customHeight="1">
      <c r="A207" s="117" t="s">
        <v>107</v>
      </c>
      <c r="B207" s="12"/>
      <c r="C207" s="12"/>
      <c r="D207" s="113"/>
      <c r="E207" s="1" t="s">
        <v>16</v>
      </c>
      <c r="F207" s="114">
        <v>34.99</v>
      </c>
      <c r="G207" s="10">
        <f t="shared" si="17"/>
        <v>27.992</v>
      </c>
      <c r="H207" s="115">
        <v>0.2</v>
      </c>
      <c r="I207" s="94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</row>
    <row r="208" ht="15.75" customHeight="1">
      <c r="A208" s="117" t="s">
        <v>107</v>
      </c>
      <c r="B208" s="12">
        <v>45646.0</v>
      </c>
      <c r="C208" s="12">
        <v>45657.0</v>
      </c>
      <c r="D208" s="113" t="s">
        <v>316</v>
      </c>
      <c r="E208" s="1" t="s">
        <v>0</v>
      </c>
      <c r="F208" s="3">
        <v>39.99</v>
      </c>
      <c r="G208" s="10">
        <f t="shared" si="17"/>
        <v>15.996</v>
      </c>
      <c r="H208" s="23">
        <v>0.6</v>
      </c>
      <c r="I208" s="94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</row>
    <row r="209" ht="15.75" customHeight="1">
      <c r="A209" s="117" t="s">
        <v>107</v>
      </c>
      <c r="B209" s="12"/>
      <c r="C209" s="12"/>
      <c r="D209" s="113"/>
      <c r="E209" s="1" t="s">
        <v>1</v>
      </c>
      <c r="F209" s="3">
        <v>69.99</v>
      </c>
      <c r="G209" s="10">
        <f t="shared" si="17"/>
        <v>27.996</v>
      </c>
      <c r="H209" s="23">
        <v>0.6</v>
      </c>
      <c r="I209" s="94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</row>
    <row r="210" ht="15.75" customHeight="1">
      <c r="A210" s="117" t="s">
        <v>107</v>
      </c>
      <c r="B210" s="12"/>
      <c r="C210" s="12"/>
      <c r="D210" s="113"/>
      <c r="E210" s="1" t="s">
        <v>3</v>
      </c>
      <c r="F210" s="3" t="s">
        <v>4</v>
      </c>
      <c r="G210" s="10" t="s">
        <v>4</v>
      </c>
      <c r="H210" s="31">
        <v>0.3</v>
      </c>
      <c r="I210" s="94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</row>
    <row r="211" ht="15.75" customHeight="1">
      <c r="A211" s="117" t="s">
        <v>107</v>
      </c>
      <c r="B211" s="12">
        <v>45658.0</v>
      </c>
      <c r="C211" s="12">
        <v>45671.0</v>
      </c>
      <c r="D211" s="113" t="s">
        <v>317</v>
      </c>
      <c r="E211" s="1" t="s">
        <v>5</v>
      </c>
      <c r="F211" s="3">
        <v>49.99</v>
      </c>
      <c r="G211" s="10">
        <f t="shared" ref="G211:G215" si="18">F211*(1-H211)</f>
        <v>19.996</v>
      </c>
      <c r="H211" s="23">
        <v>0.6</v>
      </c>
      <c r="I211" s="94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</row>
    <row r="212" ht="15.75" customHeight="1">
      <c r="A212" s="117" t="s">
        <v>107</v>
      </c>
      <c r="B212" s="12"/>
      <c r="C212" s="12"/>
      <c r="D212" s="113"/>
      <c r="E212" s="1" t="s">
        <v>12</v>
      </c>
      <c r="F212" s="3">
        <v>79.99</v>
      </c>
      <c r="G212" s="10">
        <f t="shared" si="18"/>
        <v>39.995</v>
      </c>
      <c r="H212" s="23">
        <v>0.5</v>
      </c>
      <c r="I212" s="94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</row>
    <row r="213" ht="15.75" customHeight="1">
      <c r="A213" s="117" t="s">
        <v>107</v>
      </c>
      <c r="B213" s="12"/>
      <c r="C213" s="12"/>
      <c r="D213" s="113"/>
      <c r="E213" s="1" t="s">
        <v>13</v>
      </c>
      <c r="F213" s="3">
        <v>44.99</v>
      </c>
      <c r="G213" s="10">
        <f t="shared" si="18"/>
        <v>31.493</v>
      </c>
      <c r="H213" s="31">
        <v>0.3</v>
      </c>
      <c r="I213" s="94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</row>
    <row r="214" ht="15.75" customHeight="1">
      <c r="A214" s="117" t="s">
        <v>107</v>
      </c>
      <c r="B214" s="12"/>
      <c r="C214" s="12"/>
      <c r="D214" s="113"/>
      <c r="E214" s="1" t="s">
        <v>15</v>
      </c>
      <c r="F214" s="3">
        <v>59.99</v>
      </c>
      <c r="G214" s="10">
        <f t="shared" si="18"/>
        <v>47.992</v>
      </c>
      <c r="H214" s="31">
        <v>0.2</v>
      </c>
      <c r="I214" s="94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</row>
    <row r="215" ht="15.75" customHeight="1">
      <c r="A215" s="117" t="s">
        <v>107</v>
      </c>
      <c r="B215" s="12"/>
      <c r="C215" s="12"/>
      <c r="D215" s="113"/>
      <c r="E215" s="1" t="s">
        <v>16</v>
      </c>
      <c r="F215" s="114">
        <v>34.99</v>
      </c>
      <c r="G215" s="10">
        <f t="shared" si="18"/>
        <v>27.992</v>
      </c>
      <c r="H215" s="115">
        <v>0.2</v>
      </c>
      <c r="I215" s="94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</row>
    <row r="216" ht="15.75" customHeight="1">
      <c r="A216" s="117"/>
      <c r="B216" s="12"/>
      <c r="C216" s="12"/>
      <c r="D216" s="113"/>
      <c r="E216" s="113"/>
      <c r="F216" s="114"/>
      <c r="G216" s="10"/>
      <c r="H216" s="115"/>
      <c r="I216" s="94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</row>
    <row r="217" ht="15.75" customHeight="1">
      <c r="A217" s="117"/>
      <c r="B217" s="12"/>
      <c r="C217" s="12"/>
      <c r="D217" s="113"/>
      <c r="E217" s="113"/>
      <c r="F217" s="114"/>
      <c r="G217" s="10"/>
      <c r="H217" s="115"/>
      <c r="I217" s="94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</row>
    <row r="218" ht="15.75" customHeight="1">
      <c r="A218" s="117"/>
      <c r="B218" s="12"/>
      <c r="C218" s="12"/>
      <c r="D218" s="113"/>
      <c r="E218" s="113"/>
      <c r="F218" s="114"/>
      <c r="G218" s="10"/>
      <c r="H218" s="115"/>
      <c r="I218" s="94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</row>
    <row r="219" ht="15.75" customHeight="1">
      <c r="A219" s="101"/>
      <c r="B219" s="101"/>
      <c r="C219" s="101"/>
      <c r="D219" s="101"/>
      <c r="E219" s="101"/>
      <c r="F219" s="101"/>
      <c r="G219" s="101"/>
      <c r="H219" s="101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</row>
    <row r="220" ht="15.75" customHeight="1">
      <c r="A220" s="101"/>
      <c r="B220" s="101"/>
      <c r="C220" s="101"/>
      <c r="D220" s="101"/>
      <c r="E220" s="101"/>
      <c r="F220" s="101"/>
      <c r="G220" s="101"/>
      <c r="H220" s="101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</row>
    <row r="221" ht="15.75" customHeight="1">
      <c r="A221" s="101"/>
      <c r="B221" s="101"/>
      <c r="C221" s="101"/>
      <c r="D221" s="101"/>
      <c r="E221" s="101"/>
      <c r="F221" s="101"/>
      <c r="G221" s="101"/>
      <c r="H221" s="101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</row>
    <row r="222" ht="15.75" customHeight="1">
      <c r="A222" s="101"/>
      <c r="B222" s="101"/>
      <c r="C222" s="101"/>
      <c r="D222" s="101"/>
      <c r="E222" s="101"/>
      <c r="F222" s="101"/>
      <c r="G222" s="101"/>
      <c r="H222" s="101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</row>
    <row r="223" ht="15.75" customHeight="1">
      <c r="A223" s="101"/>
      <c r="B223" s="101"/>
      <c r="C223" s="101"/>
      <c r="D223" s="101"/>
      <c r="E223" s="101"/>
      <c r="F223" s="101"/>
      <c r="G223" s="101"/>
      <c r="H223" s="101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</row>
    <row r="224" ht="15.75" customHeight="1">
      <c r="A224" s="101"/>
      <c r="B224" s="101"/>
      <c r="C224" s="101"/>
      <c r="D224" s="101"/>
      <c r="E224" s="101"/>
      <c r="F224" s="101"/>
      <c r="G224" s="101"/>
      <c r="H224" s="101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</row>
    <row r="225" ht="15.75" customHeight="1">
      <c r="A225" s="101"/>
      <c r="B225" s="101"/>
      <c r="C225" s="101"/>
      <c r="D225" s="101"/>
      <c r="E225" s="101"/>
      <c r="F225" s="101"/>
      <c r="G225" s="101"/>
      <c r="H225" s="101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</row>
    <row r="226" ht="15.75" customHeight="1">
      <c r="A226" s="101"/>
      <c r="B226" s="101"/>
      <c r="C226" s="101"/>
      <c r="D226" s="101"/>
      <c r="E226" s="101"/>
      <c r="F226" s="101"/>
      <c r="G226" s="101"/>
      <c r="H226" s="101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</row>
    <row r="227" ht="15.75" customHeight="1">
      <c r="A227" s="101"/>
      <c r="B227" s="101"/>
      <c r="C227" s="101"/>
      <c r="D227" s="101"/>
      <c r="E227" s="101"/>
      <c r="F227" s="101"/>
      <c r="G227" s="101"/>
      <c r="H227" s="101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</row>
    <row r="228" ht="15.75" customHeight="1">
      <c r="A228" s="101"/>
      <c r="B228" s="101"/>
      <c r="C228" s="101"/>
      <c r="D228" s="101"/>
      <c r="E228" s="101"/>
      <c r="F228" s="101"/>
      <c r="G228" s="101"/>
      <c r="H228" s="101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</row>
    <row r="229" ht="15.75" customHeight="1">
      <c r="A229" s="101"/>
      <c r="B229" s="101"/>
      <c r="C229" s="101"/>
      <c r="D229" s="101"/>
      <c r="E229" s="101"/>
      <c r="F229" s="101"/>
      <c r="G229" s="101"/>
      <c r="H229" s="101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</row>
    <row r="230" ht="15.75" customHeight="1">
      <c r="A230" s="101"/>
      <c r="B230" s="101"/>
      <c r="C230" s="101"/>
      <c r="D230" s="101"/>
      <c r="E230" s="101"/>
      <c r="F230" s="101"/>
      <c r="G230" s="101"/>
      <c r="H230" s="101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</row>
    <row r="231" ht="15.75" customHeight="1">
      <c r="A231" s="101"/>
      <c r="B231" s="101"/>
      <c r="C231" s="101"/>
      <c r="D231" s="101"/>
      <c r="E231" s="101"/>
      <c r="F231" s="101"/>
      <c r="G231" s="101"/>
      <c r="H231" s="101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</row>
    <row r="232" ht="15.75" customHeight="1">
      <c r="A232" s="101"/>
      <c r="B232" s="101"/>
      <c r="C232" s="101"/>
      <c r="D232" s="101"/>
      <c r="E232" s="101"/>
      <c r="F232" s="101"/>
      <c r="G232" s="101"/>
      <c r="H232" s="101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</row>
    <row r="233" ht="15.75" customHeight="1">
      <c r="A233" s="101"/>
      <c r="B233" s="101"/>
      <c r="C233" s="101"/>
      <c r="D233" s="101"/>
      <c r="E233" s="101"/>
      <c r="F233" s="101"/>
      <c r="G233" s="101"/>
      <c r="H233" s="101"/>
      <c r="I233" s="93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3"/>
    </row>
    <row r="234" ht="15.75" customHeight="1">
      <c r="A234" s="101"/>
      <c r="B234" s="101"/>
      <c r="C234" s="101"/>
      <c r="D234" s="101"/>
      <c r="E234" s="101"/>
      <c r="F234" s="101"/>
      <c r="G234" s="101"/>
      <c r="H234" s="101"/>
      <c r="I234" s="93"/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  <c r="W234" s="93"/>
      <c r="X234" s="93"/>
      <c r="Y234" s="93"/>
    </row>
    <row r="235" ht="15.75" customHeight="1">
      <c r="A235" s="101"/>
      <c r="B235" s="101"/>
      <c r="C235" s="101"/>
      <c r="D235" s="101"/>
      <c r="E235" s="101"/>
      <c r="F235" s="101"/>
      <c r="G235" s="101"/>
      <c r="H235" s="101"/>
      <c r="I235" s="93"/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93"/>
      <c r="X235" s="93"/>
      <c r="Y235" s="93"/>
    </row>
    <row r="236" ht="15.75" customHeight="1">
      <c r="A236" s="101"/>
      <c r="B236" s="101"/>
      <c r="C236" s="101"/>
      <c r="D236" s="101"/>
      <c r="E236" s="101"/>
      <c r="F236" s="101"/>
      <c r="G236" s="101"/>
      <c r="H236" s="101"/>
      <c r="I236" s="93"/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93"/>
      <c r="X236" s="93"/>
      <c r="Y236" s="93"/>
    </row>
    <row r="237" ht="15.75" customHeight="1">
      <c r="A237" s="101"/>
      <c r="B237" s="101"/>
      <c r="C237" s="101"/>
      <c r="D237" s="101"/>
      <c r="E237" s="101"/>
      <c r="F237" s="101"/>
      <c r="G237" s="101"/>
      <c r="H237" s="101"/>
      <c r="I237" s="93"/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93"/>
      <c r="X237" s="93"/>
      <c r="Y237" s="93"/>
    </row>
    <row r="238" ht="15.75" customHeight="1">
      <c r="A238" s="101"/>
      <c r="B238" s="101"/>
      <c r="C238" s="101"/>
      <c r="D238" s="101"/>
      <c r="E238" s="101"/>
      <c r="F238" s="101"/>
      <c r="G238" s="101"/>
      <c r="H238" s="101"/>
      <c r="I238" s="93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  <c r="W238" s="93"/>
      <c r="X238" s="93"/>
      <c r="Y238" s="93"/>
    </row>
    <row r="239" ht="15.75" customHeight="1">
      <c r="A239" s="101"/>
      <c r="B239" s="101"/>
      <c r="C239" s="101"/>
      <c r="D239" s="101"/>
      <c r="E239" s="101"/>
      <c r="F239" s="101"/>
      <c r="G239" s="101"/>
      <c r="H239" s="101"/>
      <c r="I239" s="93"/>
      <c r="J239" s="93"/>
      <c r="K239" s="93"/>
      <c r="L239" s="93"/>
      <c r="M239" s="93"/>
      <c r="N239" s="93"/>
      <c r="O239" s="93"/>
      <c r="P239" s="93"/>
      <c r="Q239" s="93"/>
      <c r="R239" s="93"/>
      <c r="S239" s="93"/>
      <c r="T239" s="93"/>
      <c r="U239" s="93"/>
      <c r="V239" s="93"/>
      <c r="W239" s="93"/>
      <c r="X239" s="93"/>
      <c r="Y239" s="93"/>
    </row>
    <row r="240" ht="15.75" customHeight="1">
      <c r="A240" s="101"/>
      <c r="B240" s="101"/>
      <c r="C240" s="101"/>
      <c r="D240" s="101"/>
      <c r="E240" s="101"/>
      <c r="F240" s="101"/>
      <c r="G240" s="101"/>
      <c r="H240" s="101"/>
      <c r="I240" s="93"/>
      <c r="J240" s="93"/>
      <c r="K240" s="93"/>
      <c r="L240" s="93"/>
      <c r="M240" s="93"/>
      <c r="N240" s="93"/>
      <c r="O240" s="93"/>
      <c r="P240" s="93"/>
      <c r="Q240" s="93"/>
      <c r="R240" s="93"/>
      <c r="S240" s="93"/>
      <c r="T240" s="93"/>
      <c r="U240" s="93"/>
      <c r="V240" s="93"/>
      <c r="W240" s="93"/>
      <c r="X240" s="93"/>
      <c r="Y240" s="93"/>
    </row>
    <row r="241" ht="15.75" customHeight="1">
      <c r="A241" s="101"/>
      <c r="B241" s="101"/>
      <c r="C241" s="101"/>
      <c r="D241" s="101"/>
      <c r="E241" s="101"/>
      <c r="F241" s="101"/>
      <c r="G241" s="101"/>
      <c r="H241" s="101"/>
      <c r="I241" s="93"/>
      <c r="J241" s="93"/>
      <c r="K241" s="93"/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  <c r="W241" s="93"/>
      <c r="X241" s="93"/>
      <c r="Y241" s="93"/>
    </row>
    <row r="242" ht="15.75" customHeight="1">
      <c r="A242" s="101"/>
      <c r="B242" s="101"/>
      <c r="C242" s="101"/>
      <c r="D242" s="101"/>
      <c r="E242" s="101"/>
      <c r="F242" s="101"/>
      <c r="G242" s="101"/>
      <c r="H242" s="101"/>
      <c r="I242" s="93"/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93"/>
      <c r="X242" s="93"/>
      <c r="Y242" s="93"/>
    </row>
    <row r="243" ht="15.75" customHeight="1">
      <c r="A243" s="101"/>
      <c r="B243" s="101"/>
      <c r="C243" s="101"/>
      <c r="D243" s="101"/>
      <c r="E243" s="101"/>
      <c r="F243" s="101"/>
      <c r="G243" s="101"/>
      <c r="H243" s="101"/>
      <c r="I243" s="93"/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3"/>
    </row>
    <row r="244" ht="15.75" customHeight="1">
      <c r="A244" s="101"/>
      <c r="B244" s="101"/>
      <c r="C244" s="101"/>
      <c r="D244" s="101"/>
      <c r="E244" s="101"/>
      <c r="F244" s="101"/>
      <c r="G244" s="101"/>
      <c r="H244" s="101"/>
      <c r="I244" s="93"/>
      <c r="J244" s="93"/>
      <c r="K244" s="93"/>
      <c r="L244" s="93"/>
      <c r="M244" s="93"/>
      <c r="N244" s="93"/>
      <c r="O244" s="93"/>
      <c r="P244" s="93"/>
      <c r="Q244" s="93"/>
      <c r="R244" s="93"/>
      <c r="S244" s="93"/>
      <c r="T244" s="93"/>
      <c r="U244" s="93"/>
      <c r="V244" s="93"/>
      <c r="W244" s="93"/>
      <c r="X244" s="93"/>
      <c r="Y244" s="93"/>
    </row>
    <row r="245" ht="15.75" customHeight="1">
      <c r="A245" s="101"/>
      <c r="B245" s="101"/>
      <c r="C245" s="101"/>
      <c r="D245" s="101"/>
      <c r="E245" s="101"/>
      <c r="F245" s="101"/>
      <c r="G245" s="101"/>
      <c r="H245" s="101"/>
      <c r="I245" s="93"/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  <c r="W245" s="93"/>
      <c r="X245" s="93"/>
      <c r="Y245" s="93"/>
    </row>
    <row r="246" ht="15.75" customHeight="1">
      <c r="A246" s="101"/>
      <c r="B246" s="101"/>
      <c r="C246" s="101"/>
      <c r="D246" s="101"/>
      <c r="E246" s="101"/>
      <c r="F246" s="101"/>
      <c r="G246" s="101"/>
      <c r="H246" s="101"/>
      <c r="I246" s="93"/>
      <c r="J246" s="93"/>
      <c r="K246" s="93"/>
      <c r="L246" s="93"/>
      <c r="M246" s="93"/>
      <c r="N246" s="93"/>
      <c r="O246" s="93"/>
      <c r="P246" s="93"/>
      <c r="Q246" s="93"/>
      <c r="R246" s="93"/>
      <c r="S246" s="93"/>
      <c r="T246" s="93"/>
      <c r="U246" s="93"/>
      <c r="V246" s="93"/>
      <c r="W246" s="93"/>
      <c r="X246" s="93"/>
      <c r="Y246" s="93"/>
    </row>
    <row r="247" ht="15.75" customHeight="1">
      <c r="A247" s="101"/>
      <c r="B247" s="101"/>
      <c r="C247" s="101"/>
      <c r="D247" s="101"/>
      <c r="E247" s="101"/>
      <c r="F247" s="101"/>
      <c r="G247" s="101"/>
      <c r="H247" s="101"/>
      <c r="I247" s="93"/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  <c r="W247" s="93"/>
      <c r="X247" s="93"/>
      <c r="Y247" s="93"/>
    </row>
    <row r="248" ht="15.75" customHeight="1">
      <c r="A248" s="101"/>
      <c r="B248" s="101"/>
      <c r="C248" s="101"/>
      <c r="D248" s="101"/>
      <c r="E248" s="101"/>
      <c r="F248" s="101"/>
      <c r="G248" s="101"/>
      <c r="H248" s="101"/>
      <c r="I248" s="93"/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  <c r="W248" s="93"/>
      <c r="X248" s="93"/>
      <c r="Y248" s="93"/>
    </row>
    <row r="249" ht="15.75" customHeight="1">
      <c r="A249" s="101"/>
      <c r="B249" s="101"/>
      <c r="C249" s="101"/>
      <c r="D249" s="101"/>
      <c r="E249" s="101"/>
      <c r="F249" s="101"/>
      <c r="G249" s="101"/>
      <c r="H249" s="101"/>
      <c r="I249" s="93"/>
      <c r="J249" s="93"/>
      <c r="K249" s="93"/>
      <c r="L249" s="93"/>
      <c r="M249" s="93"/>
      <c r="N249" s="93"/>
      <c r="O249" s="93"/>
      <c r="P249" s="93"/>
      <c r="Q249" s="93"/>
      <c r="R249" s="93"/>
      <c r="S249" s="93"/>
      <c r="T249" s="93"/>
      <c r="U249" s="93"/>
      <c r="V249" s="93"/>
      <c r="W249" s="93"/>
      <c r="X249" s="93"/>
      <c r="Y249" s="93"/>
    </row>
    <row r="250" ht="15.75" customHeight="1">
      <c r="A250" s="101"/>
      <c r="B250" s="101"/>
      <c r="C250" s="101"/>
      <c r="D250" s="101"/>
      <c r="E250" s="101"/>
      <c r="F250" s="101"/>
      <c r="G250" s="101"/>
      <c r="H250" s="101"/>
      <c r="I250" s="93"/>
      <c r="J250" s="93"/>
      <c r="K250" s="93"/>
      <c r="L250" s="93"/>
      <c r="M250" s="93"/>
      <c r="N250" s="93"/>
      <c r="O250" s="93"/>
      <c r="P250" s="93"/>
      <c r="Q250" s="93"/>
      <c r="R250" s="93"/>
      <c r="S250" s="93"/>
      <c r="T250" s="93"/>
      <c r="U250" s="93"/>
      <c r="V250" s="93"/>
      <c r="W250" s="93"/>
      <c r="X250" s="93"/>
      <c r="Y250" s="93"/>
    </row>
    <row r="251" ht="15.75" customHeight="1">
      <c r="A251" s="101"/>
      <c r="B251" s="101"/>
      <c r="C251" s="101"/>
      <c r="D251" s="101"/>
      <c r="E251" s="101"/>
      <c r="F251" s="101"/>
      <c r="G251" s="101"/>
      <c r="H251" s="101"/>
      <c r="I251" s="93"/>
      <c r="J251" s="93"/>
      <c r="K251" s="93"/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  <c r="W251" s="93"/>
      <c r="X251" s="93"/>
      <c r="Y251" s="93"/>
    </row>
    <row r="252" ht="15.75" customHeight="1">
      <c r="A252" s="101"/>
      <c r="B252" s="101"/>
      <c r="C252" s="101"/>
      <c r="D252" s="101"/>
      <c r="E252" s="101"/>
      <c r="F252" s="101"/>
      <c r="G252" s="101"/>
      <c r="H252" s="101"/>
      <c r="I252" s="93"/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93"/>
      <c r="U252" s="93"/>
      <c r="V252" s="93"/>
      <c r="W252" s="93"/>
      <c r="X252" s="93"/>
      <c r="Y252" s="93"/>
    </row>
    <row r="253" ht="15.75" customHeight="1">
      <c r="A253" s="101"/>
      <c r="B253" s="101"/>
      <c r="C253" s="101"/>
      <c r="D253" s="101"/>
      <c r="E253" s="101"/>
      <c r="F253" s="101"/>
      <c r="G253" s="101"/>
      <c r="H253" s="101"/>
      <c r="I253" s="93"/>
      <c r="J253" s="93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  <c r="W253" s="93"/>
      <c r="X253" s="93"/>
      <c r="Y253" s="93"/>
    </row>
    <row r="254" ht="15.75" customHeight="1">
      <c r="A254" s="101"/>
      <c r="B254" s="101"/>
      <c r="C254" s="101"/>
      <c r="D254" s="101"/>
      <c r="E254" s="101"/>
      <c r="F254" s="101"/>
      <c r="G254" s="101"/>
      <c r="H254" s="101"/>
      <c r="I254" s="93"/>
      <c r="J254" s="93"/>
      <c r="K254" s="93"/>
      <c r="L254" s="93"/>
      <c r="M254" s="93"/>
      <c r="N254" s="93"/>
      <c r="O254" s="93"/>
      <c r="P254" s="93"/>
      <c r="Q254" s="93"/>
      <c r="R254" s="93"/>
      <c r="S254" s="93"/>
      <c r="T254" s="93"/>
      <c r="U254" s="93"/>
      <c r="V254" s="93"/>
      <c r="W254" s="93"/>
      <c r="X254" s="93"/>
      <c r="Y254" s="93"/>
    </row>
    <row r="255" ht="15.75" customHeight="1">
      <c r="A255" s="101"/>
      <c r="B255" s="101"/>
      <c r="C255" s="101"/>
      <c r="D255" s="101"/>
      <c r="E255" s="101"/>
      <c r="F255" s="101"/>
      <c r="G255" s="101"/>
      <c r="H255" s="101"/>
      <c r="I255" s="93"/>
      <c r="J255" s="93"/>
      <c r="K255" s="93"/>
      <c r="L255" s="93"/>
      <c r="M255" s="93"/>
      <c r="N255" s="93"/>
      <c r="O255" s="93"/>
      <c r="P255" s="93"/>
      <c r="Q255" s="93"/>
      <c r="R255" s="93"/>
      <c r="S255" s="93"/>
      <c r="T255" s="93"/>
      <c r="U255" s="93"/>
      <c r="V255" s="93"/>
      <c r="W255" s="93"/>
      <c r="X255" s="93"/>
      <c r="Y255" s="93"/>
    </row>
    <row r="256" ht="15.75" customHeight="1">
      <c r="A256" s="101"/>
      <c r="B256" s="101"/>
      <c r="C256" s="101"/>
      <c r="D256" s="101"/>
      <c r="E256" s="101"/>
      <c r="F256" s="101"/>
      <c r="G256" s="101"/>
      <c r="H256" s="101"/>
      <c r="I256" s="93"/>
      <c r="J256" s="93"/>
      <c r="K256" s="93"/>
      <c r="L256" s="93"/>
      <c r="M256" s="93"/>
      <c r="N256" s="93"/>
      <c r="O256" s="93"/>
      <c r="P256" s="93"/>
      <c r="Q256" s="93"/>
      <c r="R256" s="93"/>
      <c r="S256" s="93"/>
      <c r="T256" s="93"/>
      <c r="U256" s="93"/>
      <c r="V256" s="93"/>
      <c r="W256" s="93"/>
      <c r="X256" s="93"/>
      <c r="Y256" s="93"/>
    </row>
    <row r="257" ht="15.75" customHeight="1">
      <c r="A257" s="101"/>
      <c r="B257" s="101"/>
      <c r="C257" s="101"/>
      <c r="D257" s="101"/>
      <c r="E257" s="101"/>
      <c r="F257" s="101"/>
      <c r="G257" s="101"/>
      <c r="H257" s="101"/>
      <c r="I257" s="93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93"/>
      <c r="X257" s="93"/>
      <c r="Y257" s="93"/>
    </row>
    <row r="258" ht="15.75" customHeight="1">
      <c r="A258" s="101"/>
      <c r="B258" s="101"/>
      <c r="C258" s="101"/>
      <c r="D258" s="101"/>
      <c r="E258" s="101"/>
      <c r="F258" s="101"/>
      <c r="G258" s="101"/>
      <c r="H258" s="101"/>
      <c r="I258" s="93"/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  <c r="W258" s="93"/>
      <c r="X258" s="93"/>
      <c r="Y258" s="93"/>
    </row>
    <row r="259" ht="15.75" customHeight="1">
      <c r="A259" s="101"/>
      <c r="B259" s="101"/>
      <c r="C259" s="101"/>
      <c r="D259" s="101"/>
      <c r="E259" s="101"/>
      <c r="F259" s="101"/>
      <c r="G259" s="101"/>
      <c r="H259" s="101"/>
      <c r="I259" s="93"/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93"/>
      <c r="X259" s="93"/>
      <c r="Y259" s="93"/>
    </row>
    <row r="260" ht="15.75" customHeight="1">
      <c r="A260" s="101"/>
      <c r="B260" s="101"/>
      <c r="C260" s="101"/>
      <c r="D260" s="101"/>
      <c r="E260" s="101"/>
      <c r="F260" s="101"/>
      <c r="G260" s="101"/>
      <c r="H260" s="101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93"/>
      <c r="X260" s="93"/>
      <c r="Y260" s="93"/>
    </row>
    <row r="261" ht="15.75" customHeight="1">
      <c r="A261" s="101"/>
      <c r="B261" s="101"/>
      <c r="C261" s="101"/>
      <c r="D261" s="101"/>
      <c r="E261" s="101"/>
      <c r="F261" s="101"/>
      <c r="G261" s="101"/>
      <c r="H261" s="101"/>
      <c r="I261" s="93"/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  <c r="W261" s="93"/>
      <c r="X261" s="93"/>
      <c r="Y261" s="93"/>
    </row>
    <row r="262" ht="15.75" customHeight="1">
      <c r="A262" s="101"/>
      <c r="B262" s="101"/>
      <c r="C262" s="101"/>
      <c r="D262" s="101"/>
      <c r="E262" s="101"/>
      <c r="F262" s="101"/>
      <c r="G262" s="101"/>
      <c r="H262" s="101"/>
      <c r="I262" s="93"/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  <c r="W262" s="93"/>
      <c r="X262" s="93"/>
      <c r="Y262" s="93"/>
    </row>
    <row r="263" ht="15.75" customHeight="1">
      <c r="A263" s="101"/>
      <c r="B263" s="101"/>
      <c r="C263" s="101"/>
      <c r="D263" s="101"/>
      <c r="E263" s="101"/>
      <c r="F263" s="101"/>
      <c r="G263" s="101"/>
      <c r="H263" s="101"/>
      <c r="I263" s="93"/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  <c r="W263" s="93"/>
      <c r="X263" s="93"/>
      <c r="Y263" s="93"/>
    </row>
    <row r="264" ht="15.75" customHeight="1">
      <c r="A264" s="101"/>
      <c r="B264" s="101"/>
      <c r="C264" s="101"/>
      <c r="D264" s="101"/>
      <c r="E264" s="101"/>
      <c r="F264" s="101"/>
      <c r="G264" s="101"/>
      <c r="H264" s="101"/>
      <c r="I264" s="93"/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  <c r="W264" s="93"/>
      <c r="X264" s="93"/>
      <c r="Y264" s="93"/>
    </row>
    <row r="265" ht="15.75" customHeight="1">
      <c r="A265" s="101"/>
      <c r="B265" s="101"/>
      <c r="C265" s="101"/>
      <c r="D265" s="101"/>
      <c r="E265" s="101"/>
      <c r="F265" s="101"/>
      <c r="G265" s="101"/>
      <c r="H265" s="101"/>
      <c r="I265" s="93"/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93"/>
      <c r="X265" s="93"/>
      <c r="Y265" s="93"/>
    </row>
    <row r="266" ht="15.75" customHeight="1">
      <c r="A266" s="101"/>
      <c r="B266" s="101"/>
      <c r="C266" s="101"/>
      <c r="D266" s="101"/>
      <c r="E266" s="101"/>
      <c r="F266" s="101"/>
      <c r="G266" s="101"/>
      <c r="H266" s="101"/>
      <c r="I266" s="93"/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  <c r="W266" s="93"/>
      <c r="X266" s="93"/>
      <c r="Y266" s="93"/>
    </row>
    <row r="267" ht="15.75" customHeight="1">
      <c r="A267" s="101"/>
      <c r="B267" s="101"/>
      <c r="C267" s="101"/>
      <c r="D267" s="101"/>
      <c r="E267" s="101"/>
      <c r="F267" s="101"/>
      <c r="G267" s="101"/>
      <c r="H267" s="101"/>
      <c r="I267" s="93"/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  <c r="W267" s="93"/>
      <c r="X267" s="93"/>
      <c r="Y267" s="93"/>
    </row>
    <row r="268" ht="15.75" customHeight="1">
      <c r="A268" s="101"/>
      <c r="B268" s="101"/>
      <c r="C268" s="101"/>
      <c r="D268" s="101"/>
      <c r="E268" s="101"/>
      <c r="F268" s="101"/>
      <c r="G268" s="101"/>
      <c r="H268" s="101"/>
      <c r="I268" s="93"/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  <c r="W268" s="93"/>
      <c r="X268" s="93"/>
      <c r="Y268" s="93"/>
    </row>
    <row r="269" ht="15.75" customHeight="1">
      <c r="A269" s="101"/>
      <c r="B269" s="101"/>
      <c r="C269" s="101"/>
      <c r="D269" s="101"/>
      <c r="E269" s="101"/>
      <c r="F269" s="101"/>
      <c r="G269" s="101"/>
      <c r="H269" s="101"/>
      <c r="I269" s="93"/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3"/>
      <c r="U269" s="93"/>
      <c r="V269" s="93"/>
      <c r="W269" s="93"/>
      <c r="X269" s="93"/>
      <c r="Y269" s="93"/>
    </row>
    <row r="270" ht="15.75" customHeight="1">
      <c r="A270" s="101"/>
      <c r="B270" s="101"/>
      <c r="C270" s="101"/>
      <c r="D270" s="101"/>
      <c r="E270" s="101"/>
      <c r="F270" s="101"/>
      <c r="G270" s="101"/>
      <c r="H270" s="101"/>
      <c r="I270" s="93"/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  <c r="W270" s="93"/>
      <c r="X270" s="93"/>
      <c r="Y270" s="93"/>
    </row>
    <row r="271" ht="15.75" customHeight="1">
      <c r="A271" s="101"/>
      <c r="B271" s="101"/>
      <c r="C271" s="101"/>
      <c r="D271" s="101"/>
      <c r="E271" s="101"/>
      <c r="F271" s="101"/>
      <c r="G271" s="101"/>
      <c r="H271" s="101"/>
      <c r="I271" s="93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  <c r="W271" s="93"/>
      <c r="X271" s="93"/>
      <c r="Y271" s="93"/>
    </row>
    <row r="272" ht="15.75" customHeight="1">
      <c r="A272" s="101"/>
      <c r="B272" s="101"/>
      <c r="C272" s="101"/>
      <c r="D272" s="101"/>
      <c r="E272" s="101"/>
      <c r="F272" s="101"/>
      <c r="G272" s="101"/>
      <c r="H272" s="101"/>
      <c r="I272" s="93"/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3"/>
      <c r="U272" s="93"/>
      <c r="V272" s="93"/>
      <c r="W272" s="93"/>
      <c r="X272" s="93"/>
      <c r="Y272" s="93"/>
    </row>
    <row r="273" ht="15.75" customHeight="1">
      <c r="A273" s="101"/>
      <c r="B273" s="101"/>
      <c r="C273" s="101"/>
      <c r="D273" s="101"/>
      <c r="E273" s="101"/>
      <c r="F273" s="101"/>
      <c r="G273" s="101"/>
      <c r="H273" s="101"/>
      <c r="I273" s="93"/>
      <c r="J273" s="93"/>
      <c r="K273" s="93"/>
      <c r="L273" s="93"/>
      <c r="M273" s="93"/>
      <c r="N273" s="93"/>
      <c r="O273" s="93"/>
      <c r="P273" s="93"/>
      <c r="Q273" s="93"/>
      <c r="R273" s="93"/>
      <c r="S273" s="93"/>
      <c r="T273" s="93"/>
      <c r="U273" s="93"/>
      <c r="V273" s="93"/>
      <c r="W273" s="93"/>
      <c r="X273" s="93"/>
      <c r="Y273" s="93"/>
    </row>
    <row r="274" ht="15.75" customHeight="1">
      <c r="A274" s="101"/>
      <c r="B274" s="101"/>
      <c r="C274" s="101"/>
      <c r="D274" s="101"/>
      <c r="E274" s="101"/>
      <c r="F274" s="101"/>
      <c r="G274" s="101"/>
      <c r="H274" s="101"/>
      <c r="I274" s="93"/>
      <c r="J274" s="93"/>
      <c r="K274" s="93"/>
      <c r="L274" s="93"/>
      <c r="M274" s="93"/>
      <c r="N274" s="93"/>
      <c r="O274" s="93"/>
      <c r="P274" s="93"/>
      <c r="Q274" s="93"/>
      <c r="R274" s="93"/>
      <c r="S274" s="93"/>
      <c r="T274" s="93"/>
      <c r="U274" s="93"/>
      <c r="V274" s="93"/>
      <c r="W274" s="93"/>
      <c r="X274" s="93"/>
      <c r="Y274" s="93"/>
    </row>
    <row r="275" ht="15.75" customHeight="1">
      <c r="A275" s="101"/>
      <c r="B275" s="101"/>
      <c r="C275" s="101"/>
      <c r="D275" s="101"/>
      <c r="E275" s="101"/>
      <c r="F275" s="101"/>
      <c r="G275" s="101"/>
      <c r="H275" s="101"/>
      <c r="I275" s="93"/>
      <c r="J275" s="93"/>
      <c r="K275" s="93"/>
      <c r="L275" s="93"/>
      <c r="M275" s="93"/>
      <c r="N275" s="93"/>
      <c r="O275" s="93"/>
      <c r="P275" s="93"/>
      <c r="Q275" s="93"/>
      <c r="R275" s="93"/>
      <c r="S275" s="93"/>
      <c r="T275" s="93"/>
      <c r="U275" s="93"/>
      <c r="V275" s="93"/>
      <c r="W275" s="93"/>
      <c r="X275" s="93"/>
      <c r="Y275" s="93"/>
    </row>
    <row r="276" ht="15.75" customHeight="1">
      <c r="A276" s="101"/>
      <c r="B276" s="101"/>
      <c r="C276" s="101"/>
      <c r="D276" s="101"/>
      <c r="E276" s="101"/>
      <c r="F276" s="101"/>
      <c r="G276" s="101"/>
      <c r="H276" s="101"/>
      <c r="I276" s="93"/>
      <c r="J276" s="93"/>
      <c r="K276" s="93"/>
      <c r="L276" s="93"/>
      <c r="M276" s="93"/>
      <c r="N276" s="93"/>
      <c r="O276" s="93"/>
      <c r="P276" s="93"/>
      <c r="Q276" s="93"/>
      <c r="R276" s="93"/>
      <c r="S276" s="93"/>
      <c r="T276" s="93"/>
      <c r="U276" s="93"/>
      <c r="V276" s="93"/>
      <c r="W276" s="93"/>
      <c r="X276" s="93"/>
      <c r="Y276" s="93"/>
    </row>
    <row r="277" ht="15.75" customHeight="1">
      <c r="A277" s="101"/>
      <c r="B277" s="101"/>
      <c r="C277" s="101"/>
      <c r="D277" s="101"/>
      <c r="E277" s="101"/>
      <c r="F277" s="101"/>
      <c r="G277" s="101"/>
      <c r="H277" s="101"/>
      <c r="I277" s="93"/>
      <c r="J277" s="93"/>
      <c r="K277" s="93"/>
      <c r="L277" s="93"/>
      <c r="M277" s="93"/>
      <c r="N277" s="93"/>
      <c r="O277" s="93"/>
      <c r="P277" s="93"/>
      <c r="Q277" s="93"/>
      <c r="R277" s="93"/>
      <c r="S277" s="93"/>
      <c r="T277" s="93"/>
      <c r="U277" s="93"/>
      <c r="V277" s="93"/>
      <c r="W277" s="93"/>
      <c r="X277" s="93"/>
      <c r="Y277" s="93"/>
    </row>
    <row r="278" ht="15.75" customHeight="1">
      <c r="A278" s="101"/>
      <c r="B278" s="101"/>
      <c r="C278" s="101"/>
      <c r="D278" s="101"/>
      <c r="E278" s="101"/>
      <c r="F278" s="101"/>
      <c r="G278" s="101"/>
      <c r="H278" s="101"/>
      <c r="I278" s="93"/>
      <c r="J278" s="93"/>
      <c r="K278" s="93"/>
      <c r="L278" s="93"/>
      <c r="M278" s="93"/>
      <c r="N278" s="93"/>
      <c r="O278" s="93"/>
      <c r="P278" s="93"/>
      <c r="Q278" s="93"/>
      <c r="R278" s="93"/>
      <c r="S278" s="93"/>
      <c r="T278" s="93"/>
      <c r="U278" s="93"/>
      <c r="V278" s="93"/>
      <c r="W278" s="93"/>
      <c r="X278" s="93"/>
      <c r="Y278" s="93"/>
    </row>
    <row r="279" ht="15.75" customHeight="1">
      <c r="A279" s="101"/>
      <c r="B279" s="101"/>
      <c r="C279" s="101"/>
      <c r="D279" s="101"/>
      <c r="E279" s="101"/>
      <c r="F279" s="101"/>
      <c r="G279" s="101"/>
      <c r="H279" s="101"/>
      <c r="I279" s="93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  <c r="W279" s="93"/>
      <c r="X279" s="93"/>
      <c r="Y279" s="93"/>
    </row>
    <row r="280" ht="15.75" customHeight="1">
      <c r="A280" s="101"/>
      <c r="B280" s="101"/>
      <c r="C280" s="101"/>
      <c r="D280" s="101"/>
      <c r="E280" s="101"/>
      <c r="F280" s="101"/>
      <c r="G280" s="101"/>
      <c r="H280" s="101"/>
      <c r="I280" s="93"/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  <c r="W280" s="93"/>
      <c r="X280" s="93"/>
      <c r="Y280" s="93"/>
    </row>
    <row r="281" ht="15.75" customHeight="1">
      <c r="A281" s="101"/>
      <c r="B281" s="101"/>
      <c r="C281" s="101"/>
      <c r="D281" s="101"/>
      <c r="E281" s="101"/>
      <c r="F281" s="101"/>
      <c r="G281" s="101"/>
      <c r="H281" s="101"/>
      <c r="I281" s="93"/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  <c r="W281" s="93"/>
      <c r="X281" s="93"/>
      <c r="Y281" s="93"/>
    </row>
    <row r="282" ht="15.75" customHeight="1">
      <c r="A282" s="101"/>
      <c r="B282" s="101"/>
      <c r="C282" s="101"/>
      <c r="D282" s="101"/>
      <c r="E282" s="101"/>
      <c r="F282" s="101"/>
      <c r="G282" s="101"/>
      <c r="H282" s="101"/>
      <c r="I282" s="93"/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3"/>
      <c r="U282" s="93"/>
      <c r="V282" s="93"/>
      <c r="W282" s="93"/>
      <c r="X282" s="93"/>
      <c r="Y282" s="93"/>
    </row>
    <row r="283" ht="15.75" customHeight="1">
      <c r="A283" s="101"/>
      <c r="B283" s="101"/>
      <c r="C283" s="101"/>
      <c r="D283" s="101"/>
      <c r="E283" s="101"/>
      <c r="F283" s="101"/>
      <c r="G283" s="101"/>
      <c r="H283" s="101"/>
      <c r="I283" s="93"/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  <c r="W283" s="93"/>
      <c r="X283" s="93"/>
      <c r="Y283" s="93"/>
    </row>
    <row r="284" ht="15.75" customHeight="1">
      <c r="A284" s="101"/>
      <c r="B284" s="101"/>
      <c r="C284" s="101"/>
      <c r="D284" s="101"/>
      <c r="E284" s="101"/>
      <c r="F284" s="101"/>
      <c r="G284" s="101"/>
      <c r="H284" s="101"/>
      <c r="I284" s="93"/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3"/>
      <c r="U284" s="93"/>
      <c r="V284" s="93"/>
      <c r="W284" s="93"/>
      <c r="X284" s="93"/>
      <c r="Y284" s="93"/>
    </row>
    <row r="285" ht="15.75" customHeight="1">
      <c r="A285" s="101"/>
      <c r="B285" s="101"/>
      <c r="C285" s="101"/>
      <c r="D285" s="101"/>
      <c r="E285" s="101"/>
      <c r="F285" s="101"/>
      <c r="G285" s="101"/>
      <c r="H285" s="101"/>
      <c r="I285" s="93"/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  <c r="W285" s="93"/>
      <c r="X285" s="93"/>
      <c r="Y285" s="93"/>
    </row>
    <row r="286" ht="15.75" customHeight="1">
      <c r="A286" s="101"/>
      <c r="B286" s="101"/>
      <c r="C286" s="101"/>
      <c r="D286" s="101"/>
      <c r="E286" s="101"/>
      <c r="F286" s="101"/>
      <c r="G286" s="101"/>
      <c r="H286" s="101"/>
      <c r="I286" s="93"/>
      <c r="J286" s="93"/>
      <c r="K286" s="93"/>
      <c r="L286" s="93"/>
      <c r="M286" s="93"/>
      <c r="N286" s="93"/>
      <c r="O286" s="93"/>
      <c r="P286" s="93"/>
      <c r="Q286" s="93"/>
      <c r="R286" s="93"/>
      <c r="S286" s="93"/>
      <c r="T286" s="93"/>
      <c r="U286" s="93"/>
      <c r="V286" s="93"/>
      <c r="W286" s="93"/>
      <c r="X286" s="93"/>
      <c r="Y286" s="93"/>
    </row>
    <row r="287" ht="15.75" customHeight="1">
      <c r="A287" s="101"/>
      <c r="B287" s="101"/>
      <c r="C287" s="101"/>
      <c r="D287" s="101"/>
      <c r="E287" s="101"/>
      <c r="F287" s="101"/>
      <c r="G287" s="101"/>
      <c r="H287" s="101"/>
      <c r="I287" s="93"/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  <c r="W287" s="93"/>
      <c r="X287" s="93"/>
      <c r="Y287" s="93"/>
    </row>
    <row r="288" ht="15.75" customHeight="1">
      <c r="A288" s="101"/>
      <c r="B288" s="101"/>
      <c r="C288" s="101"/>
      <c r="D288" s="101"/>
      <c r="E288" s="101"/>
      <c r="F288" s="101"/>
      <c r="G288" s="101"/>
      <c r="H288" s="101"/>
      <c r="I288" s="93"/>
      <c r="J288" s="93"/>
      <c r="K288" s="93"/>
      <c r="L288" s="93"/>
      <c r="M288" s="93"/>
      <c r="N288" s="93"/>
      <c r="O288" s="93"/>
      <c r="P288" s="93"/>
      <c r="Q288" s="93"/>
      <c r="R288" s="93"/>
      <c r="S288" s="93"/>
      <c r="T288" s="93"/>
      <c r="U288" s="93"/>
      <c r="V288" s="93"/>
      <c r="W288" s="93"/>
      <c r="X288" s="93"/>
      <c r="Y288" s="93"/>
    </row>
    <row r="289" ht="15.75" customHeight="1">
      <c r="A289" s="101"/>
      <c r="B289" s="101"/>
      <c r="C289" s="101"/>
      <c r="D289" s="101"/>
      <c r="E289" s="101"/>
      <c r="F289" s="101"/>
      <c r="G289" s="101"/>
      <c r="H289" s="101"/>
      <c r="I289" s="93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  <c r="W289" s="93"/>
      <c r="X289" s="93"/>
      <c r="Y289" s="93"/>
    </row>
    <row r="290" ht="15.75" customHeight="1">
      <c r="A290" s="101"/>
      <c r="B290" s="101"/>
      <c r="C290" s="101"/>
      <c r="D290" s="101"/>
      <c r="E290" s="101"/>
      <c r="F290" s="101"/>
      <c r="G290" s="101"/>
      <c r="H290" s="101"/>
      <c r="I290" s="93"/>
      <c r="J290" s="93"/>
      <c r="K290" s="93"/>
      <c r="L290" s="93"/>
      <c r="M290" s="93"/>
      <c r="N290" s="93"/>
      <c r="O290" s="93"/>
      <c r="P290" s="93"/>
      <c r="Q290" s="93"/>
      <c r="R290" s="93"/>
      <c r="S290" s="93"/>
      <c r="T290" s="93"/>
      <c r="U290" s="93"/>
      <c r="V290" s="93"/>
      <c r="W290" s="93"/>
      <c r="X290" s="93"/>
      <c r="Y290" s="93"/>
    </row>
    <row r="291" ht="15.75" customHeight="1">
      <c r="A291" s="101"/>
      <c r="B291" s="101"/>
      <c r="C291" s="101"/>
      <c r="D291" s="101"/>
      <c r="E291" s="101"/>
      <c r="F291" s="101"/>
      <c r="G291" s="101"/>
      <c r="H291" s="101"/>
      <c r="I291" s="93"/>
      <c r="J291" s="93"/>
      <c r="K291" s="93"/>
      <c r="L291" s="93"/>
      <c r="M291" s="93"/>
      <c r="N291" s="93"/>
      <c r="O291" s="93"/>
      <c r="P291" s="93"/>
      <c r="Q291" s="93"/>
      <c r="R291" s="93"/>
      <c r="S291" s="93"/>
      <c r="T291" s="93"/>
      <c r="U291" s="93"/>
      <c r="V291" s="93"/>
      <c r="W291" s="93"/>
      <c r="X291" s="93"/>
      <c r="Y291" s="93"/>
    </row>
    <row r="292" ht="15.75" customHeight="1">
      <c r="A292" s="101"/>
      <c r="B292" s="101"/>
      <c r="C292" s="101"/>
      <c r="D292" s="101"/>
      <c r="E292" s="101"/>
      <c r="F292" s="101"/>
      <c r="G292" s="101"/>
      <c r="H292" s="101"/>
      <c r="I292" s="93"/>
      <c r="J292" s="93"/>
      <c r="K292" s="93"/>
      <c r="L292" s="93"/>
      <c r="M292" s="93"/>
      <c r="N292" s="93"/>
      <c r="O292" s="93"/>
      <c r="P292" s="93"/>
      <c r="Q292" s="93"/>
      <c r="R292" s="93"/>
      <c r="S292" s="93"/>
      <c r="T292" s="93"/>
      <c r="U292" s="93"/>
      <c r="V292" s="93"/>
      <c r="W292" s="93"/>
      <c r="X292" s="93"/>
      <c r="Y292" s="93"/>
    </row>
    <row r="293" ht="15.75" customHeight="1">
      <c r="A293" s="101"/>
      <c r="B293" s="101"/>
      <c r="C293" s="101"/>
      <c r="D293" s="101"/>
      <c r="E293" s="101"/>
      <c r="F293" s="101"/>
      <c r="G293" s="101"/>
      <c r="H293" s="101"/>
      <c r="I293" s="93"/>
      <c r="J293" s="93"/>
      <c r="K293" s="93"/>
      <c r="L293" s="93"/>
      <c r="M293" s="93"/>
      <c r="N293" s="93"/>
      <c r="O293" s="93"/>
      <c r="P293" s="93"/>
      <c r="Q293" s="93"/>
      <c r="R293" s="93"/>
      <c r="S293" s="93"/>
      <c r="T293" s="93"/>
      <c r="U293" s="93"/>
      <c r="V293" s="93"/>
      <c r="W293" s="93"/>
      <c r="X293" s="93"/>
      <c r="Y293" s="93"/>
    </row>
    <row r="294" ht="15.75" customHeight="1">
      <c r="A294" s="101"/>
      <c r="B294" s="101"/>
      <c r="C294" s="101"/>
      <c r="D294" s="101"/>
      <c r="E294" s="101"/>
      <c r="F294" s="101"/>
      <c r="G294" s="101"/>
      <c r="H294" s="101"/>
      <c r="I294" s="93"/>
      <c r="J294" s="93"/>
      <c r="K294" s="93"/>
      <c r="L294" s="93"/>
      <c r="M294" s="93"/>
      <c r="N294" s="93"/>
      <c r="O294" s="93"/>
      <c r="P294" s="93"/>
      <c r="Q294" s="93"/>
      <c r="R294" s="93"/>
      <c r="S294" s="93"/>
      <c r="T294" s="93"/>
      <c r="U294" s="93"/>
      <c r="V294" s="93"/>
      <c r="W294" s="93"/>
      <c r="X294" s="93"/>
      <c r="Y294" s="93"/>
    </row>
    <row r="295" ht="15.75" customHeight="1">
      <c r="A295" s="101"/>
      <c r="B295" s="101"/>
      <c r="C295" s="101"/>
      <c r="D295" s="101"/>
      <c r="E295" s="101"/>
      <c r="F295" s="101"/>
      <c r="G295" s="101"/>
      <c r="H295" s="101"/>
      <c r="I295" s="93"/>
      <c r="J295" s="93"/>
      <c r="K295" s="93"/>
      <c r="L295" s="93"/>
      <c r="M295" s="93"/>
      <c r="N295" s="93"/>
      <c r="O295" s="93"/>
      <c r="P295" s="93"/>
      <c r="Q295" s="93"/>
      <c r="R295" s="93"/>
      <c r="S295" s="93"/>
      <c r="T295" s="93"/>
      <c r="U295" s="93"/>
      <c r="V295" s="93"/>
      <c r="W295" s="93"/>
      <c r="X295" s="93"/>
      <c r="Y295" s="93"/>
    </row>
    <row r="296" ht="15.75" customHeight="1">
      <c r="A296" s="101"/>
      <c r="B296" s="101"/>
      <c r="C296" s="101"/>
      <c r="D296" s="101"/>
      <c r="E296" s="101"/>
      <c r="F296" s="101"/>
      <c r="G296" s="101"/>
      <c r="H296" s="101"/>
      <c r="I296" s="93"/>
      <c r="J296" s="93"/>
      <c r="K296" s="93"/>
      <c r="L296" s="93"/>
      <c r="M296" s="93"/>
      <c r="N296" s="93"/>
      <c r="O296" s="93"/>
      <c r="P296" s="93"/>
      <c r="Q296" s="93"/>
      <c r="R296" s="93"/>
      <c r="S296" s="93"/>
      <c r="T296" s="93"/>
      <c r="U296" s="93"/>
      <c r="V296" s="93"/>
      <c r="W296" s="93"/>
      <c r="X296" s="93"/>
      <c r="Y296" s="93"/>
    </row>
    <row r="297" ht="15.75" customHeight="1">
      <c r="A297" s="101"/>
      <c r="B297" s="101"/>
      <c r="C297" s="101"/>
      <c r="D297" s="101"/>
      <c r="E297" s="101"/>
      <c r="F297" s="101"/>
      <c r="G297" s="101"/>
      <c r="H297" s="101"/>
      <c r="I297" s="93"/>
      <c r="J297" s="93"/>
      <c r="K297" s="93"/>
      <c r="L297" s="93"/>
      <c r="M297" s="93"/>
      <c r="N297" s="93"/>
      <c r="O297" s="93"/>
      <c r="P297" s="93"/>
      <c r="Q297" s="93"/>
      <c r="R297" s="93"/>
      <c r="S297" s="93"/>
      <c r="T297" s="93"/>
      <c r="U297" s="93"/>
      <c r="V297" s="93"/>
      <c r="W297" s="93"/>
      <c r="X297" s="93"/>
      <c r="Y297" s="93"/>
    </row>
    <row r="298" ht="15.75" customHeight="1">
      <c r="A298" s="101"/>
      <c r="B298" s="101"/>
      <c r="C298" s="101"/>
      <c r="D298" s="101"/>
      <c r="E298" s="101"/>
      <c r="F298" s="101"/>
      <c r="G298" s="101"/>
      <c r="H298" s="101"/>
      <c r="I298" s="93"/>
      <c r="J298" s="93"/>
      <c r="K298" s="93"/>
      <c r="L298" s="93"/>
      <c r="M298" s="93"/>
      <c r="N298" s="93"/>
      <c r="O298" s="93"/>
      <c r="P298" s="93"/>
      <c r="Q298" s="93"/>
      <c r="R298" s="93"/>
      <c r="S298" s="93"/>
      <c r="T298" s="93"/>
      <c r="U298" s="93"/>
      <c r="V298" s="93"/>
      <c r="W298" s="93"/>
      <c r="X298" s="93"/>
      <c r="Y298" s="93"/>
    </row>
    <row r="299" ht="15.75" customHeight="1">
      <c r="A299" s="101"/>
      <c r="B299" s="101"/>
      <c r="C299" s="101"/>
      <c r="D299" s="101"/>
      <c r="E299" s="101"/>
      <c r="F299" s="101"/>
      <c r="G299" s="101"/>
      <c r="H299" s="101"/>
      <c r="I299" s="93"/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  <c r="W299" s="93"/>
      <c r="X299" s="93"/>
      <c r="Y299" s="93"/>
    </row>
    <row r="300" ht="15.75" customHeight="1">
      <c r="A300" s="101"/>
      <c r="B300" s="101"/>
      <c r="C300" s="101"/>
      <c r="D300" s="101"/>
      <c r="E300" s="101"/>
      <c r="F300" s="101"/>
      <c r="G300" s="101"/>
      <c r="H300" s="101"/>
      <c r="I300" s="93"/>
      <c r="J300" s="93"/>
      <c r="K300" s="93"/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/>
    </row>
    <row r="301" ht="15.75" customHeight="1">
      <c r="A301" s="101"/>
      <c r="B301" s="101"/>
      <c r="C301" s="101"/>
      <c r="D301" s="101"/>
      <c r="E301" s="101"/>
      <c r="F301" s="101"/>
      <c r="G301" s="101"/>
      <c r="H301" s="101"/>
      <c r="I301" s="93"/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  <c r="W301" s="93"/>
      <c r="X301" s="93"/>
      <c r="Y301" s="93"/>
    </row>
    <row r="302" ht="15.75" customHeight="1">
      <c r="A302" s="101"/>
      <c r="B302" s="101"/>
      <c r="C302" s="101"/>
      <c r="D302" s="101"/>
      <c r="E302" s="101"/>
      <c r="F302" s="101"/>
      <c r="G302" s="101"/>
      <c r="H302" s="101"/>
      <c r="I302" s="93"/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  <c r="W302" s="93"/>
      <c r="X302" s="93"/>
      <c r="Y302" s="93"/>
    </row>
    <row r="303" ht="15.75" customHeight="1">
      <c r="A303" s="101"/>
      <c r="B303" s="101"/>
      <c r="C303" s="101"/>
      <c r="D303" s="101"/>
      <c r="E303" s="101"/>
      <c r="F303" s="101"/>
      <c r="G303" s="101"/>
      <c r="H303" s="101"/>
      <c r="I303" s="93"/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  <c r="W303" s="93"/>
      <c r="X303" s="93"/>
      <c r="Y303" s="93"/>
    </row>
    <row r="304" ht="15.75" customHeight="1">
      <c r="A304" s="101"/>
      <c r="B304" s="101"/>
      <c r="C304" s="101"/>
      <c r="D304" s="101"/>
      <c r="E304" s="101"/>
      <c r="F304" s="101"/>
      <c r="G304" s="101"/>
      <c r="H304" s="101"/>
      <c r="I304" s="93"/>
      <c r="J304" s="93"/>
      <c r="K304" s="93"/>
      <c r="L304" s="93"/>
      <c r="M304" s="93"/>
      <c r="N304" s="93"/>
      <c r="O304" s="93"/>
      <c r="P304" s="93"/>
      <c r="Q304" s="93"/>
      <c r="R304" s="93"/>
      <c r="S304" s="93"/>
      <c r="T304" s="93"/>
      <c r="U304" s="93"/>
      <c r="V304" s="93"/>
      <c r="W304" s="93"/>
      <c r="X304" s="93"/>
      <c r="Y304" s="93"/>
    </row>
    <row r="305" ht="15.75" customHeight="1">
      <c r="A305" s="101"/>
      <c r="B305" s="101"/>
      <c r="C305" s="101"/>
      <c r="D305" s="101"/>
      <c r="E305" s="101"/>
      <c r="F305" s="101"/>
      <c r="G305" s="101"/>
      <c r="H305" s="101"/>
      <c r="I305" s="93"/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  <c r="W305" s="93"/>
      <c r="X305" s="93"/>
      <c r="Y305" s="93"/>
    </row>
    <row r="306" ht="15.75" customHeight="1">
      <c r="A306" s="101"/>
      <c r="B306" s="101"/>
      <c r="C306" s="101"/>
      <c r="D306" s="101"/>
      <c r="E306" s="101"/>
      <c r="F306" s="101"/>
      <c r="G306" s="101"/>
      <c r="H306" s="101"/>
      <c r="I306" s="93"/>
      <c r="J306" s="93"/>
      <c r="K306" s="93"/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3"/>
    </row>
    <row r="307" ht="15.75" customHeight="1">
      <c r="A307" s="101"/>
      <c r="B307" s="101"/>
      <c r="C307" s="101"/>
      <c r="D307" s="101"/>
      <c r="E307" s="101"/>
      <c r="F307" s="101"/>
      <c r="G307" s="101"/>
      <c r="H307" s="101"/>
      <c r="I307" s="93"/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  <c r="W307" s="93"/>
      <c r="X307" s="93"/>
      <c r="Y307" s="93"/>
    </row>
    <row r="308" ht="15.75" customHeight="1">
      <c r="A308" s="101"/>
      <c r="B308" s="101"/>
      <c r="C308" s="101"/>
      <c r="D308" s="101"/>
      <c r="E308" s="101"/>
      <c r="F308" s="101"/>
      <c r="G308" s="101"/>
      <c r="H308" s="101"/>
      <c r="I308" s="93"/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  <c r="W308" s="93"/>
      <c r="X308" s="93"/>
      <c r="Y308" s="93"/>
    </row>
    <row r="309" ht="15.75" customHeight="1">
      <c r="A309" s="101"/>
      <c r="B309" s="101"/>
      <c r="C309" s="101"/>
      <c r="D309" s="101"/>
      <c r="E309" s="101"/>
      <c r="F309" s="101"/>
      <c r="G309" s="101"/>
      <c r="H309" s="101"/>
      <c r="I309" s="93"/>
      <c r="J309" s="93"/>
      <c r="K309" s="93"/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93"/>
      <c r="W309" s="93"/>
      <c r="X309" s="93"/>
      <c r="Y309" s="93"/>
    </row>
    <row r="310" ht="15.75" customHeight="1">
      <c r="A310" s="101"/>
      <c r="B310" s="101"/>
      <c r="C310" s="101"/>
      <c r="D310" s="101"/>
      <c r="E310" s="101"/>
      <c r="F310" s="101"/>
      <c r="G310" s="101"/>
      <c r="H310" s="101"/>
      <c r="I310" s="93"/>
      <c r="J310" s="93"/>
      <c r="K310" s="93"/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93"/>
      <c r="X310" s="93"/>
      <c r="Y310" s="93"/>
    </row>
    <row r="311" ht="15.75" customHeight="1">
      <c r="A311" s="101"/>
      <c r="B311" s="101"/>
      <c r="C311" s="101"/>
      <c r="D311" s="101"/>
      <c r="E311" s="101"/>
      <c r="F311" s="101"/>
      <c r="G311" s="101"/>
      <c r="H311" s="101"/>
      <c r="I311" s="93"/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  <c r="W311" s="93"/>
      <c r="X311" s="93"/>
      <c r="Y311" s="93"/>
    </row>
    <row r="312" ht="15.75" customHeight="1">
      <c r="A312" s="101"/>
      <c r="B312" s="101"/>
      <c r="C312" s="101"/>
      <c r="D312" s="101"/>
      <c r="E312" s="101"/>
      <c r="F312" s="101"/>
      <c r="G312" s="101"/>
      <c r="H312" s="101"/>
      <c r="I312" s="93"/>
      <c r="J312" s="93"/>
      <c r="K312" s="93"/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93"/>
      <c r="W312" s="93"/>
      <c r="X312" s="93"/>
      <c r="Y312" s="93"/>
    </row>
    <row r="313" ht="15.75" customHeight="1">
      <c r="A313" s="101"/>
      <c r="B313" s="101"/>
      <c r="C313" s="101"/>
      <c r="D313" s="101"/>
      <c r="E313" s="101"/>
      <c r="F313" s="101"/>
      <c r="G313" s="101"/>
      <c r="H313" s="101"/>
      <c r="I313" s="93"/>
      <c r="J313" s="93"/>
      <c r="K313" s="93"/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  <c r="W313" s="93"/>
      <c r="X313" s="93"/>
      <c r="Y313" s="93"/>
    </row>
    <row r="314" ht="15.75" customHeight="1">
      <c r="A314" s="101"/>
      <c r="B314" s="101"/>
      <c r="C314" s="101"/>
      <c r="D314" s="101"/>
      <c r="E314" s="101"/>
      <c r="F314" s="101"/>
      <c r="G314" s="101"/>
      <c r="H314" s="101"/>
      <c r="I314" s="93"/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  <c r="W314" s="93"/>
      <c r="X314" s="93"/>
      <c r="Y314" s="93"/>
    </row>
    <row r="315" ht="15.75" customHeight="1">
      <c r="A315" s="101"/>
      <c r="B315" s="101"/>
      <c r="C315" s="101"/>
      <c r="D315" s="101"/>
      <c r="E315" s="101"/>
      <c r="F315" s="101"/>
      <c r="G315" s="101"/>
      <c r="H315" s="101"/>
      <c r="I315" s="93"/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  <c r="W315" s="93"/>
      <c r="X315" s="93"/>
      <c r="Y315" s="93"/>
    </row>
    <row r="316" ht="15.75" customHeight="1">
      <c r="A316" s="101"/>
      <c r="B316" s="101"/>
      <c r="C316" s="101"/>
      <c r="D316" s="101"/>
      <c r="E316" s="101"/>
      <c r="F316" s="101"/>
      <c r="G316" s="101"/>
      <c r="H316" s="101"/>
      <c r="I316" s="93"/>
      <c r="J316" s="93"/>
      <c r="K316" s="93"/>
      <c r="L316" s="93"/>
      <c r="M316" s="93"/>
      <c r="N316" s="93"/>
      <c r="O316" s="93"/>
      <c r="P316" s="93"/>
      <c r="Q316" s="93"/>
      <c r="R316" s="93"/>
      <c r="S316" s="93"/>
      <c r="T316" s="93"/>
      <c r="U316" s="93"/>
      <c r="V316" s="93"/>
      <c r="W316" s="93"/>
      <c r="X316" s="93"/>
      <c r="Y316" s="93"/>
    </row>
    <row r="317" ht="15.75" customHeight="1">
      <c r="A317" s="101"/>
      <c r="B317" s="101"/>
      <c r="C317" s="101"/>
      <c r="D317" s="101"/>
      <c r="E317" s="101"/>
      <c r="F317" s="101"/>
      <c r="G317" s="101"/>
      <c r="H317" s="101"/>
      <c r="I317" s="93"/>
      <c r="J317" s="93"/>
      <c r="K317" s="93"/>
      <c r="L317" s="93"/>
      <c r="M317" s="93"/>
      <c r="N317" s="93"/>
      <c r="O317" s="93"/>
      <c r="P317" s="93"/>
      <c r="Q317" s="93"/>
      <c r="R317" s="93"/>
      <c r="S317" s="93"/>
      <c r="T317" s="93"/>
      <c r="U317" s="93"/>
      <c r="V317" s="93"/>
      <c r="W317" s="93"/>
      <c r="X317" s="93"/>
      <c r="Y317" s="93"/>
    </row>
    <row r="318" ht="15.75" customHeight="1">
      <c r="A318" s="101"/>
      <c r="B318" s="101"/>
      <c r="C318" s="101"/>
      <c r="D318" s="101"/>
      <c r="E318" s="101"/>
      <c r="F318" s="101"/>
      <c r="G318" s="101"/>
      <c r="H318" s="101"/>
      <c r="I318" s="93"/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  <c r="W318" s="93"/>
      <c r="X318" s="93"/>
      <c r="Y318" s="93"/>
    </row>
    <row r="319" ht="15.75" customHeight="1">
      <c r="A319" s="101"/>
      <c r="B319" s="101"/>
      <c r="C319" s="101"/>
      <c r="D319" s="101"/>
      <c r="E319" s="101"/>
      <c r="F319" s="101"/>
      <c r="G319" s="101"/>
      <c r="H319" s="101"/>
      <c r="I319" s="93"/>
      <c r="J319" s="93"/>
      <c r="K319" s="93"/>
      <c r="L319" s="93"/>
      <c r="M319" s="93"/>
      <c r="N319" s="93"/>
      <c r="O319" s="93"/>
      <c r="P319" s="93"/>
      <c r="Q319" s="93"/>
      <c r="R319" s="93"/>
      <c r="S319" s="93"/>
      <c r="T319" s="93"/>
      <c r="U319" s="93"/>
      <c r="V319" s="93"/>
      <c r="W319" s="93"/>
      <c r="X319" s="93"/>
      <c r="Y319" s="93"/>
    </row>
    <row r="320" ht="15.75" customHeight="1">
      <c r="A320" s="101"/>
      <c r="B320" s="101"/>
      <c r="C320" s="101"/>
      <c r="D320" s="101"/>
      <c r="E320" s="101"/>
      <c r="F320" s="101"/>
      <c r="G320" s="101"/>
      <c r="H320" s="101"/>
      <c r="I320" s="93"/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/>
      <c r="U320" s="93"/>
      <c r="V320" s="93"/>
      <c r="W320" s="93"/>
      <c r="X320" s="93"/>
      <c r="Y320" s="93"/>
    </row>
    <row r="321" ht="15.75" customHeight="1">
      <c r="A321" s="101"/>
      <c r="B321" s="101"/>
      <c r="C321" s="101"/>
      <c r="D321" s="101"/>
      <c r="E321" s="101"/>
      <c r="F321" s="101"/>
      <c r="G321" s="101"/>
      <c r="H321" s="101"/>
      <c r="I321" s="93"/>
      <c r="J321" s="93"/>
      <c r="K321" s="93"/>
      <c r="L321" s="93"/>
      <c r="M321" s="93"/>
      <c r="N321" s="93"/>
      <c r="O321" s="93"/>
      <c r="P321" s="93"/>
      <c r="Q321" s="93"/>
      <c r="R321" s="93"/>
      <c r="S321" s="93"/>
      <c r="T321" s="93"/>
      <c r="U321" s="93"/>
      <c r="V321" s="93"/>
      <c r="W321" s="93"/>
      <c r="X321" s="93"/>
      <c r="Y321" s="93"/>
    </row>
    <row r="322" ht="15.75" customHeight="1">
      <c r="A322" s="101"/>
      <c r="B322" s="101"/>
      <c r="C322" s="101"/>
      <c r="D322" s="101"/>
      <c r="E322" s="101"/>
      <c r="F322" s="101"/>
      <c r="G322" s="101"/>
      <c r="H322" s="101"/>
      <c r="I322" s="93"/>
      <c r="J322" s="93"/>
      <c r="K322" s="93"/>
      <c r="L322" s="93"/>
      <c r="M322" s="93"/>
      <c r="N322" s="93"/>
      <c r="O322" s="93"/>
      <c r="P322" s="93"/>
      <c r="Q322" s="93"/>
      <c r="R322" s="93"/>
      <c r="S322" s="93"/>
      <c r="T322" s="93"/>
      <c r="U322" s="93"/>
      <c r="V322" s="93"/>
      <c r="W322" s="93"/>
      <c r="X322" s="93"/>
      <c r="Y322" s="93"/>
    </row>
    <row r="323" ht="15.75" customHeight="1">
      <c r="A323" s="101"/>
      <c r="B323" s="101"/>
      <c r="C323" s="101"/>
      <c r="D323" s="101"/>
      <c r="E323" s="101"/>
      <c r="F323" s="101"/>
      <c r="G323" s="101"/>
      <c r="H323" s="101"/>
      <c r="I323" s="93"/>
      <c r="J323" s="93"/>
      <c r="K323" s="93"/>
      <c r="L323" s="93"/>
      <c r="M323" s="93"/>
      <c r="N323" s="93"/>
      <c r="O323" s="93"/>
      <c r="P323" s="93"/>
      <c r="Q323" s="93"/>
      <c r="R323" s="93"/>
      <c r="S323" s="93"/>
      <c r="T323" s="93"/>
      <c r="U323" s="93"/>
      <c r="V323" s="93"/>
      <c r="W323" s="93"/>
      <c r="X323" s="93"/>
      <c r="Y323" s="93"/>
    </row>
    <row r="324" ht="15.75" customHeight="1">
      <c r="A324" s="101"/>
      <c r="B324" s="101"/>
      <c r="C324" s="101"/>
      <c r="D324" s="101"/>
      <c r="E324" s="101"/>
      <c r="F324" s="101"/>
      <c r="G324" s="101"/>
      <c r="H324" s="101"/>
      <c r="I324" s="93"/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93"/>
      <c r="U324" s="93"/>
      <c r="V324" s="93"/>
      <c r="W324" s="93"/>
      <c r="X324" s="93"/>
      <c r="Y324" s="93"/>
    </row>
    <row r="325" ht="15.75" customHeight="1">
      <c r="A325" s="101"/>
      <c r="B325" s="101"/>
      <c r="C325" s="101"/>
      <c r="D325" s="101"/>
      <c r="E325" s="101"/>
      <c r="F325" s="101"/>
      <c r="G325" s="101"/>
      <c r="H325" s="101"/>
      <c r="I325" s="93"/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  <c r="W325" s="93"/>
      <c r="X325" s="93"/>
      <c r="Y325" s="93"/>
    </row>
    <row r="326" ht="15.75" customHeight="1">
      <c r="A326" s="101"/>
      <c r="B326" s="101"/>
      <c r="C326" s="101"/>
      <c r="D326" s="101"/>
      <c r="E326" s="101"/>
      <c r="F326" s="101"/>
      <c r="G326" s="101"/>
      <c r="H326" s="101"/>
      <c r="I326" s="93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  <c r="W326" s="93"/>
      <c r="X326" s="93"/>
      <c r="Y326" s="93"/>
    </row>
    <row r="327" ht="15.75" customHeight="1">
      <c r="A327" s="101"/>
      <c r="B327" s="101"/>
      <c r="C327" s="101"/>
      <c r="D327" s="101"/>
      <c r="E327" s="101"/>
      <c r="F327" s="101"/>
      <c r="G327" s="101"/>
      <c r="H327" s="101"/>
      <c r="I327" s="93"/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93"/>
      <c r="W327" s="93"/>
      <c r="X327" s="93"/>
      <c r="Y327" s="93"/>
    </row>
    <row r="328" ht="15.75" customHeight="1">
      <c r="A328" s="101"/>
      <c r="B328" s="101"/>
      <c r="C328" s="101"/>
      <c r="D328" s="101"/>
      <c r="E328" s="101"/>
      <c r="F328" s="101"/>
      <c r="G328" s="101"/>
      <c r="H328" s="101"/>
      <c r="I328" s="93"/>
      <c r="J328" s="93"/>
      <c r="K328" s="93"/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93"/>
      <c r="W328" s="93"/>
      <c r="X328" s="93"/>
      <c r="Y328" s="93"/>
    </row>
    <row r="329" ht="15.75" customHeight="1">
      <c r="A329" s="101"/>
      <c r="B329" s="101"/>
      <c r="C329" s="101"/>
      <c r="D329" s="101"/>
      <c r="E329" s="101"/>
      <c r="F329" s="101"/>
      <c r="G329" s="101"/>
      <c r="H329" s="101"/>
      <c r="I329" s="93"/>
      <c r="J329" s="93"/>
      <c r="K329" s="93"/>
      <c r="L329" s="93"/>
      <c r="M329" s="93"/>
      <c r="N329" s="93"/>
      <c r="O329" s="93"/>
      <c r="P329" s="93"/>
      <c r="Q329" s="93"/>
      <c r="R329" s="93"/>
      <c r="S329" s="93"/>
      <c r="T329" s="93"/>
      <c r="U329" s="93"/>
      <c r="V329" s="93"/>
      <c r="W329" s="93"/>
      <c r="X329" s="93"/>
      <c r="Y329" s="93"/>
    </row>
    <row r="330" ht="15.75" customHeight="1">
      <c r="A330" s="101"/>
      <c r="B330" s="101"/>
      <c r="C330" s="101"/>
      <c r="D330" s="101"/>
      <c r="E330" s="101"/>
      <c r="F330" s="101"/>
      <c r="G330" s="101"/>
      <c r="H330" s="101"/>
      <c r="I330" s="93"/>
      <c r="J330" s="93"/>
      <c r="K330" s="93"/>
      <c r="L330" s="93"/>
      <c r="M330" s="93"/>
      <c r="N330" s="93"/>
      <c r="O330" s="93"/>
      <c r="P330" s="93"/>
      <c r="Q330" s="93"/>
      <c r="R330" s="93"/>
      <c r="S330" s="93"/>
      <c r="T330" s="93"/>
      <c r="U330" s="93"/>
      <c r="V330" s="93"/>
      <c r="W330" s="93"/>
      <c r="X330" s="93"/>
      <c r="Y330" s="93"/>
    </row>
    <row r="331" ht="15.75" customHeight="1">
      <c r="A331" s="101"/>
      <c r="B331" s="101"/>
      <c r="C331" s="101"/>
      <c r="D331" s="101"/>
      <c r="E331" s="101"/>
      <c r="F331" s="101"/>
      <c r="G331" s="101"/>
      <c r="H331" s="101"/>
      <c r="I331" s="93"/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  <c r="W331" s="93"/>
      <c r="X331" s="93"/>
      <c r="Y331" s="93"/>
    </row>
    <row r="332" ht="15.75" customHeight="1">
      <c r="A332" s="101"/>
      <c r="B332" s="101"/>
      <c r="C332" s="101"/>
      <c r="D332" s="101"/>
      <c r="E332" s="101"/>
      <c r="F332" s="101"/>
      <c r="G332" s="101"/>
      <c r="H332" s="101"/>
      <c r="I332" s="93"/>
      <c r="J332" s="93"/>
      <c r="K332" s="93"/>
      <c r="L332" s="93"/>
      <c r="M332" s="93"/>
      <c r="N332" s="93"/>
      <c r="O332" s="93"/>
      <c r="P332" s="93"/>
      <c r="Q332" s="93"/>
      <c r="R332" s="93"/>
      <c r="S332" s="93"/>
      <c r="T332" s="93"/>
      <c r="U332" s="93"/>
      <c r="V332" s="93"/>
      <c r="W332" s="93"/>
      <c r="X332" s="93"/>
      <c r="Y332" s="93"/>
    </row>
    <row r="333" ht="15.75" customHeight="1">
      <c r="A333" s="101"/>
      <c r="B333" s="101"/>
      <c r="C333" s="101"/>
      <c r="D333" s="101"/>
      <c r="E333" s="101"/>
      <c r="F333" s="101"/>
      <c r="G333" s="101"/>
      <c r="H333" s="101"/>
      <c r="I333" s="93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93"/>
      <c r="X333" s="93"/>
      <c r="Y333" s="93"/>
    </row>
    <row r="334" ht="15.75" customHeight="1">
      <c r="A334" s="101"/>
      <c r="B334" s="101"/>
      <c r="C334" s="101"/>
      <c r="D334" s="101"/>
      <c r="E334" s="101"/>
      <c r="F334" s="101"/>
      <c r="G334" s="101"/>
      <c r="H334" s="101"/>
      <c r="I334" s="93"/>
      <c r="J334" s="93"/>
      <c r="K334" s="93"/>
      <c r="L334" s="93"/>
      <c r="M334" s="93"/>
      <c r="N334" s="93"/>
      <c r="O334" s="93"/>
      <c r="P334" s="93"/>
      <c r="Q334" s="93"/>
      <c r="R334" s="93"/>
      <c r="S334" s="93"/>
      <c r="T334" s="93"/>
      <c r="U334" s="93"/>
      <c r="V334" s="93"/>
      <c r="W334" s="93"/>
      <c r="X334" s="93"/>
      <c r="Y334" s="93"/>
    </row>
    <row r="335" ht="15.75" customHeight="1">
      <c r="A335" s="101"/>
      <c r="B335" s="101"/>
      <c r="C335" s="101"/>
      <c r="D335" s="101"/>
      <c r="E335" s="101"/>
      <c r="F335" s="101"/>
      <c r="G335" s="101"/>
      <c r="H335" s="101"/>
      <c r="I335" s="93"/>
      <c r="J335" s="93"/>
      <c r="K335" s="93"/>
      <c r="L335" s="93"/>
      <c r="M335" s="93"/>
      <c r="N335" s="93"/>
      <c r="O335" s="93"/>
      <c r="P335" s="93"/>
      <c r="Q335" s="93"/>
      <c r="R335" s="93"/>
      <c r="S335" s="93"/>
      <c r="T335" s="93"/>
      <c r="U335" s="93"/>
      <c r="V335" s="93"/>
      <c r="W335" s="93"/>
      <c r="X335" s="93"/>
      <c r="Y335" s="93"/>
    </row>
    <row r="336" ht="15.75" customHeight="1">
      <c r="A336" s="101"/>
      <c r="B336" s="101"/>
      <c r="C336" s="101"/>
      <c r="D336" s="101"/>
      <c r="E336" s="101"/>
      <c r="F336" s="101"/>
      <c r="G336" s="101"/>
      <c r="H336" s="101"/>
      <c r="I336" s="93"/>
      <c r="J336" s="93"/>
      <c r="K336" s="93"/>
      <c r="L336" s="93"/>
      <c r="M336" s="93"/>
      <c r="N336" s="93"/>
      <c r="O336" s="93"/>
      <c r="P336" s="93"/>
      <c r="Q336" s="93"/>
      <c r="R336" s="93"/>
      <c r="S336" s="93"/>
      <c r="T336" s="93"/>
      <c r="U336" s="93"/>
      <c r="V336" s="93"/>
      <c r="W336" s="93"/>
      <c r="X336" s="93"/>
      <c r="Y336" s="93"/>
    </row>
    <row r="337" ht="15.75" customHeight="1">
      <c r="A337" s="101"/>
      <c r="B337" s="101"/>
      <c r="C337" s="101"/>
      <c r="D337" s="101"/>
      <c r="E337" s="101"/>
      <c r="F337" s="101"/>
      <c r="G337" s="101"/>
      <c r="H337" s="101"/>
      <c r="I337" s="93"/>
      <c r="J337" s="93"/>
      <c r="K337" s="93"/>
      <c r="L337" s="93"/>
      <c r="M337" s="93"/>
      <c r="N337" s="93"/>
      <c r="O337" s="93"/>
      <c r="P337" s="93"/>
      <c r="Q337" s="93"/>
      <c r="R337" s="93"/>
      <c r="S337" s="93"/>
      <c r="T337" s="93"/>
      <c r="U337" s="93"/>
      <c r="V337" s="93"/>
      <c r="W337" s="93"/>
      <c r="X337" s="93"/>
      <c r="Y337" s="93"/>
    </row>
    <row r="338" ht="15.75" customHeight="1">
      <c r="A338" s="101"/>
      <c r="B338" s="101"/>
      <c r="C338" s="101"/>
      <c r="D338" s="101"/>
      <c r="E338" s="101"/>
      <c r="F338" s="101"/>
      <c r="G338" s="101"/>
      <c r="H338" s="101"/>
      <c r="I338" s="93"/>
      <c r="J338" s="93"/>
      <c r="K338" s="93"/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  <c r="W338" s="93"/>
      <c r="X338" s="93"/>
      <c r="Y338" s="93"/>
    </row>
    <row r="339" ht="15.75" customHeight="1">
      <c r="A339" s="101"/>
      <c r="B339" s="101"/>
      <c r="C339" s="101"/>
      <c r="D339" s="101"/>
      <c r="E339" s="101"/>
      <c r="F339" s="101"/>
      <c r="G339" s="101"/>
      <c r="H339" s="101"/>
      <c r="I339" s="93"/>
      <c r="J339" s="93"/>
      <c r="K339" s="93"/>
      <c r="L339" s="93"/>
      <c r="M339" s="93"/>
      <c r="N339" s="93"/>
      <c r="O339" s="93"/>
      <c r="P339" s="93"/>
      <c r="Q339" s="93"/>
      <c r="R339" s="93"/>
      <c r="S339" s="93"/>
      <c r="T339" s="93"/>
      <c r="U339" s="93"/>
      <c r="V339" s="93"/>
      <c r="W339" s="93"/>
      <c r="X339" s="93"/>
      <c r="Y339" s="93"/>
    </row>
    <row r="340" ht="15.75" customHeight="1">
      <c r="A340" s="101"/>
      <c r="B340" s="101"/>
      <c r="C340" s="101"/>
      <c r="D340" s="101"/>
      <c r="E340" s="101"/>
      <c r="F340" s="101"/>
      <c r="G340" s="101"/>
      <c r="H340" s="101"/>
      <c r="I340" s="93"/>
      <c r="J340" s="93"/>
      <c r="K340" s="93"/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</row>
    <row r="341" ht="15.75" customHeight="1">
      <c r="A341" s="101"/>
      <c r="B341" s="101"/>
      <c r="C341" s="101"/>
      <c r="D341" s="101"/>
      <c r="E341" s="101"/>
      <c r="F341" s="101"/>
      <c r="G341" s="101"/>
      <c r="H341" s="101"/>
      <c r="I341" s="93"/>
      <c r="J341" s="93"/>
      <c r="K341" s="93"/>
      <c r="L341" s="93"/>
      <c r="M341" s="93"/>
      <c r="N341" s="93"/>
      <c r="O341" s="93"/>
      <c r="P341" s="93"/>
      <c r="Q341" s="93"/>
      <c r="R341" s="93"/>
      <c r="S341" s="93"/>
      <c r="T341" s="93"/>
      <c r="U341" s="93"/>
      <c r="V341" s="93"/>
      <c r="W341" s="93"/>
      <c r="X341" s="93"/>
      <c r="Y341" s="93"/>
    </row>
    <row r="342" ht="15.75" customHeight="1">
      <c r="A342" s="101"/>
      <c r="B342" s="101"/>
      <c r="C342" s="101"/>
      <c r="D342" s="101"/>
      <c r="E342" s="101"/>
      <c r="F342" s="101"/>
      <c r="G342" s="101"/>
      <c r="H342" s="101"/>
      <c r="I342" s="93"/>
      <c r="J342" s="93"/>
      <c r="K342" s="93"/>
      <c r="L342" s="93"/>
      <c r="M342" s="93"/>
      <c r="N342" s="93"/>
      <c r="O342" s="93"/>
      <c r="P342" s="93"/>
      <c r="Q342" s="93"/>
      <c r="R342" s="93"/>
      <c r="S342" s="93"/>
      <c r="T342" s="93"/>
      <c r="U342" s="93"/>
      <c r="V342" s="93"/>
      <c r="W342" s="93"/>
      <c r="X342" s="93"/>
      <c r="Y342" s="93"/>
    </row>
    <row r="343" ht="15.75" customHeight="1">
      <c r="A343" s="101"/>
      <c r="B343" s="101"/>
      <c r="C343" s="101"/>
      <c r="D343" s="101"/>
      <c r="E343" s="101"/>
      <c r="F343" s="101"/>
      <c r="G343" s="101"/>
      <c r="H343" s="101"/>
      <c r="I343" s="93"/>
      <c r="J343" s="93"/>
      <c r="K343" s="93"/>
      <c r="L343" s="93"/>
      <c r="M343" s="93"/>
      <c r="N343" s="93"/>
      <c r="O343" s="93"/>
      <c r="P343" s="93"/>
      <c r="Q343" s="93"/>
      <c r="R343" s="93"/>
      <c r="S343" s="93"/>
      <c r="T343" s="93"/>
      <c r="U343" s="93"/>
      <c r="V343" s="93"/>
      <c r="W343" s="93"/>
      <c r="X343" s="93"/>
      <c r="Y343" s="93"/>
    </row>
    <row r="344" ht="15.75" customHeight="1">
      <c r="A344" s="101"/>
      <c r="B344" s="101"/>
      <c r="C344" s="101"/>
      <c r="D344" s="101"/>
      <c r="E344" s="101"/>
      <c r="F344" s="101"/>
      <c r="G344" s="101"/>
      <c r="H344" s="101"/>
      <c r="I344" s="93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93"/>
      <c r="X344" s="93"/>
      <c r="Y344" s="93"/>
    </row>
    <row r="345" ht="15.75" customHeight="1">
      <c r="A345" s="101"/>
      <c r="B345" s="101"/>
      <c r="C345" s="101"/>
      <c r="D345" s="101"/>
      <c r="E345" s="101"/>
      <c r="F345" s="101"/>
      <c r="G345" s="101"/>
      <c r="H345" s="101"/>
      <c r="I345" s="93"/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  <c r="W345" s="93"/>
      <c r="X345" s="93"/>
      <c r="Y345" s="93"/>
    </row>
    <row r="346" ht="15.75" customHeight="1">
      <c r="A346" s="101"/>
      <c r="B346" s="101"/>
      <c r="C346" s="101"/>
      <c r="D346" s="101"/>
      <c r="E346" s="101"/>
      <c r="F346" s="101"/>
      <c r="G346" s="101"/>
      <c r="H346" s="101"/>
      <c r="I346" s="93"/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  <c r="W346" s="93"/>
      <c r="X346" s="93"/>
      <c r="Y346" s="93"/>
    </row>
    <row r="347" ht="15.75" customHeight="1">
      <c r="A347" s="101"/>
      <c r="B347" s="101"/>
      <c r="C347" s="101"/>
      <c r="D347" s="101"/>
      <c r="E347" s="101"/>
      <c r="F347" s="101"/>
      <c r="G347" s="101"/>
      <c r="H347" s="101"/>
      <c r="I347" s="93"/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  <c r="W347" s="93"/>
      <c r="X347" s="93"/>
      <c r="Y347" s="93"/>
    </row>
    <row r="348" ht="15.75" customHeight="1">
      <c r="A348" s="101"/>
      <c r="B348" s="101"/>
      <c r="C348" s="101"/>
      <c r="D348" s="101"/>
      <c r="E348" s="101"/>
      <c r="F348" s="101"/>
      <c r="G348" s="101"/>
      <c r="H348" s="101"/>
      <c r="I348" s="93"/>
      <c r="J348" s="93"/>
      <c r="K348" s="93"/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  <c r="W348" s="93"/>
      <c r="X348" s="93"/>
      <c r="Y348" s="93"/>
    </row>
    <row r="349" ht="15.75" customHeight="1">
      <c r="A349" s="101"/>
      <c r="B349" s="101"/>
      <c r="C349" s="101"/>
      <c r="D349" s="101"/>
      <c r="E349" s="101"/>
      <c r="F349" s="101"/>
      <c r="G349" s="101"/>
      <c r="H349" s="101"/>
      <c r="I349" s="93"/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3"/>
    </row>
    <row r="350" ht="15.75" customHeight="1">
      <c r="A350" s="101"/>
      <c r="B350" s="101"/>
      <c r="C350" s="101"/>
      <c r="D350" s="101"/>
      <c r="E350" s="101"/>
      <c r="F350" s="101"/>
      <c r="G350" s="101"/>
      <c r="H350" s="101"/>
      <c r="I350" s="93"/>
      <c r="J350" s="93"/>
      <c r="K350" s="93"/>
      <c r="L350" s="93"/>
      <c r="M350" s="93"/>
      <c r="N350" s="93"/>
      <c r="O350" s="93"/>
      <c r="P350" s="93"/>
      <c r="Q350" s="93"/>
      <c r="R350" s="93"/>
      <c r="S350" s="93"/>
      <c r="T350" s="93"/>
      <c r="U350" s="93"/>
      <c r="V350" s="93"/>
      <c r="W350" s="93"/>
      <c r="X350" s="93"/>
      <c r="Y350" s="93"/>
    </row>
    <row r="351" ht="15.75" customHeight="1">
      <c r="A351" s="101"/>
      <c r="B351" s="101"/>
      <c r="C351" s="101"/>
      <c r="D351" s="101"/>
      <c r="E351" s="101"/>
      <c r="F351" s="101"/>
      <c r="G351" s="101"/>
      <c r="H351" s="101"/>
      <c r="I351" s="93"/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  <c r="W351" s="93"/>
      <c r="X351" s="93"/>
      <c r="Y351" s="93"/>
    </row>
    <row r="352" ht="15.75" customHeight="1">
      <c r="A352" s="101"/>
      <c r="B352" s="101"/>
      <c r="C352" s="101"/>
      <c r="D352" s="101"/>
      <c r="E352" s="101"/>
      <c r="F352" s="101"/>
      <c r="G352" s="101"/>
      <c r="H352" s="101"/>
      <c r="I352" s="93"/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  <c r="W352" s="93"/>
      <c r="X352" s="93"/>
      <c r="Y352" s="93"/>
    </row>
    <row r="353" ht="15.75" customHeight="1">
      <c r="A353" s="101"/>
      <c r="B353" s="101"/>
      <c r="C353" s="101"/>
      <c r="D353" s="101"/>
      <c r="E353" s="101"/>
      <c r="F353" s="101"/>
      <c r="G353" s="101"/>
      <c r="H353" s="101"/>
      <c r="I353" s="93"/>
      <c r="J353" s="93"/>
      <c r="K353" s="93"/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93"/>
      <c r="X353" s="93"/>
      <c r="Y353" s="93"/>
    </row>
    <row r="354" ht="15.75" customHeight="1">
      <c r="A354" s="101"/>
      <c r="B354" s="101"/>
      <c r="C354" s="101"/>
      <c r="D354" s="101"/>
      <c r="E354" s="101"/>
      <c r="F354" s="101"/>
      <c r="G354" s="101"/>
      <c r="H354" s="101"/>
      <c r="I354" s="93"/>
      <c r="J354" s="93"/>
      <c r="K354" s="93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  <c r="W354" s="93"/>
      <c r="X354" s="93"/>
      <c r="Y354" s="93"/>
    </row>
    <row r="355" ht="15.75" customHeight="1">
      <c r="A355" s="101"/>
      <c r="B355" s="101"/>
      <c r="C355" s="101"/>
      <c r="D355" s="101"/>
      <c r="E355" s="101"/>
      <c r="F355" s="101"/>
      <c r="G355" s="101"/>
      <c r="H355" s="101"/>
      <c r="I355" s="93"/>
      <c r="J355" s="93"/>
      <c r="K355" s="93"/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  <c r="W355" s="93"/>
      <c r="X355" s="93"/>
      <c r="Y355" s="93"/>
    </row>
    <row r="356" ht="15.75" customHeight="1">
      <c r="A356" s="101"/>
      <c r="B356" s="101"/>
      <c r="C356" s="101"/>
      <c r="D356" s="101"/>
      <c r="E356" s="101"/>
      <c r="F356" s="101"/>
      <c r="G356" s="101"/>
      <c r="H356" s="101"/>
      <c r="I356" s="93"/>
      <c r="J356" s="93"/>
      <c r="K356" s="93"/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93"/>
      <c r="W356" s="93"/>
      <c r="X356" s="93"/>
      <c r="Y356" s="93"/>
    </row>
    <row r="357" ht="15.75" customHeight="1">
      <c r="A357" s="101"/>
      <c r="B357" s="101"/>
      <c r="C357" s="101"/>
      <c r="D357" s="101"/>
      <c r="E357" s="101"/>
      <c r="F357" s="101"/>
      <c r="G357" s="101"/>
      <c r="H357" s="101"/>
      <c r="I357" s="93"/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  <c r="W357" s="93"/>
      <c r="X357" s="93"/>
      <c r="Y357" s="93"/>
    </row>
    <row r="358" ht="15.75" customHeight="1">
      <c r="A358" s="101"/>
      <c r="B358" s="101"/>
      <c r="C358" s="101"/>
      <c r="D358" s="101"/>
      <c r="E358" s="101"/>
      <c r="F358" s="101"/>
      <c r="G358" s="101"/>
      <c r="H358" s="101"/>
      <c r="I358" s="93"/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  <c r="W358" s="93"/>
      <c r="X358" s="93"/>
      <c r="Y358" s="93"/>
    </row>
    <row r="359" ht="15.75" customHeight="1">
      <c r="A359" s="101"/>
      <c r="B359" s="101"/>
      <c r="C359" s="101"/>
      <c r="D359" s="101"/>
      <c r="E359" s="101"/>
      <c r="F359" s="101"/>
      <c r="G359" s="101"/>
      <c r="H359" s="101"/>
      <c r="I359" s="93"/>
      <c r="J359" s="93"/>
      <c r="K359" s="93"/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93"/>
      <c r="W359" s="93"/>
      <c r="X359" s="93"/>
      <c r="Y359" s="93"/>
    </row>
    <row r="360" ht="15.75" customHeight="1">
      <c r="A360" s="101"/>
      <c r="B360" s="101"/>
      <c r="C360" s="101"/>
      <c r="D360" s="101"/>
      <c r="E360" s="101"/>
      <c r="F360" s="101"/>
      <c r="G360" s="101"/>
      <c r="H360" s="101"/>
      <c r="I360" s="93"/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  <c r="W360" s="93"/>
      <c r="X360" s="93"/>
      <c r="Y360" s="93"/>
    </row>
    <row r="361" ht="15.75" customHeight="1">
      <c r="A361" s="101"/>
      <c r="B361" s="101"/>
      <c r="C361" s="101"/>
      <c r="D361" s="101"/>
      <c r="E361" s="101"/>
      <c r="F361" s="101"/>
      <c r="G361" s="101"/>
      <c r="H361" s="101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3"/>
    </row>
    <row r="362" ht="15.75" customHeight="1">
      <c r="A362" s="101"/>
      <c r="B362" s="101"/>
      <c r="C362" s="101"/>
      <c r="D362" s="101"/>
      <c r="E362" s="101"/>
      <c r="F362" s="101"/>
      <c r="G362" s="101"/>
      <c r="H362" s="101"/>
      <c r="I362" s="93"/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3"/>
    </row>
    <row r="363" ht="15.75" customHeight="1">
      <c r="A363" s="101"/>
      <c r="B363" s="101"/>
      <c r="C363" s="101"/>
      <c r="D363" s="101"/>
      <c r="E363" s="101"/>
      <c r="F363" s="101"/>
      <c r="G363" s="101"/>
      <c r="H363" s="101"/>
      <c r="I363" s="93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3"/>
    </row>
    <row r="364" ht="15.75" customHeight="1">
      <c r="A364" s="101"/>
      <c r="B364" s="101"/>
      <c r="C364" s="101"/>
      <c r="D364" s="101"/>
      <c r="E364" s="101"/>
      <c r="F364" s="101"/>
      <c r="G364" s="101"/>
      <c r="H364" s="101"/>
      <c r="I364" s="93"/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93"/>
      <c r="X364" s="93"/>
      <c r="Y364" s="93"/>
    </row>
    <row r="365" ht="15.75" customHeight="1">
      <c r="A365" s="101"/>
      <c r="B365" s="101"/>
      <c r="C365" s="101"/>
      <c r="D365" s="101"/>
      <c r="E365" s="101"/>
      <c r="F365" s="101"/>
      <c r="G365" s="101"/>
      <c r="H365" s="101"/>
      <c r="I365" s="93"/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93"/>
      <c r="X365" s="93"/>
      <c r="Y365" s="93"/>
    </row>
    <row r="366" ht="15.75" customHeight="1">
      <c r="A366" s="101"/>
      <c r="B366" s="101"/>
      <c r="C366" s="101"/>
      <c r="D366" s="101"/>
      <c r="E366" s="101"/>
      <c r="F366" s="101"/>
      <c r="G366" s="101"/>
      <c r="H366" s="101"/>
      <c r="I366" s="93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  <c r="W366" s="93"/>
      <c r="X366" s="93"/>
      <c r="Y366" s="93"/>
    </row>
    <row r="367" ht="15.75" customHeight="1">
      <c r="A367" s="101"/>
      <c r="B367" s="101"/>
      <c r="C367" s="101"/>
      <c r="D367" s="101"/>
      <c r="E367" s="101"/>
      <c r="F367" s="101"/>
      <c r="G367" s="101"/>
      <c r="H367" s="101"/>
      <c r="I367" s="93"/>
      <c r="J367" s="93"/>
      <c r="K367" s="93"/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  <c r="W367" s="93"/>
      <c r="X367" s="93"/>
      <c r="Y367" s="93"/>
    </row>
    <row r="368" ht="15.75" customHeight="1">
      <c r="A368" s="101"/>
      <c r="B368" s="101"/>
      <c r="C368" s="101"/>
      <c r="D368" s="101"/>
      <c r="E368" s="101"/>
      <c r="F368" s="101"/>
      <c r="G368" s="101"/>
      <c r="H368" s="101"/>
      <c r="I368" s="93"/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93"/>
      <c r="X368" s="93"/>
      <c r="Y368" s="93"/>
    </row>
    <row r="369" ht="15.75" customHeight="1">
      <c r="A369" s="101"/>
      <c r="B369" s="101"/>
      <c r="C369" s="101"/>
      <c r="D369" s="101"/>
      <c r="E369" s="101"/>
      <c r="F369" s="101"/>
      <c r="G369" s="101"/>
      <c r="H369" s="101"/>
      <c r="I369" s="93"/>
      <c r="J369" s="93"/>
      <c r="K369" s="93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93"/>
      <c r="X369" s="93"/>
      <c r="Y369" s="93"/>
    </row>
    <row r="370" ht="15.75" customHeight="1">
      <c r="A370" s="101"/>
      <c r="B370" s="101"/>
      <c r="C370" s="101"/>
      <c r="D370" s="101"/>
      <c r="E370" s="101"/>
      <c r="F370" s="101"/>
      <c r="G370" s="101"/>
      <c r="H370" s="101"/>
      <c r="I370" s="93"/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93"/>
      <c r="X370" s="93"/>
      <c r="Y370" s="93"/>
    </row>
    <row r="371" ht="15.75" customHeight="1">
      <c r="A371" s="101"/>
      <c r="B371" s="101"/>
      <c r="C371" s="101"/>
      <c r="D371" s="101"/>
      <c r="E371" s="101"/>
      <c r="F371" s="101"/>
      <c r="G371" s="101"/>
      <c r="H371" s="101"/>
      <c r="I371" s="93"/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93"/>
      <c r="X371" s="93"/>
      <c r="Y371" s="93"/>
    </row>
    <row r="372" ht="15.75" customHeight="1">
      <c r="A372" s="101"/>
      <c r="B372" s="101"/>
      <c r="C372" s="101"/>
      <c r="D372" s="101"/>
      <c r="E372" s="101"/>
      <c r="F372" s="101"/>
      <c r="G372" s="101"/>
      <c r="H372" s="101"/>
      <c r="I372" s="93"/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93"/>
      <c r="X372" s="93"/>
      <c r="Y372" s="93"/>
    </row>
    <row r="373" ht="15.75" customHeight="1">
      <c r="A373" s="101"/>
      <c r="B373" s="101"/>
      <c r="C373" s="101"/>
      <c r="D373" s="101"/>
      <c r="E373" s="101"/>
      <c r="F373" s="101"/>
      <c r="G373" s="101"/>
      <c r="H373" s="101"/>
      <c r="I373" s="93"/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93"/>
      <c r="X373" s="93"/>
      <c r="Y373" s="93"/>
    </row>
    <row r="374" ht="15.75" customHeight="1">
      <c r="A374" s="101"/>
      <c r="B374" s="101"/>
      <c r="C374" s="101"/>
      <c r="D374" s="101"/>
      <c r="E374" s="101"/>
      <c r="F374" s="101"/>
      <c r="G374" s="101"/>
      <c r="H374" s="101"/>
      <c r="I374" s="93"/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  <c r="W374" s="93"/>
      <c r="X374" s="93"/>
      <c r="Y374" s="93"/>
    </row>
    <row r="375" ht="15.75" customHeight="1">
      <c r="A375" s="101"/>
      <c r="B375" s="101"/>
      <c r="C375" s="101"/>
      <c r="D375" s="101"/>
      <c r="E375" s="101"/>
      <c r="F375" s="101"/>
      <c r="G375" s="101"/>
      <c r="H375" s="101"/>
      <c r="I375" s="93"/>
      <c r="J375" s="93"/>
      <c r="K375" s="93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  <c r="W375" s="93"/>
      <c r="X375" s="93"/>
      <c r="Y375" s="93"/>
    </row>
    <row r="376" ht="15.75" customHeight="1">
      <c r="A376" s="101"/>
      <c r="B376" s="101"/>
      <c r="C376" s="101"/>
      <c r="D376" s="101"/>
      <c r="E376" s="101"/>
      <c r="F376" s="101"/>
      <c r="G376" s="101"/>
      <c r="H376" s="101"/>
      <c r="I376" s="93"/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93"/>
      <c r="X376" s="93"/>
      <c r="Y376" s="93"/>
    </row>
    <row r="377" ht="15.75" customHeight="1">
      <c r="A377" s="101"/>
      <c r="B377" s="101"/>
      <c r="C377" s="101"/>
      <c r="D377" s="101"/>
      <c r="E377" s="101"/>
      <c r="F377" s="101"/>
      <c r="G377" s="101"/>
      <c r="H377" s="101"/>
      <c r="I377" s="93"/>
      <c r="J377" s="93"/>
      <c r="K377" s="93"/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  <c r="W377" s="93"/>
      <c r="X377" s="93"/>
      <c r="Y377" s="93"/>
    </row>
    <row r="378" ht="15.75" customHeight="1">
      <c r="A378" s="101"/>
      <c r="B378" s="101"/>
      <c r="C378" s="101"/>
      <c r="D378" s="101"/>
      <c r="E378" s="101"/>
      <c r="F378" s="101"/>
      <c r="G378" s="101"/>
      <c r="H378" s="101"/>
      <c r="I378" s="93"/>
      <c r="J378" s="93"/>
      <c r="K378" s="93"/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93"/>
      <c r="W378" s="93"/>
      <c r="X378" s="93"/>
      <c r="Y378" s="93"/>
    </row>
    <row r="379" ht="15.75" customHeight="1">
      <c r="A379" s="101"/>
      <c r="B379" s="101"/>
      <c r="C379" s="101"/>
      <c r="D379" s="101"/>
      <c r="E379" s="101"/>
      <c r="F379" s="101"/>
      <c r="G379" s="101"/>
      <c r="H379" s="101"/>
      <c r="I379" s="93"/>
      <c r="J379" s="93"/>
      <c r="K379" s="93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  <c r="W379" s="93"/>
      <c r="X379" s="93"/>
      <c r="Y379" s="93"/>
    </row>
    <row r="380" ht="15.75" customHeight="1">
      <c r="A380" s="101"/>
      <c r="B380" s="101"/>
      <c r="C380" s="101"/>
      <c r="D380" s="101"/>
      <c r="E380" s="101"/>
      <c r="F380" s="101"/>
      <c r="G380" s="101"/>
      <c r="H380" s="101"/>
      <c r="I380" s="93"/>
      <c r="J380" s="93"/>
      <c r="K380" s="93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  <c r="W380" s="93"/>
      <c r="X380" s="93"/>
      <c r="Y380" s="93"/>
    </row>
    <row r="381" ht="15.75" customHeight="1">
      <c r="A381" s="101"/>
      <c r="B381" s="101"/>
      <c r="C381" s="101"/>
      <c r="D381" s="101"/>
      <c r="E381" s="101"/>
      <c r="F381" s="101"/>
      <c r="G381" s="101"/>
      <c r="H381" s="101"/>
      <c r="I381" s="93"/>
      <c r="J381" s="93"/>
      <c r="K381" s="93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  <c r="W381" s="93"/>
      <c r="X381" s="93"/>
      <c r="Y381" s="93"/>
    </row>
    <row r="382" ht="15.75" customHeight="1">
      <c r="A382" s="101"/>
      <c r="B382" s="101"/>
      <c r="C382" s="101"/>
      <c r="D382" s="101"/>
      <c r="E382" s="101"/>
      <c r="F382" s="101"/>
      <c r="G382" s="101"/>
      <c r="H382" s="101"/>
      <c r="I382" s="93"/>
      <c r="J382" s="93"/>
      <c r="K382" s="93"/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  <c r="W382" s="93"/>
      <c r="X382" s="93"/>
      <c r="Y382" s="93"/>
    </row>
    <row r="383" ht="15.75" customHeight="1">
      <c r="A383" s="101"/>
      <c r="B383" s="101"/>
      <c r="C383" s="101"/>
      <c r="D383" s="101"/>
      <c r="E383" s="101"/>
      <c r="F383" s="101"/>
      <c r="G383" s="101"/>
      <c r="H383" s="101"/>
      <c r="I383" s="93"/>
      <c r="J383" s="93"/>
      <c r="K383" s="93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  <c r="W383" s="93"/>
      <c r="X383" s="93"/>
      <c r="Y383" s="93"/>
    </row>
    <row r="384" ht="15.75" customHeight="1">
      <c r="A384" s="101"/>
      <c r="B384" s="101"/>
      <c r="C384" s="101"/>
      <c r="D384" s="101"/>
      <c r="E384" s="101"/>
      <c r="F384" s="101"/>
      <c r="G384" s="101"/>
      <c r="H384" s="101"/>
      <c r="I384" s="93"/>
      <c r="J384" s="93"/>
      <c r="K384" s="93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  <c r="W384" s="93"/>
      <c r="X384" s="93"/>
      <c r="Y384" s="93"/>
    </row>
    <row r="385" ht="15.75" customHeight="1">
      <c r="A385" s="101"/>
      <c r="B385" s="101"/>
      <c r="C385" s="101"/>
      <c r="D385" s="101"/>
      <c r="E385" s="101"/>
      <c r="F385" s="101"/>
      <c r="G385" s="101"/>
      <c r="H385" s="101"/>
      <c r="I385" s="93"/>
      <c r="J385" s="93"/>
      <c r="K385" s="93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93"/>
      <c r="X385" s="93"/>
      <c r="Y385" s="93"/>
    </row>
    <row r="386" ht="15.75" customHeight="1">
      <c r="A386" s="101"/>
      <c r="B386" s="101"/>
      <c r="C386" s="101"/>
      <c r="D386" s="101"/>
      <c r="E386" s="101"/>
      <c r="F386" s="101"/>
      <c r="G386" s="101"/>
      <c r="H386" s="101"/>
      <c r="I386" s="93"/>
      <c r="J386" s="93"/>
      <c r="K386" s="93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  <c r="W386" s="93"/>
      <c r="X386" s="93"/>
      <c r="Y386" s="93"/>
    </row>
    <row r="387" ht="15.75" customHeight="1">
      <c r="A387" s="101"/>
      <c r="B387" s="101"/>
      <c r="C387" s="101"/>
      <c r="D387" s="101"/>
      <c r="E387" s="101"/>
      <c r="F387" s="101"/>
      <c r="G387" s="101"/>
      <c r="H387" s="101"/>
      <c r="I387" s="93"/>
      <c r="J387" s="93"/>
      <c r="K387" s="93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3"/>
    </row>
    <row r="388" ht="15.75" customHeight="1">
      <c r="A388" s="101"/>
      <c r="B388" s="101"/>
      <c r="C388" s="101"/>
      <c r="D388" s="101"/>
      <c r="E388" s="101"/>
      <c r="F388" s="101"/>
      <c r="G388" s="101"/>
      <c r="H388" s="101"/>
      <c r="I388" s="93"/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3"/>
    </row>
    <row r="389" ht="15.75" customHeight="1">
      <c r="A389" s="101"/>
      <c r="B389" s="101"/>
      <c r="C389" s="101"/>
      <c r="D389" s="101"/>
      <c r="E389" s="101"/>
      <c r="F389" s="101"/>
      <c r="G389" s="101"/>
      <c r="H389" s="101"/>
      <c r="I389" s="93"/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3"/>
    </row>
    <row r="390" ht="15.75" customHeight="1">
      <c r="A390" s="101"/>
      <c r="B390" s="101"/>
      <c r="C390" s="101"/>
      <c r="D390" s="101"/>
      <c r="E390" s="101"/>
      <c r="F390" s="101"/>
      <c r="G390" s="101"/>
      <c r="H390" s="101"/>
      <c r="I390" s="93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3"/>
    </row>
    <row r="391" ht="15.75" customHeight="1">
      <c r="A391" s="101"/>
      <c r="B391" s="101"/>
      <c r="C391" s="101"/>
      <c r="D391" s="101"/>
      <c r="E391" s="101"/>
      <c r="F391" s="101"/>
      <c r="G391" s="101"/>
      <c r="H391" s="101"/>
      <c r="I391" s="93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3"/>
    </row>
    <row r="392" ht="15.75" customHeight="1">
      <c r="A392" s="101"/>
      <c r="B392" s="101"/>
      <c r="C392" s="101"/>
      <c r="D392" s="101"/>
      <c r="E392" s="101"/>
      <c r="F392" s="101"/>
      <c r="G392" s="101"/>
      <c r="H392" s="101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3"/>
    </row>
    <row r="393" ht="15.75" customHeight="1">
      <c r="A393" s="101"/>
      <c r="B393" s="101"/>
      <c r="C393" s="101"/>
      <c r="D393" s="101"/>
      <c r="E393" s="101"/>
      <c r="F393" s="101"/>
      <c r="G393" s="101"/>
      <c r="H393" s="101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</row>
    <row r="394" ht="15.75" customHeight="1">
      <c r="A394" s="101"/>
      <c r="B394" s="101"/>
      <c r="C394" s="101"/>
      <c r="D394" s="101"/>
      <c r="E394" s="101"/>
      <c r="F394" s="101"/>
      <c r="G394" s="101"/>
      <c r="H394" s="101"/>
      <c r="I394" s="93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3"/>
    </row>
    <row r="395" ht="15.75" customHeight="1">
      <c r="A395" s="101"/>
      <c r="B395" s="101"/>
      <c r="C395" s="101"/>
      <c r="D395" s="101"/>
      <c r="E395" s="101"/>
      <c r="F395" s="101"/>
      <c r="G395" s="101"/>
      <c r="H395" s="101"/>
      <c r="I395" s="93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3"/>
    </row>
    <row r="396" ht="15.75" customHeight="1">
      <c r="A396" s="101"/>
      <c r="B396" s="101"/>
      <c r="C396" s="101"/>
      <c r="D396" s="101"/>
      <c r="E396" s="101"/>
      <c r="F396" s="101"/>
      <c r="G396" s="101"/>
      <c r="H396" s="101"/>
      <c r="I396" s="93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3"/>
    </row>
    <row r="397" ht="15.75" customHeight="1">
      <c r="A397" s="101"/>
      <c r="B397" s="101"/>
      <c r="C397" s="101"/>
      <c r="D397" s="101"/>
      <c r="E397" s="101"/>
      <c r="F397" s="101"/>
      <c r="G397" s="101"/>
      <c r="H397" s="101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3"/>
    </row>
    <row r="398" ht="15.75" customHeight="1">
      <c r="A398" s="101"/>
      <c r="B398" s="101"/>
      <c r="C398" s="101"/>
      <c r="D398" s="101"/>
      <c r="E398" s="101"/>
      <c r="F398" s="101"/>
      <c r="G398" s="101"/>
      <c r="H398" s="101"/>
      <c r="I398" s="93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3"/>
    </row>
    <row r="399" ht="15.75" customHeight="1">
      <c r="A399" s="101"/>
      <c r="B399" s="101"/>
      <c r="C399" s="101"/>
      <c r="D399" s="101"/>
      <c r="E399" s="101"/>
      <c r="F399" s="101"/>
      <c r="G399" s="101"/>
      <c r="H399" s="101"/>
      <c r="I399" s="93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3"/>
    </row>
    <row r="400" ht="15.75" customHeight="1">
      <c r="A400" s="101"/>
      <c r="B400" s="101"/>
      <c r="C400" s="101"/>
      <c r="D400" s="101"/>
      <c r="E400" s="101"/>
      <c r="F400" s="101"/>
      <c r="G400" s="101"/>
      <c r="H400" s="101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</row>
    <row r="401" ht="15.75" customHeight="1">
      <c r="A401" s="101"/>
      <c r="B401" s="101"/>
      <c r="C401" s="101"/>
      <c r="D401" s="101"/>
      <c r="E401" s="101"/>
      <c r="F401" s="101"/>
      <c r="G401" s="101"/>
      <c r="H401" s="101"/>
      <c r="I401" s="93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3"/>
    </row>
    <row r="402" ht="15.75" customHeight="1">
      <c r="A402" s="101"/>
      <c r="B402" s="101"/>
      <c r="C402" s="101"/>
      <c r="D402" s="101"/>
      <c r="E402" s="101"/>
      <c r="F402" s="101"/>
      <c r="G402" s="101"/>
      <c r="H402" s="101"/>
      <c r="I402" s="93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3"/>
    </row>
    <row r="403" ht="15.75" customHeight="1">
      <c r="A403" s="101"/>
      <c r="B403" s="101"/>
      <c r="C403" s="101"/>
      <c r="D403" s="101"/>
      <c r="E403" s="101"/>
      <c r="F403" s="101"/>
      <c r="G403" s="101"/>
      <c r="H403" s="101"/>
      <c r="I403" s="93"/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3"/>
    </row>
    <row r="404" ht="15.75" customHeight="1">
      <c r="A404" s="101"/>
      <c r="B404" s="101"/>
      <c r="C404" s="101"/>
      <c r="D404" s="101"/>
      <c r="E404" s="101"/>
      <c r="F404" s="101"/>
      <c r="G404" s="101"/>
      <c r="H404" s="101"/>
      <c r="I404" s="93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3"/>
    </row>
    <row r="405" ht="15.75" customHeight="1">
      <c r="A405" s="101"/>
      <c r="B405" s="101"/>
      <c r="C405" s="101"/>
      <c r="D405" s="101"/>
      <c r="E405" s="101"/>
      <c r="F405" s="101"/>
      <c r="G405" s="101"/>
      <c r="H405" s="101"/>
      <c r="I405" s="93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3"/>
    </row>
    <row r="406" ht="15.75" customHeight="1">
      <c r="A406" s="101"/>
      <c r="B406" s="101"/>
      <c r="C406" s="101"/>
      <c r="D406" s="101"/>
      <c r="E406" s="101"/>
      <c r="F406" s="101"/>
      <c r="G406" s="101"/>
      <c r="H406" s="101"/>
      <c r="I406" s="93"/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3"/>
    </row>
    <row r="407" ht="15.75" customHeight="1">
      <c r="A407" s="101"/>
      <c r="B407" s="101"/>
      <c r="C407" s="101"/>
      <c r="D407" s="101"/>
      <c r="E407" s="101"/>
      <c r="F407" s="101"/>
      <c r="G407" s="101"/>
      <c r="H407" s="101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3"/>
    </row>
    <row r="408" ht="15.75" customHeight="1">
      <c r="A408" s="101"/>
      <c r="B408" s="101"/>
      <c r="C408" s="101"/>
      <c r="D408" s="101"/>
      <c r="E408" s="101"/>
      <c r="F408" s="101"/>
      <c r="G408" s="101"/>
      <c r="H408" s="101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3"/>
    </row>
    <row r="409" ht="15.75" customHeight="1">
      <c r="A409" s="101"/>
      <c r="B409" s="101"/>
      <c r="C409" s="101"/>
      <c r="D409" s="101"/>
      <c r="E409" s="101"/>
      <c r="F409" s="101"/>
      <c r="G409" s="101"/>
      <c r="H409" s="101"/>
      <c r="I409" s="93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3"/>
    </row>
    <row r="410" ht="15.75" customHeight="1">
      <c r="A410" s="101"/>
      <c r="B410" s="101"/>
      <c r="C410" s="101"/>
      <c r="D410" s="101"/>
      <c r="E410" s="101"/>
      <c r="F410" s="101"/>
      <c r="G410" s="101"/>
      <c r="H410" s="101"/>
      <c r="I410" s="93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3"/>
    </row>
    <row r="411" ht="15.75" customHeight="1">
      <c r="A411" s="101"/>
      <c r="B411" s="101"/>
      <c r="C411" s="101"/>
      <c r="D411" s="101"/>
      <c r="E411" s="101"/>
      <c r="F411" s="101"/>
      <c r="G411" s="101"/>
      <c r="H411" s="101"/>
      <c r="I411" s="93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3"/>
    </row>
    <row r="412" ht="15.75" customHeight="1">
      <c r="A412" s="101"/>
      <c r="B412" s="101"/>
      <c r="C412" s="101"/>
      <c r="D412" s="101"/>
      <c r="E412" s="101"/>
      <c r="F412" s="101"/>
      <c r="G412" s="101"/>
      <c r="H412" s="101"/>
      <c r="I412" s="93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3"/>
    </row>
    <row r="413" ht="15.75" customHeight="1">
      <c r="A413" s="101"/>
      <c r="B413" s="101"/>
      <c r="C413" s="101"/>
      <c r="D413" s="101"/>
      <c r="E413" s="101"/>
      <c r="F413" s="101"/>
      <c r="G413" s="101"/>
      <c r="H413" s="101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3"/>
    </row>
    <row r="414" ht="15.75" customHeight="1">
      <c r="A414" s="101"/>
      <c r="B414" s="101"/>
      <c r="C414" s="101"/>
      <c r="D414" s="101"/>
      <c r="E414" s="101"/>
      <c r="F414" s="101"/>
      <c r="G414" s="101"/>
      <c r="H414" s="101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3"/>
    </row>
    <row r="415" ht="15.75" customHeight="1">
      <c r="A415" s="101"/>
      <c r="B415" s="101"/>
      <c r="C415" s="101"/>
      <c r="D415" s="101"/>
      <c r="E415" s="101"/>
      <c r="F415" s="101"/>
      <c r="G415" s="101"/>
      <c r="H415" s="101"/>
      <c r="I415" s="93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3"/>
    </row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H1"/>
    <mergeCell ref="A3:H3"/>
    <mergeCell ref="I14:I22"/>
    <mergeCell ref="I24:I32"/>
    <mergeCell ref="I34:I42"/>
    <mergeCell ref="I44:I52"/>
    <mergeCell ref="I54:I62"/>
    <mergeCell ref="I64:I7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8.63"/>
    <col customWidth="1" min="3" max="3" width="7.88"/>
    <col customWidth="1" min="4" max="4" width="36.63"/>
    <col customWidth="1" min="5" max="5" width="37.38"/>
    <col customWidth="1" min="6" max="6" width="15.75"/>
    <col customWidth="1" min="7" max="7" width="15.0"/>
    <col customWidth="1" min="8" max="8" width="9.38"/>
  </cols>
  <sheetData>
    <row r="1" ht="15.75" customHeight="1">
      <c r="A1" s="107">
        <v>2024.0</v>
      </c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</row>
    <row r="2" ht="15.75" customHeight="1">
      <c r="A2" s="109" t="s">
        <v>506</v>
      </c>
      <c r="B2" s="109" t="s">
        <v>2</v>
      </c>
      <c r="C2" s="109" t="s">
        <v>6</v>
      </c>
      <c r="D2" s="109" t="s">
        <v>7</v>
      </c>
      <c r="E2" s="109" t="s">
        <v>8</v>
      </c>
      <c r="F2" s="110" t="s">
        <v>9</v>
      </c>
      <c r="G2" s="110" t="s">
        <v>10</v>
      </c>
      <c r="H2" s="110" t="s">
        <v>11</v>
      </c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ht="15.75" customHeight="1">
      <c r="A3" s="111" t="s">
        <v>45</v>
      </c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 ht="15.75" customHeight="1">
      <c r="A4" s="1" t="s">
        <v>509</v>
      </c>
      <c r="B4" s="12">
        <v>45313.0</v>
      </c>
      <c r="C4" s="12">
        <v>45327.0</v>
      </c>
      <c r="D4" s="1" t="s">
        <v>510</v>
      </c>
      <c r="E4" s="33" t="s">
        <v>24</v>
      </c>
      <c r="F4" s="14">
        <v>29.99</v>
      </c>
      <c r="G4" s="14" t="s">
        <v>130</v>
      </c>
      <c r="H4" s="73">
        <v>0.5</v>
      </c>
      <c r="I4" s="94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</row>
    <row r="5" ht="15.75" customHeight="1">
      <c r="A5" s="1" t="s">
        <v>509</v>
      </c>
      <c r="B5" s="12">
        <v>45313.0</v>
      </c>
      <c r="C5" s="12">
        <v>45327.0</v>
      </c>
      <c r="D5" s="1" t="s">
        <v>510</v>
      </c>
      <c r="E5" s="33" t="s">
        <v>76</v>
      </c>
      <c r="F5" s="14">
        <v>39.99</v>
      </c>
      <c r="G5" s="14">
        <f t="shared" ref="G5:G15" si="1">F5*(1-H5)</f>
        <v>21.9945</v>
      </c>
      <c r="H5" s="73">
        <v>0.45</v>
      </c>
      <c r="I5" s="94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</row>
    <row r="6" ht="15.75" customHeight="1">
      <c r="A6" s="1" t="s">
        <v>509</v>
      </c>
      <c r="B6" s="12">
        <v>45313.0</v>
      </c>
      <c r="C6" s="12">
        <v>45327.0</v>
      </c>
      <c r="D6" s="1" t="s">
        <v>510</v>
      </c>
      <c r="E6" s="33" t="s">
        <v>77</v>
      </c>
      <c r="F6" s="14">
        <v>74.99</v>
      </c>
      <c r="G6" s="14">
        <f t="shared" si="1"/>
        <v>44.994</v>
      </c>
      <c r="H6" s="73">
        <v>0.4</v>
      </c>
      <c r="I6" s="94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</row>
    <row r="7" ht="15.75" customHeight="1">
      <c r="A7" s="1" t="s">
        <v>509</v>
      </c>
      <c r="B7" s="12">
        <v>45313.0</v>
      </c>
      <c r="C7" s="12">
        <v>45327.0</v>
      </c>
      <c r="D7" s="1" t="s">
        <v>510</v>
      </c>
      <c r="E7" s="33" t="s">
        <v>79</v>
      </c>
      <c r="F7" s="14">
        <v>91.31</v>
      </c>
      <c r="G7" s="14">
        <f t="shared" si="1"/>
        <v>54.786</v>
      </c>
      <c r="H7" s="73">
        <v>0.4</v>
      </c>
      <c r="I7" s="94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</row>
    <row r="8" ht="15.75" customHeight="1">
      <c r="A8" s="1" t="s">
        <v>509</v>
      </c>
      <c r="B8" s="12">
        <v>45313.0</v>
      </c>
      <c r="C8" s="12">
        <v>45327.0</v>
      </c>
      <c r="D8" s="1" t="s">
        <v>510</v>
      </c>
      <c r="E8" s="33" t="s">
        <v>545</v>
      </c>
      <c r="F8" s="14">
        <v>6.99</v>
      </c>
      <c r="G8" s="14">
        <f t="shared" si="1"/>
        <v>4.5435</v>
      </c>
      <c r="H8" s="73">
        <v>0.35</v>
      </c>
      <c r="I8" s="94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 ht="15.75" customHeight="1">
      <c r="A9" s="1" t="s">
        <v>509</v>
      </c>
      <c r="B9" s="12">
        <v>45313.0</v>
      </c>
      <c r="C9" s="12">
        <v>45327.0</v>
      </c>
      <c r="D9" s="1" t="s">
        <v>510</v>
      </c>
      <c r="E9" s="41" t="s">
        <v>547</v>
      </c>
      <c r="F9" s="14">
        <v>6.99</v>
      </c>
      <c r="G9" s="14">
        <f t="shared" si="1"/>
        <v>4.893</v>
      </c>
      <c r="H9" s="73">
        <v>0.3</v>
      </c>
      <c r="I9" s="94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</row>
    <row r="10" ht="15.75" customHeight="1">
      <c r="A10" s="1" t="s">
        <v>509</v>
      </c>
      <c r="B10" s="12">
        <v>45313.0</v>
      </c>
      <c r="C10" s="12">
        <v>45327.0</v>
      </c>
      <c r="D10" s="1" t="s">
        <v>510</v>
      </c>
      <c r="E10" s="41" t="s">
        <v>548</v>
      </c>
      <c r="F10" s="14">
        <v>6.99</v>
      </c>
      <c r="G10" s="14">
        <f t="shared" si="1"/>
        <v>5.2425</v>
      </c>
      <c r="H10" s="73">
        <v>0.25</v>
      </c>
      <c r="I10" s="94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</row>
    <row r="11" ht="15.75" customHeight="1">
      <c r="A11" s="1" t="s">
        <v>509</v>
      </c>
      <c r="B11" s="12">
        <v>45313.0</v>
      </c>
      <c r="C11" s="12">
        <v>45327.0</v>
      </c>
      <c r="D11" s="1" t="s">
        <v>510</v>
      </c>
      <c r="E11" s="41" t="s">
        <v>550</v>
      </c>
      <c r="F11" s="14">
        <v>6.99</v>
      </c>
      <c r="G11" s="14">
        <f t="shared" si="1"/>
        <v>5.592</v>
      </c>
      <c r="H11" s="73">
        <v>0.2</v>
      </c>
      <c r="I11" s="94"/>
      <c r="J11" s="108"/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</row>
    <row r="12" ht="15.75" customHeight="1">
      <c r="A12" s="1" t="s">
        <v>509</v>
      </c>
      <c r="B12" s="12">
        <v>45313.0</v>
      </c>
      <c r="C12" s="12">
        <v>45327.0</v>
      </c>
      <c r="D12" s="1" t="s">
        <v>510</v>
      </c>
      <c r="E12" s="41" t="s">
        <v>97</v>
      </c>
      <c r="F12" s="14">
        <v>3.99</v>
      </c>
      <c r="G12" s="14">
        <f t="shared" si="1"/>
        <v>3.192</v>
      </c>
      <c r="H12" s="73">
        <v>0.2</v>
      </c>
      <c r="I12" s="94"/>
      <c r="J12" s="108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</row>
    <row r="13" ht="15.75" customHeight="1">
      <c r="A13" s="1" t="s">
        <v>509</v>
      </c>
      <c r="B13" s="12">
        <v>45313.0</v>
      </c>
      <c r="C13" s="12">
        <v>45327.0</v>
      </c>
      <c r="D13" s="1" t="s">
        <v>510</v>
      </c>
      <c r="E13" s="41" t="s">
        <v>99</v>
      </c>
      <c r="F13" s="15">
        <v>24.99</v>
      </c>
      <c r="G13" s="15">
        <f t="shared" si="1"/>
        <v>17.493</v>
      </c>
      <c r="H13" s="73">
        <v>0.3</v>
      </c>
      <c r="I13" s="94"/>
      <c r="J13" s="108"/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</row>
    <row r="14" ht="15.75" customHeight="1">
      <c r="A14" s="1" t="s">
        <v>509</v>
      </c>
      <c r="B14" s="12">
        <v>45313.0</v>
      </c>
      <c r="C14" s="12">
        <v>45327.0</v>
      </c>
      <c r="D14" s="1" t="s">
        <v>510</v>
      </c>
      <c r="E14" s="41" t="s">
        <v>100</v>
      </c>
      <c r="F14" s="15">
        <v>24.99</v>
      </c>
      <c r="G14" s="15">
        <f t="shared" si="1"/>
        <v>17.493</v>
      </c>
      <c r="H14" s="73">
        <v>0.3</v>
      </c>
      <c r="I14" s="94"/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</row>
    <row r="15" ht="15.75" customHeight="1">
      <c r="A15" s="1" t="s">
        <v>509</v>
      </c>
      <c r="B15" s="12">
        <v>45313.0</v>
      </c>
      <c r="C15" s="12">
        <v>45327.0</v>
      </c>
      <c r="D15" s="1" t="s">
        <v>510</v>
      </c>
      <c r="E15" s="41" t="s">
        <v>102</v>
      </c>
      <c r="F15" s="41">
        <v>24.99</v>
      </c>
      <c r="G15" s="15">
        <f t="shared" si="1"/>
        <v>19.992</v>
      </c>
      <c r="H15" s="31">
        <v>0.2</v>
      </c>
      <c r="I15" s="94"/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</row>
    <row r="16" ht="15.75" customHeight="1">
      <c r="A16" s="26"/>
      <c r="B16" s="26"/>
      <c r="C16" s="26"/>
      <c r="D16" s="26"/>
      <c r="E16" s="94"/>
      <c r="F16" s="94"/>
      <c r="G16" s="94"/>
      <c r="H16" s="94"/>
      <c r="I16" s="94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</row>
    <row r="17" ht="15.75" customHeight="1">
      <c r="A17" s="1" t="s">
        <v>509</v>
      </c>
      <c r="B17" s="12">
        <v>45356.0</v>
      </c>
      <c r="C17" s="12">
        <v>45360.0</v>
      </c>
      <c r="D17" s="1" t="s">
        <v>551</v>
      </c>
      <c r="E17" s="33" t="s">
        <v>24</v>
      </c>
      <c r="F17" s="14">
        <v>29.99</v>
      </c>
      <c r="G17" s="14" t="s">
        <v>130</v>
      </c>
      <c r="H17" s="73">
        <v>0.5</v>
      </c>
      <c r="I17" s="96" t="s">
        <v>552</v>
      </c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</row>
    <row r="18" ht="15.75" customHeight="1">
      <c r="A18" s="1" t="s">
        <v>509</v>
      </c>
      <c r="B18" s="12">
        <v>45356.0</v>
      </c>
      <c r="C18" s="12">
        <v>45360.0</v>
      </c>
      <c r="D18" s="1" t="s">
        <v>551</v>
      </c>
      <c r="E18" s="33" t="s">
        <v>76</v>
      </c>
      <c r="F18" s="14">
        <v>39.99</v>
      </c>
      <c r="G18" s="14">
        <f t="shared" ref="G18:G30" si="2">F18*(1-H18)</f>
        <v>21.9945</v>
      </c>
      <c r="H18" s="73">
        <v>0.45</v>
      </c>
      <c r="I18" s="97"/>
      <c r="J18" s="108"/>
      <c r="K18" s="108"/>
      <c r="L18" s="108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</row>
    <row r="19" ht="15.75" customHeight="1">
      <c r="A19" s="1" t="s">
        <v>509</v>
      </c>
      <c r="B19" s="12">
        <v>45356.0</v>
      </c>
      <c r="C19" s="12">
        <v>45360.0</v>
      </c>
      <c r="D19" s="1" t="s">
        <v>551</v>
      </c>
      <c r="E19" s="33" t="s">
        <v>77</v>
      </c>
      <c r="F19" s="122">
        <v>64.99</v>
      </c>
      <c r="G19" s="14">
        <f t="shared" si="2"/>
        <v>44.8431</v>
      </c>
      <c r="H19" s="73">
        <v>0.31</v>
      </c>
      <c r="I19" s="97"/>
      <c r="J19" s="108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</row>
    <row r="20" ht="15.75" customHeight="1">
      <c r="A20" s="1" t="s">
        <v>509</v>
      </c>
      <c r="B20" s="12">
        <v>45356.0</v>
      </c>
      <c r="C20" s="12">
        <v>45360.0</v>
      </c>
      <c r="D20" s="1" t="s">
        <v>551</v>
      </c>
      <c r="E20" s="33" t="s">
        <v>79</v>
      </c>
      <c r="F20" s="122">
        <v>84.99</v>
      </c>
      <c r="G20" s="14">
        <f t="shared" si="2"/>
        <v>54.3936</v>
      </c>
      <c r="H20" s="73">
        <v>0.36</v>
      </c>
      <c r="I20" s="97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</row>
    <row r="21" ht="15.75" customHeight="1">
      <c r="A21" s="1" t="s">
        <v>509</v>
      </c>
      <c r="B21" s="12">
        <v>45357.0</v>
      </c>
      <c r="C21" s="12">
        <v>45361.0</v>
      </c>
      <c r="D21" s="1" t="s">
        <v>551</v>
      </c>
      <c r="E21" s="49" t="s">
        <v>80</v>
      </c>
      <c r="F21" s="122">
        <v>104.99</v>
      </c>
      <c r="G21" s="14">
        <f t="shared" si="2"/>
        <v>104.99</v>
      </c>
      <c r="H21" s="73">
        <v>0.0</v>
      </c>
      <c r="I21" s="97"/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</row>
    <row r="22" ht="15.75" customHeight="1">
      <c r="A22" s="1" t="s">
        <v>509</v>
      </c>
      <c r="B22" s="12">
        <v>45358.0</v>
      </c>
      <c r="C22" s="12">
        <v>45362.0</v>
      </c>
      <c r="D22" s="1" t="s">
        <v>551</v>
      </c>
      <c r="E22" s="33" t="s">
        <v>545</v>
      </c>
      <c r="F22" s="14">
        <v>6.99</v>
      </c>
      <c r="G22" s="14">
        <f t="shared" si="2"/>
        <v>4.5435</v>
      </c>
      <c r="H22" s="73">
        <v>0.35</v>
      </c>
      <c r="I22" s="97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</row>
    <row r="23" ht="15.75" customHeight="1">
      <c r="A23" s="1" t="s">
        <v>509</v>
      </c>
      <c r="B23" s="12">
        <v>45359.0</v>
      </c>
      <c r="C23" s="12">
        <v>45363.0</v>
      </c>
      <c r="D23" s="1" t="s">
        <v>551</v>
      </c>
      <c r="E23" s="41" t="s">
        <v>547</v>
      </c>
      <c r="F23" s="14">
        <v>6.99</v>
      </c>
      <c r="G23" s="14">
        <f t="shared" si="2"/>
        <v>4.893</v>
      </c>
      <c r="H23" s="73">
        <v>0.3</v>
      </c>
      <c r="I23" s="97"/>
      <c r="J23" s="108"/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</row>
    <row r="24" ht="15.75" customHeight="1">
      <c r="A24" s="1" t="s">
        <v>509</v>
      </c>
      <c r="B24" s="12">
        <v>45360.0</v>
      </c>
      <c r="C24" s="12">
        <v>45364.0</v>
      </c>
      <c r="D24" s="1" t="s">
        <v>551</v>
      </c>
      <c r="E24" s="41" t="s">
        <v>548</v>
      </c>
      <c r="F24" s="14">
        <v>6.99</v>
      </c>
      <c r="G24" s="14">
        <f t="shared" si="2"/>
        <v>5.2425</v>
      </c>
      <c r="H24" s="73">
        <v>0.25</v>
      </c>
      <c r="I24" s="97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</row>
    <row r="25" ht="15.75" customHeight="1">
      <c r="A25" s="1" t="s">
        <v>509</v>
      </c>
      <c r="B25" s="12">
        <v>45361.0</v>
      </c>
      <c r="C25" s="12">
        <v>45365.0</v>
      </c>
      <c r="D25" s="1" t="s">
        <v>551</v>
      </c>
      <c r="E25" s="41" t="s">
        <v>550</v>
      </c>
      <c r="F25" s="14">
        <v>6.99</v>
      </c>
      <c r="G25" s="14">
        <f t="shared" si="2"/>
        <v>5.592</v>
      </c>
      <c r="H25" s="73">
        <v>0.2</v>
      </c>
      <c r="I25" s="97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</row>
    <row r="26" ht="15.75" customHeight="1">
      <c r="A26" s="1" t="s">
        <v>509</v>
      </c>
      <c r="B26" s="12">
        <v>45362.0</v>
      </c>
      <c r="C26" s="12">
        <v>45366.0</v>
      </c>
      <c r="D26" s="1" t="s">
        <v>551</v>
      </c>
      <c r="E26" s="41" t="s">
        <v>97</v>
      </c>
      <c r="F26" s="14">
        <v>3.99</v>
      </c>
      <c r="G26" s="14">
        <f t="shared" si="2"/>
        <v>3.192</v>
      </c>
      <c r="H26" s="73">
        <v>0.2</v>
      </c>
      <c r="I26" s="97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</row>
    <row r="27" ht="15.75" customHeight="1">
      <c r="A27" s="1" t="s">
        <v>509</v>
      </c>
      <c r="B27" s="12">
        <v>45363.0</v>
      </c>
      <c r="C27" s="12">
        <v>45367.0</v>
      </c>
      <c r="D27" s="1" t="s">
        <v>551</v>
      </c>
      <c r="E27" s="41" t="s">
        <v>99</v>
      </c>
      <c r="F27" s="15">
        <v>24.99</v>
      </c>
      <c r="G27" s="15">
        <f t="shared" si="2"/>
        <v>17.493</v>
      </c>
      <c r="H27" s="73">
        <v>0.3</v>
      </c>
      <c r="I27" s="97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</row>
    <row r="28" ht="15.75" customHeight="1">
      <c r="A28" s="1" t="s">
        <v>509</v>
      </c>
      <c r="B28" s="12">
        <v>45364.0</v>
      </c>
      <c r="C28" s="12">
        <v>45368.0</v>
      </c>
      <c r="D28" s="1" t="s">
        <v>551</v>
      </c>
      <c r="E28" s="41" t="s">
        <v>100</v>
      </c>
      <c r="F28" s="15">
        <v>24.99</v>
      </c>
      <c r="G28" s="15">
        <f t="shared" si="2"/>
        <v>17.493</v>
      </c>
      <c r="H28" s="73">
        <v>0.3</v>
      </c>
      <c r="I28" s="97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</row>
    <row r="29" ht="15.75" customHeight="1">
      <c r="A29" s="1" t="s">
        <v>509</v>
      </c>
      <c r="B29" s="12">
        <v>45365.0</v>
      </c>
      <c r="C29" s="12">
        <v>45369.0</v>
      </c>
      <c r="D29" s="1" t="s">
        <v>551</v>
      </c>
      <c r="E29" s="41" t="s">
        <v>102</v>
      </c>
      <c r="F29" s="15">
        <v>24.99</v>
      </c>
      <c r="G29" s="15">
        <f t="shared" si="2"/>
        <v>19.992</v>
      </c>
      <c r="H29" s="31">
        <v>0.2</v>
      </c>
      <c r="I29" s="97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</row>
    <row r="30" ht="15.75" customHeight="1">
      <c r="A30" s="1" t="s">
        <v>509</v>
      </c>
      <c r="B30" s="12">
        <v>45366.0</v>
      </c>
      <c r="C30" s="12">
        <v>45370.0</v>
      </c>
      <c r="D30" s="1" t="s">
        <v>551</v>
      </c>
      <c r="E30" s="49" t="s">
        <v>104</v>
      </c>
      <c r="F30" s="15">
        <v>24.99</v>
      </c>
      <c r="G30" s="15">
        <f t="shared" si="2"/>
        <v>24.99</v>
      </c>
      <c r="H30" s="31">
        <v>0.0</v>
      </c>
      <c r="I30" s="9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</row>
    <row r="31" ht="15.75" customHeight="1">
      <c r="A31" s="26"/>
      <c r="B31" s="26"/>
      <c r="C31" s="26"/>
      <c r="D31" s="26"/>
      <c r="E31" s="94"/>
      <c r="F31" s="94"/>
      <c r="G31" s="94"/>
      <c r="H31" s="94"/>
      <c r="I31" s="94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</row>
    <row r="32" ht="15.75" customHeight="1">
      <c r="A32" s="1" t="s">
        <v>509</v>
      </c>
      <c r="B32" s="12">
        <v>45365.0</v>
      </c>
      <c r="C32" s="12">
        <v>45372.0</v>
      </c>
      <c r="D32" s="1" t="s">
        <v>515</v>
      </c>
      <c r="E32" s="33" t="s">
        <v>24</v>
      </c>
      <c r="F32" s="14">
        <v>29.99</v>
      </c>
      <c r="G32" s="14" t="s">
        <v>130</v>
      </c>
      <c r="H32" s="73">
        <v>0.5</v>
      </c>
      <c r="I32" s="96"/>
      <c r="J32" s="108"/>
      <c r="K32" s="108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</row>
    <row r="33" ht="15.75" customHeight="1">
      <c r="A33" s="1" t="s">
        <v>509</v>
      </c>
      <c r="B33" s="12">
        <v>45365.0</v>
      </c>
      <c r="C33" s="12">
        <v>45372.0</v>
      </c>
      <c r="D33" s="1" t="s">
        <v>515</v>
      </c>
      <c r="E33" s="33" t="s">
        <v>76</v>
      </c>
      <c r="F33" s="14">
        <v>39.99</v>
      </c>
      <c r="G33" s="14">
        <f t="shared" ref="G33:G46" si="3">F33*(1-H33)</f>
        <v>21.9945</v>
      </c>
      <c r="H33" s="73">
        <v>0.45</v>
      </c>
      <c r="I33" s="97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</row>
    <row r="34" ht="15.75" customHeight="1">
      <c r="A34" s="1" t="s">
        <v>509</v>
      </c>
      <c r="B34" s="12">
        <v>45365.0</v>
      </c>
      <c r="C34" s="12">
        <v>45372.0</v>
      </c>
      <c r="D34" s="1" t="s">
        <v>515</v>
      </c>
      <c r="E34" s="33" t="s">
        <v>77</v>
      </c>
      <c r="F34" s="14">
        <v>64.77</v>
      </c>
      <c r="G34" s="14">
        <f t="shared" si="3"/>
        <v>38.862</v>
      </c>
      <c r="H34" s="73">
        <v>0.4</v>
      </c>
      <c r="I34" s="97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</row>
    <row r="35" ht="15.75" customHeight="1">
      <c r="A35" s="1" t="s">
        <v>509</v>
      </c>
      <c r="B35" s="12">
        <v>45365.0</v>
      </c>
      <c r="C35" s="12">
        <v>45372.0</v>
      </c>
      <c r="D35" s="1" t="s">
        <v>515</v>
      </c>
      <c r="E35" s="33" t="s">
        <v>79</v>
      </c>
      <c r="F35" s="14">
        <v>84.99</v>
      </c>
      <c r="G35" s="14">
        <f t="shared" si="3"/>
        <v>50.994</v>
      </c>
      <c r="H35" s="73">
        <v>0.4</v>
      </c>
      <c r="I35" s="97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</row>
    <row r="36" ht="15.75" customHeight="1">
      <c r="A36" s="1" t="s">
        <v>509</v>
      </c>
      <c r="B36" s="12">
        <v>45365.0</v>
      </c>
      <c r="C36" s="12">
        <v>45372.0</v>
      </c>
      <c r="D36" s="1" t="s">
        <v>515</v>
      </c>
      <c r="E36" s="41" t="s">
        <v>80</v>
      </c>
      <c r="F36" s="14">
        <v>104.99</v>
      </c>
      <c r="G36" s="14">
        <f t="shared" si="3"/>
        <v>104.99</v>
      </c>
      <c r="H36" s="73">
        <v>0.0</v>
      </c>
      <c r="I36" s="97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</row>
    <row r="37" ht="15.75" customHeight="1">
      <c r="A37" s="1" t="s">
        <v>509</v>
      </c>
      <c r="B37" s="12">
        <v>45365.0</v>
      </c>
      <c r="C37" s="12">
        <v>45372.0</v>
      </c>
      <c r="D37" s="1" t="s">
        <v>515</v>
      </c>
      <c r="E37" s="33" t="s">
        <v>545</v>
      </c>
      <c r="F37" s="14">
        <v>6.99</v>
      </c>
      <c r="G37" s="14">
        <f t="shared" si="3"/>
        <v>4.5435</v>
      </c>
      <c r="H37" s="73">
        <v>0.35</v>
      </c>
      <c r="I37" s="97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</row>
    <row r="38" ht="15.75" customHeight="1">
      <c r="A38" s="1" t="s">
        <v>509</v>
      </c>
      <c r="B38" s="12">
        <v>45365.0</v>
      </c>
      <c r="C38" s="12">
        <v>45372.0</v>
      </c>
      <c r="D38" s="1" t="s">
        <v>515</v>
      </c>
      <c r="E38" s="41" t="s">
        <v>547</v>
      </c>
      <c r="F38" s="14">
        <v>6.99</v>
      </c>
      <c r="G38" s="14">
        <f t="shared" si="3"/>
        <v>4.5435</v>
      </c>
      <c r="H38" s="73">
        <v>0.35</v>
      </c>
      <c r="I38" s="97"/>
      <c r="J38" s="108"/>
      <c r="K38" s="108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</row>
    <row r="39" ht="15.75" customHeight="1">
      <c r="A39" s="1" t="s">
        <v>509</v>
      </c>
      <c r="B39" s="12">
        <v>45365.0</v>
      </c>
      <c r="C39" s="12">
        <v>45372.0</v>
      </c>
      <c r="D39" s="1" t="s">
        <v>515</v>
      </c>
      <c r="E39" s="41" t="s">
        <v>548</v>
      </c>
      <c r="F39" s="14">
        <v>6.99</v>
      </c>
      <c r="G39" s="14">
        <f t="shared" si="3"/>
        <v>4.893</v>
      </c>
      <c r="H39" s="73">
        <v>0.3</v>
      </c>
      <c r="I39" s="97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</row>
    <row r="40" ht="15.75" customHeight="1">
      <c r="A40" s="1" t="s">
        <v>509</v>
      </c>
      <c r="B40" s="12">
        <v>45365.0</v>
      </c>
      <c r="C40" s="12">
        <v>45372.0</v>
      </c>
      <c r="D40" s="1" t="s">
        <v>515</v>
      </c>
      <c r="E40" s="41" t="s">
        <v>550</v>
      </c>
      <c r="F40" s="14">
        <v>6.99</v>
      </c>
      <c r="G40" s="14">
        <f t="shared" si="3"/>
        <v>5.2425</v>
      </c>
      <c r="H40" s="73">
        <v>0.25</v>
      </c>
      <c r="I40" s="97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</row>
    <row r="41" ht="15.75" customHeight="1">
      <c r="A41" s="1" t="s">
        <v>509</v>
      </c>
      <c r="B41" s="12">
        <v>45365.0</v>
      </c>
      <c r="C41" s="12">
        <v>45372.0</v>
      </c>
      <c r="D41" s="1" t="s">
        <v>515</v>
      </c>
      <c r="E41" s="49" t="s">
        <v>83</v>
      </c>
      <c r="F41" s="14">
        <v>6.99</v>
      </c>
      <c r="G41" s="14">
        <f t="shared" si="3"/>
        <v>6.99</v>
      </c>
      <c r="H41" s="73">
        <v>0.0</v>
      </c>
      <c r="I41" s="97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</row>
    <row r="42" ht="15.75" customHeight="1">
      <c r="A42" s="1" t="s">
        <v>509</v>
      </c>
      <c r="B42" s="12">
        <v>45365.0</v>
      </c>
      <c r="C42" s="12">
        <v>45372.0</v>
      </c>
      <c r="D42" s="1" t="s">
        <v>515</v>
      </c>
      <c r="E42" s="41" t="s">
        <v>97</v>
      </c>
      <c r="F42" s="14">
        <v>3.99</v>
      </c>
      <c r="G42" s="14">
        <f t="shared" si="3"/>
        <v>3.192</v>
      </c>
      <c r="H42" s="73">
        <v>0.2</v>
      </c>
      <c r="I42" s="97"/>
      <c r="J42" s="108"/>
      <c r="K42" s="10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</row>
    <row r="43" ht="15.75" customHeight="1">
      <c r="A43" s="1" t="s">
        <v>509</v>
      </c>
      <c r="B43" s="12">
        <v>45365.0</v>
      </c>
      <c r="C43" s="12">
        <v>45372.0</v>
      </c>
      <c r="D43" s="1" t="s">
        <v>515</v>
      </c>
      <c r="E43" s="41" t="s">
        <v>99</v>
      </c>
      <c r="F43" s="15">
        <v>24.99</v>
      </c>
      <c r="G43" s="15">
        <f t="shared" si="3"/>
        <v>17.493</v>
      </c>
      <c r="H43" s="73">
        <v>0.3</v>
      </c>
      <c r="I43" s="97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</row>
    <row r="44" ht="15.75" customHeight="1">
      <c r="A44" s="1" t="s">
        <v>509</v>
      </c>
      <c r="B44" s="12">
        <v>45365.0</v>
      </c>
      <c r="C44" s="12">
        <v>45372.0</v>
      </c>
      <c r="D44" s="1" t="s">
        <v>515</v>
      </c>
      <c r="E44" s="41" t="s">
        <v>100</v>
      </c>
      <c r="F44" s="15">
        <v>24.99</v>
      </c>
      <c r="G44" s="15">
        <f t="shared" si="3"/>
        <v>17.493</v>
      </c>
      <c r="H44" s="73">
        <v>0.3</v>
      </c>
      <c r="I44" s="97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</row>
    <row r="45" ht="15.75" customHeight="1">
      <c r="A45" s="1" t="s">
        <v>509</v>
      </c>
      <c r="B45" s="12">
        <v>45365.0</v>
      </c>
      <c r="C45" s="12">
        <v>45372.0</v>
      </c>
      <c r="D45" s="1" t="s">
        <v>515</v>
      </c>
      <c r="E45" s="41" t="s">
        <v>102</v>
      </c>
      <c r="F45" s="15">
        <v>24.99</v>
      </c>
      <c r="G45" s="15">
        <f t="shared" si="3"/>
        <v>19.992</v>
      </c>
      <c r="H45" s="31">
        <v>0.2</v>
      </c>
      <c r="I45" s="97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</row>
    <row r="46" ht="15.75" customHeight="1">
      <c r="A46" s="1" t="s">
        <v>509</v>
      </c>
      <c r="B46" s="12">
        <v>45365.0</v>
      </c>
      <c r="C46" s="12">
        <v>45372.0</v>
      </c>
      <c r="D46" s="1" t="s">
        <v>515</v>
      </c>
      <c r="E46" s="41" t="s">
        <v>104</v>
      </c>
      <c r="F46" s="15">
        <v>24.99</v>
      </c>
      <c r="G46" s="15">
        <f t="shared" si="3"/>
        <v>24.99</v>
      </c>
      <c r="H46" s="31">
        <v>0.0</v>
      </c>
      <c r="I46" s="98"/>
      <c r="J46" s="108"/>
      <c r="K46" s="10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</row>
    <row r="47" ht="15.75" customHeight="1">
      <c r="A47" s="94"/>
      <c r="B47" s="94"/>
      <c r="C47" s="94"/>
      <c r="D47" s="94"/>
      <c r="E47" s="94"/>
      <c r="F47" s="94"/>
      <c r="G47" s="94"/>
      <c r="H47" s="94"/>
      <c r="I47" s="94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</row>
    <row r="48" ht="15.75" customHeight="1">
      <c r="A48" s="1" t="s">
        <v>509</v>
      </c>
      <c r="B48" s="12">
        <v>45390.0</v>
      </c>
      <c r="C48" s="12">
        <v>45404.0</v>
      </c>
      <c r="D48" s="1" t="s">
        <v>565</v>
      </c>
      <c r="E48" s="33" t="s">
        <v>24</v>
      </c>
      <c r="F48" s="14">
        <v>29.99</v>
      </c>
      <c r="G48" s="14" t="s">
        <v>130</v>
      </c>
      <c r="H48" s="73">
        <v>0.5</v>
      </c>
      <c r="I48" s="96" t="s">
        <v>566</v>
      </c>
      <c r="J48" s="108"/>
      <c r="K48" s="10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</row>
    <row r="49" ht="15.75" customHeight="1">
      <c r="A49" s="1" t="s">
        <v>509</v>
      </c>
      <c r="B49" s="12">
        <v>45390.0</v>
      </c>
      <c r="C49" s="12">
        <v>45404.0</v>
      </c>
      <c r="D49" s="1" t="s">
        <v>565</v>
      </c>
      <c r="E49" s="33" t="s">
        <v>76</v>
      </c>
      <c r="F49" s="14">
        <v>39.99</v>
      </c>
      <c r="G49" s="122">
        <f t="shared" ref="G49:G60" si="4">F49*(1-H49)</f>
        <v>19.995</v>
      </c>
      <c r="H49" s="23">
        <v>0.5</v>
      </c>
      <c r="I49" s="97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</row>
    <row r="50" ht="15.75" customHeight="1">
      <c r="A50" s="1" t="s">
        <v>509</v>
      </c>
      <c r="B50" s="12">
        <v>45390.0</v>
      </c>
      <c r="C50" s="12">
        <v>45404.0</v>
      </c>
      <c r="D50" s="1" t="s">
        <v>565</v>
      </c>
      <c r="E50" s="33" t="s">
        <v>77</v>
      </c>
      <c r="F50" s="14">
        <v>64.77</v>
      </c>
      <c r="G50" s="122">
        <f t="shared" si="4"/>
        <v>34.9758</v>
      </c>
      <c r="H50" s="23">
        <v>0.46</v>
      </c>
      <c r="I50" s="97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</row>
    <row r="51" ht="15.75" customHeight="1">
      <c r="A51" s="1" t="s">
        <v>509</v>
      </c>
      <c r="B51" s="12">
        <v>45390.0</v>
      </c>
      <c r="C51" s="12">
        <v>45404.0</v>
      </c>
      <c r="D51" s="1" t="s">
        <v>565</v>
      </c>
      <c r="E51" s="33" t="s">
        <v>79</v>
      </c>
      <c r="F51" s="14">
        <v>84.99</v>
      </c>
      <c r="G51" s="122">
        <f t="shared" si="4"/>
        <v>50.994</v>
      </c>
      <c r="H51" s="23">
        <v>0.4</v>
      </c>
      <c r="I51" s="97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</row>
    <row r="52" ht="15.75" customHeight="1">
      <c r="A52" s="1" t="s">
        <v>509</v>
      </c>
      <c r="B52" s="12">
        <v>45390.0</v>
      </c>
      <c r="C52" s="12">
        <v>45404.0</v>
      </c>
      <c r="D52" s="1" t="s">
        <v>565</v>
      </c>
      <c r="E52" s="41" t="s">
        <v>80</v>
      </c>
      <c r="F52" s="14">
        <v>104.99</v>
      </c>
      <c r="G52" s="122">
        <f t="shared" si="4"/>
        <v>83.992</v>
      </c>
      <c r="H52" s="23">
        <v>0.2</v>
      </c>
      <c r="I52" s="97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</row>
    <row r="53" ht="15.75" customHeight="1">
      <c r="A53" s="1" t="s">
        <v>509</v>
      </c>
      <c r="B53" s="12">
        <v>45390.0</v>
      </c>
      <c r="C53" s="12">
        <v>45404.0</v>
      </c>
      <c r="D53" s="1" t="s">
        <v>565</v>
      </c>
      <c r="E53" s="33" t="s">
        <v>569</v>
      </c>
      <c r="F53" s="14">
        <v>6.99</v>
      </c>
      <c r="G53" s="14">
        <f t="shared" si="4"/>
        <v>4.5435</v>
      </c>
      <c r="H53" s="73">
        <v>0.35</v>
      </c>
      <c r="I53" s="97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</row>
    <row r="54" ht="15.75" customHeight="1">
      <c r="A54" s="1" t="s">
        <v>509</v>
      </c>
      <c r="B54" s="12">
        <v>45390.0</v>
      </c>
      <c r="C54" s="12">
        <v>45404.0</v>
      </c>
      <c r="D54" s="1" t="s">
        <v>565</v>
      </c>
      <c r="E54" s="41" t="s">
        <v>550</v>
      </c>
      <c r="F54" s="14">
        <v>6.99</v>
      </c>
      <c r="G54" s="14">
        <f t="shared" si="4"/>
        <v>5.2425</v>
      </c>
      <c r="H54" s="73">
        <v>0.25</v>
      </c>
      <c r="I54" s="97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</row>
    <row r="55" ht="15.75" customHeight="1">
      <c r="A55" s="1" t="s">
        <v>509</v>
      </c>
      <c r="B55" s="12">
        <v>45390.0</v>
      </c>
      <c r="C55" s="12">
        <v>45404.0</v>
      </c>
      <c r="D55" s="1" t="s">
        <v>565</v>
      </c>
      <c r="E55" s="41" t="s">
        <v>83</v>
      </c>
      <c r="F55" s="14">
        <v>6.99</v>
      </c>
      <c r="G55" s="122">
        <f t="shared" si="4"/>
        <v>5.592</v>
      </c>
      <c r="H55" s="23">
        <v>0.2</v>
      </c>
      <c r="I55" s="97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</row>
    <row r="56" ht="15.75" customHeight="1">
      <c r="A56" s="1" t="s">
        <v>509</v>
      </c>
      <c r="B56" s="12">
        <v>45390.0</v>
      </c>
      <c r="C56" s="12">
        <v>45404.0</v>
      </c>
      <c r="D56" s="1" t="s">
        <v>565</v>
      </c>
      <c r="E56" s="41" t="s">
        <v>97</v>
      </c>
      <c r="F56" s="14">
        <v>3.99</v>
      </c>
      <c r="G56" s="14">
        <f t="shared" si="4"/>
        <v>3.192</v>
      </c>
      <c r="H56" s="73">
        <v>0.2</v>
      </c>
      <c r="I56" s="97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</row>
    <row r="57" ht="15.75" customHeight="1">
      <c r="A57" s="1" t="s">
        <v>509</v>
      </c>
      <c r="B57" s="12">
        <v>45390.0</v>
      </c>
      <c r="C57" s="12">
        <v>45404.0</v>
      </c>
      <c r="D57" s="1" t="s">
        <v>565</v>
      </c>
      <c r="E57" s="41" t="s">
        <v>99</v>
      </c>
      <c r="F57" s="15">
        <v>24.99</v>
      </c>
      <c r="G57" s="15">
        <f t="shared" si="4"/>
        <v>17.493</v>
      </c>
      <c r="H57" s="73">
        <v>0.3</v>
      </c>
      <c r="I57" s="97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</row>
    <row r="58" ht="15.75" customHeight="1">
      <c r="A58" s="1" t="s">
        <v>509</v>
      </c>
      <c r="B58" s="12">
        <v>45390.0</v>
      </c>
      <c r="C58" s="12">
        <v>45404.0</v>
      </c>
      <c r="D58" s="1" t="s">
        <v>565</v>
      </c>
      <c r="E58" s="41" t="s">
        <v>100</v>
      </c>
      <c r="F58" s="15">
        <v>24.99</v>
      </c>
      <c r="G58" s="15">
        <f t="shared" si="4"/>
        <v>17.493</v>
      </c>
      <c r="H58" s="73">
        <v>0.3</v>
      </c>
      <c r="I58" s="97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</row>
    <row r="59" ht="15.75" customHeight="1">
      <c r="A59" s="1" t="s">
        <v>509</v>
      </c>
      <c r="B59" s="12">
        <v>45390.0</v>
      </c>
      <c r="C59" s="12">
        <v>45404.0</v>
      </c>
      <c r="D59" s="1" t="s">
        <v>565</v>
      </c>
      <c r="E59" s="41" t="s">
        <v>102</v>
      </c>
      <c r="F59" s="15">
        <v>24.99</v>
      </c>
      <c r="G59" s="122">
        <f t="shared" si="4"/>
        <v>18.7425</v>
      </c>
      <c r="H59" s="23">
        <v>0.25</v>
      </c>
      <c r="I59" s="97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</row>
    <row r="60" ht="15.75" customHeight="1">
      <c r="A60" s="1" t="s">
        <v>509</v>
      </c>
      <c r="B60" s="12">
        <v>45390.0</v>
      </c>
      <c r="C60" s="12">
        <v>45404.0</v>
      </c>
      <c r="D60" s="1" t="s">
        <v>565</v>
      </c>
      <c r="E60" s="41" t="s">
        <v>104</v>
      </c>
      <c r="F60" s="15">
        <v>24.99</v>
      </c>
      <c r="G60" s="15">
        <f t="shared" si="4"/>
        <v>24.99</v>
      </c>
      <c r="H60" s="16">
        <v>0.0</v>
      </c>
      <c r="I60" s="9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</row>
    <row r="61" ht="15.75" customHeight="1">
      <c r="A61" s="94"/>
      <c r="B61" s="94"/>
      <c r="C61" s="94"/>
      <c r="D61" s="94"/>
      <c r="E61" s="94"/>
      <c r="F61" s="94"/>
      <c r="G61" s="94"/>
      <c r="H61" s="94"/>
      <c r="I61" s="94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</row>
    <row r="62" ht="15.75" customHeight="1">
      <c r="A62" s="1" t="s">
        <v>509</v>
      </c>
      <c r="B62" s="12">
        <v>45434.0</v>
      </c>
      <c r="C62" s="12">
        <v>45447.0</v>
      </c>
      <c r="D62" s="1" t="s">
        <v>573</v>
      </c>
      <c r="E62" s="33" t="s">
        <v>24</v>
      </c>
      <c r="F62" s="14">
        <v>29.99</v>
      </c>
      <c r="G62" s="14" t="s">
        <v>130</v>
      </c>
      <c r="H62" s="16">
        <v>0.5</v>
      </c>
      <c r="I62" s="96" t="s">
        <v>574</v>
      </c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</row>
    <row r="63" ht="15.75" customHeight="1">
      <c r="A63" s="1" t="s">
        <v>509</v>
      </c>
      <c r="B63" s="12">
        <v>45434.0</v>
      </c>
      <c r="C63" s="12">
        <v>45447.0</v>
      </c>
      <c r="D63" s="1" t="s">
        <v>573</v>
      </c>
      <c r="E63" s="33" t="s">
        <v>76</v>
      </c>
      <c r="F63" s="14">
        <v>39.99</v>
      </c>
      <c r="G63" s="15">
        <f t="shared" ref="G63:G74" si="5">F63*(1-H63)</f>
        <v>19.995</v>
      </c>
      <c r="H63" s="16">
        <v>0.5</v>
      </c>
      <c r="I63" s="97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</row>
    <row r="64" ht="15.75" customHeight="1">
      <c r="A64" s="1" t="s">
        <v>509</v>
      </c>
      <c r="B64" s="12">
        <v>45434.0</v>
      </c>
      <c r="C64" s="12">
        <v>45447.0</v>
      </c>
      <c r="D64" s="1" t="s">
        <v>573</v>
      </c>
      <c r="E64" s="33" t="s">
        <v>77</v>
      </c>
      <c r="F64" s="14">
        <v>64.77</v>
      </c>
      <c r="G64" s="15">
        <f t="shared" si="5"/>
        <v>34.9758</v>
      </c>
      <c r="H64" s="16">
        <v>0.46</v>
      </c>
      <c r="I64" s="97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</row>
    <row r="65" ht="15.75" customHeight="1">
      <c r="A65" s="1" t="s">
        <v>509</v>
      </c>
      <c r="B65" s="12">
        <v>45434.0</v>
      </c>
      <c r="C65" s="12">
        <v>45447.0</v>
      </c>
      <c r="D65" s="1" t="s">
        <v>573</v>
      </c>
      <c r="E65" s="33" t="s">
        <v>79</v>
      </c>
      <c r="F65" s="14">
        <v>84.99</v>
      </c>
      <c r="G65" s="15">
        <f t="shared" si="5"/>
        <v>50.994</v>
      </c>
      <c r="H65" s="16">
        <v>0.4</v>
      </c>
      <c r="I65" s="97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</row>
    <row r="66" ht="15.75" customHeight="1">
      <c r="A66" s="1" t="s">
        <v>509</v>
      </c>
      <c r="B66" s="12">
        <v>45434.0</v>
      </c>
      <c r="C66" s="12">
        <v>45447.0</v>
      </c>
      <c r="D66" s="1" t="s">
        <v>573</v>
      </c>
      <c r="E66" s="41" t="s">
        <v>80</v>
      </c>
      <c r="F66" s="14">
        <v>104.99</v>
      </c>
      <c r="G66" s="15">
        <f t="shared" si="5"/>
        <v>83.992</v>
      </c>
      <c r="H66" s="16">
        <v>0.2</v>
      </c>
      <c r="I66" s="97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</row>
    <row r="67" ht="15.75" customHeight="1">
      <c r="A67" s="1" t="s">
        <v>509</v>
      </c>
      <c r="B67" s="12">
        <v>45434.0</v>
      </c>
      <c r="C67" s="12">
        <v>45447.0</v>
      </c>
      <c r="D67" s="1" t="s">
        <v>573</v>
      </c>
      <c r="E67" s="33" t="s">
        <v>569</v>
      </c>
      <c r="F67" s="14">
        <v>6.99</v>
      </c>
      <c r="G67" s="15">
        <f t="shared" si="5"/>
        <v>4.5435</v>
      </c>
      <c r="H67" s="16">
        <v>0.35</v>
      </c>
      <c r="I67" s="97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</row>
    <row r="68" ht="15.75" customHeight="1">
      <c r="A68" s="1" t="s">
        <v>509</v>
      </c>
      <c r="B68" s="12">
        <v>45434.0</v>
      </c>
      <c r="C68" s="12">
        <v>45447.0</v>
      </c>
      <c r="D68" s="1" t="s">
        <v>573</v>
      </c>
      <c r="E68" s="41" t="s">
        <v>550</v>
      </c>
      <c r="F68" s="14">
        <v>6.99</v>
      </c>
      <c r="G68" s="15">
        <f t="shared" si="5"/>
        <v>5.2425</v>
      </c>
      <c r="H68" s="16">
        <v>0.25</v>
      </c>
      <c r="I68" s="97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</row>
    <row r="69" ht="15.75" customHeight="1">
      <c r="A69" s="1" t="s">
        <v>509</v>
      </c>
      <c r="B69" s="12">
        <v>45434.0</v>
      </c>
      <c r="C69" s="12">
        <v>45447.0</v>
      </c>
      <c r="D69" s="1" t="s">
        <v>573</v>
      </c>
      <c r="E69" s="41" t="s">
        <v>83</v>
      </c>
      <c r="F69" s="14">
        <v>6.99</v>
      </c>
      <c r="G69" s="15">
        <f t="shared" si="5"/>
        <v>5.592</v>
      </c>
      <c r="H69" s="16">
        <v>0.2</v>
      </c>
      <c r="I69" s="97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</row>
    <row r="70" ht="15.75" customHeight="1">
      <c r="A70" s="1" t="s">
        <v>509</v>
      </c>
      <c r="B70" s="12">
        <v>45434.0</v>
      </c>
      <c r="C70" s="12">
        <v>45447.0</v>
      </c>
      <c r="D70" s="1" t="s">
        <v>573</v>
      </c>
      <c r="E70" s="41" t="s">
        <v>97</v>
      </c>
      <c r="F70" s="14">
        <v>3.99</v>
      </c>
      <c r="G70" s="15">
        <f t="shared" si="5"/>
        <v>3.192</v>
      </c>
      <c r="H70" s="16">
        <v>0.2</v>
      </c>
      <c r="I70" s="97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</row>
    <row r="71" ht="15.75" customHeight="1">
      <c r="A71" s="1" t="s">
        <v>509</v>
      </c>
      <c r="B71" s="12">
        <v>45434.0</v>
      </c>
      <c r="C71" s="12">
        <v>45447.0</v>
      </c>
      <c r="D71" s="1" t="s">
        <v>573</v>
      </c>
      <c r="E71" s="41" t="s">
        <v>99</v>
      </c>
      <c r="F71" s="15">
        <v>24.99</v>
      </c>
      <c r="G71" s="15">
        <f t="shared" si="5"/>
        <v>17.493</v>
      </c>
      <c r="H71" s="16">
        <v>0.3</v>
      </c>
      <c r="I71" s="97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</row>
    <row r="72" ht="15.75" customHeight="1">
      <c r="A72" s="1" t="s">
        <v>509</v>
      </c>
      <c r="B72" s="12">
        <v>45434.0</v>
      </c>
      <c r="C72" s="12">
        <v>45447.0</v>
      </c>
      <c r="D72" s="1" t="s">
        <v>573</v>
      </c>
      <c r="E72" s="41" t="s">
        <v>100</v>
      </c>
      <c r="F72" s="15">
        <v>24.99</v>
      </c>
      <c r="G72" s="15">
        <f t="shared" si="5"/>
        <v>17.493</v>
      </c>
      <c r="H72" s="16">
        <v>0.3</v>
      </c>
      <c r="I72" s="97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</row>
    <row r="73" ht="15.75" customHeight="1">
      <c r="A73" s="1" t="s">
        <v>509</v>
      </c>
      <c r="B73" s="12">
        <v>45434.0</v>
      </c>
      <c r="C73" s="12">
        <v>45447.0</v>
      </c>
      <c r="D73" s="1" t="s">
        <v>573</v>
      </c>
      <c r="E73" s="41" t="s">
        <v>102</v>
      </c>
      <c r="F73" s="15">
        <v>24.99</v>
      </c>
      <c r="G73" s="15">
        <f t="shared" si="5"/>
        <v>18.7425</v>
      </c>
      <c r="H73" s="16">
        <v>0.25</v>
      </c>
      <c r="I73" s="97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</row>
    <row r="74" ht="15.75" customHeight="1">
      <c r="A74" s="1" t="s">
        <v>509</v>
      </c>
      <c r="B74" s="12">
        <v>45434.0</v>
      </c>
      <c r="C74" s="12">
        <v>45447.0</v>
      </c>
      <c r="D74" s="1" t="s">
        <v>573</v>
      </c>
      <c r="E74" s="41" t="s">
        <v>104</v>
      </c>
      <c r="F74" s="15">
        <v>24.99</v>
      </c>
      <c r="G74" s="15">
        <f t="shared" si="5"/>
        <v>24.99</v>
      </c>
      <c r="H74" s="16">
        <v>0.0</v>
      </c>
      <c r="I74" s="9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</row>
    <row r="75" ht="15.75" customHeight="1">
      <c r="A75" s="94"/>
      <c r="B75" s="94"/>
      <c r="C75" s="94"/>
      <c r="D75" s="94"/>
      <c r="E75" s="94"/>
      <c r="F75" s="94"/>
      <c r="G75" s="94"/>
      <c r="H75" s="124"/>
      <c r="I75" s="94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</row>
    <row r="76" ht="15.75" customHeight="1">
      <c r="A76" s="1" t="s">
        <v>509</v>
      </c>
      <c r="B76" s="12">
        <v>45470.0</v>
      </c>
      <c r="C76" s="12">
        <v>45484.0</v>
      </c>
      <c r="D76" s="1" t="s">
        <v>56</v>
      </c>
      <c r="E76" s="33" t="s">
        <v>24</v>
      </c>
      <c r="F76" s="14">
        <v>29.99</v>
      </c>
      <c r="G76" s="14" t="s">
        <v>130</v>
      </c>
      <c r="H76" s="16">
        <v>0.5</v>
      </c>
      <c r="I76" s="96" t="s">
        <v>574</v>
      </c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</row>
    <row r="77" ht="15.75" customHeight="1">
      <c r="A77" s="1" t="s">
        <v>509</v>
      </c>
      <c r="B77" s="12">
        <v>45470.0</v>
      </c>
      <c r="C77" s="12">
        <v>45484.0</v>
      </c>
      <c r="D77" s="1" t="s">
        <v>56</v>
      </c>
      <c r="E77" s="33" t="s">
        <v>76</v>
      </c>
      <c r="F77" s="14">
        <v>39.99</v>
      </c>
      <c r="G77" s="15">
        <f t="shared" ref="G77:G88" si="6">F77*(1-H77)</f>
        <v>19.995</v>
      </c>
      <c r="H77" s="16">
        <v>0.5</v>
      </c>
      <c r="I77" s="97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</row>
    <row r="78" ht="15.75" customHeight="1">
      <c r="A78" s="1" t="s">
        <v>509</v>
      </c>
      <c r="B78" s="12">
        <v>45470.0</v>
      </c>
      <c r="C78" s="12">
        <v>45484.0</v>
      </c>
      <c r="D78" s="1" t="s">
        <v>56</v>
      </c>
      <c r="E78" s="33" t="s">
        <v>77</v>
      </c>
      <c r="F78" s="14">
        <v>64.77</v>
      </c>
      <c r="G78" s="15">
        <f t="shared" si="6"/>
        <v>34.9758</v>
      </c>
      <c r="H78" s="16">
        <v>0.46</v>
      </c>
      <c r="I78" s="97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</row>
    <row r="79" ht="15.75" customHeight="1">
      <c r="A79" s="1" t="s">
        <v>509</v>
      </c>
      <c r="B79" s="12">
        <v>45470.0</v>
      </c>
      <c r="C79" s="12">
        <v>45484.0</v>
      </c>
      <c r="D79" s="1" t="s">
        <v>56</v>
      </c>
      <c r="E79" s="33" t="s">
        <v>79</v>
      </c>
      <c r="F79" s="14">
        <v>84.99</v>
      </c>
      <c r="G79" s="15">
        <f t="shared" si="6"/>
        <v>50.994</v>
      </c>
      <c r="H79" s="16">
        <v>0.4</v>
      </c>
      <c r="I79" s="97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</row>
    <row r="80" ht="15.75" customHeight="1">
      <c r="A80" s="1" t="s">
        <v>509</v>
      </c>
      <c r="B80" s="12">
        <v>45470.0</v>
      </c>
      <c r="C80" s="12">
        <v>45484.0</v>
      </c>
      <c r="D80" s="1" t="s">
        <v>56</v>
      </c>
      <c r="E80" s="41" t="s">
        <v>80</v>
      </c>
      <c r="F80" s="14">
        <v>104.99</v>
      </c>
      <c r="G80" s="15">
        <f t="shared" si="6"/>
        <v>83.992</v>
      </c>
      <c r="H80" s="16">
        <v>0.2</v>
      </c>
      <c r="I80" s="97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</row>
    <row r="81" ht="15.75" customHeight="1">
      <c r="A81" s="1" t="s">
        <v>509</v>
      </c>
      <c r="B81" s="12">
        <v>45470.0</v>
      </c>
      <c r="C81" s="12">
        <v>45484.0</v>
      </c>
      <c r="D81" s="1" t="s">
        <v>56</v>
      </c>
      <c r="E81" s="33" t="s">
        <v>569</v>
      </c>
      <c r="F81" s="14">
        <v>6.99</v>
      </c>
      <c r="G81" s="15">
        <f t="shared" si="6"/>
        <v>4.5435</v>
      </c>
      <c r="H81" s="16">
        <v>0.35</v>
      </c>
      <c r="I81" s="97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</row>
    <row r="82" ht="15.75" customHeight="1">
      <c r="A82" s="1" t="s">
        <v>509</v>
      </c>
      <c r="B82" s="12">
        <v>45470.0</v>
      </c>
      <c r="C82" s="12">
        <v>45484.0</v>
      </c>
      <c r="D82" s="1" t="s">
        <v>56</v>
      </c>
      <c r="E82" s="41" t="s">
        <v>550</v>
      </c>
      <c r="F82" s="14">
        <v>6.99</v>
      </c>
      <c r="G82" s="15">
        <f t="shared" si="6"/>
        <v>5.2425</v>
      </c>
      <c r="H82" s="16">
        <v>0.25</v>
      </c>
      <c r="I82" s="97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</row>
    <row r="83" ht="15.75" customHeight="1">
      <c r="A83" s="1" t="s">
        <v>509</v>
      </c>
      <c r="B83" s="12">
        <v>45470.0</v>
      </c>
      <c r="C83" s="12">
        <v>45484.0</v>
      </c>
      <c r="D83" s="1" t="s">
        <v>56</v>
      </c>
      <c r="E83" s="41" t="s">
        <v>83</v>
      </c>
      <c r="F83" s="14">
        <v>6.99</v>
      </c>
      <c r="G83" s="15">
        <f t="shared" si="6"/>
        <v>5.592</v>
      </c>
      <c r="H83" s="16">
        <v>0.2</v>
      </c>
      <c r="I83" s="97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</row>
    <row r="84" ht="15.75" customHeight="1">
      <c r="A84" s="1" t="s">
        <v>509</v>
      </c>
      <c r="B84" s="12">
        <v>45470.0</v>
      </c>
      <c r="C84" s="12">
        <v>45484.0</v>
      </c>
      <c r="D84" s="1" t="s">
        <v>56</v>
      </c>
      <c r="E84" s="41" t="s">
        <v>97</v>
      </c>
      <c r="F84" s="14">
        <v>3.99</v>
      </c>
      <c r="G84" s="15">
        <f t="shared" si="6"/>
        <v>3.192</v>
      </c>
      <c r="H84" s="16">
        <v>0.2</v>
      </c>
      <c r="I84" s="97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</row>
    <row r="85" ht="15.75" customHeight="1">
      <c r="A85" s="1" t="s">
        <v>509</v>
      </c>
      <c r="B85" s="12">
        <v>45470.0</v>
      </c>
      <c r="C85" s="12">
        <v>45484.0</v>
      </c>
      <c r="D85" s="1" t="s">
        <v>56</v>
      </c>
      <c r="E85" s="41" t="s">
        <v>99</v>
      </c>
      <c r="F85" s="15">
        <v>24.99</v>
      </c>
      <c r="G85" s="15">
        <f t="shared" si="6"/>
        <v>17.493</v>
      </c>
      <c r="H85" s="16">
        <v>0.3</v>
      </c>
      <c r="I85" s="97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</row>
    <row r="86" ht="15.75" customHeight="1">
      <c r="A86" s="1" t="s">
        <v>509</v>
      </c>
      <c r="B86" s="12">
        <v>45470.0</v>
      </c>
      <c r="C86" s="12">
        <v>45484.0</v>
      </c>
      <c r="D86" s="1" t="s">
        <v>56</v>
      </c>
      <c r="E86" s="41" t="s">
        <v>100</v>
      </c>
      <c r="F86" s="15">
        <v>24.99</v>
      </c>
      <c r="G86" s="15">
        <f t="shared" si="6"/>
        <v>17.493</v>
      </c>
      <c r="H86" s="16">
        <v>0.3</v>
      </c>
      <c r="I86" s="97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</row>
    <row r="87" ht="15.75" customHeight="1">
      <c r="A87" s="1" t="s">
        <v>509</v>
      </c>
      <c r="B87" s="12">
        <v>45470.0</v>
      </c>
      <c r="C87" s="12">
        <v>45484.0</v>
      </c>
      <c r="D87" s="1" t="s">
        <v>56</v>
      </c>
      <c r="E87" s="41" t="s">
        <v>102</v>
      </c>
      <c r="F87" s="15">
        <v>24.99</v>
      </c>
      <c r="G87" s="15">
        <f t="shared" si="6"/>
        <v>18.7425</v>
      </c>
      <c r="H87" s="16">
        <v>0.25</v>
      </c>
      <c r="I87" s="97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</row>
    <row r="88" ht="15.75" customHeight="1">
      <c r="A88" s="1" t="s">
        <v>509</v>
      </c>
      <c r="B88" s="12">
        <v>45470.0</v>
      </c>
      <c r="C88" s="12">
        <v>45484.0</v>
      </c>
      <c r="D88" s="1" t="s">
        <v>56</v>
      </c>
      <c r="E88" s="41" t="s">
        <v>104</v>
      </c>
      <c r="F88" s="15">
        <v>24.99</v>
      </c>
      <c r="G88" s="15">
        <f t="shared" si="6"/>
        <v>24.99</v>
      </c>
      <c r="H88" s="16">
        <v>0.0</v>
      </c>
      <c r="I88" s="9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</row>
    <row r="89" ht="15.75" customHeight="1">
      <c r="A89" s="94"/>
      <c r="B89" s="94"/>
      <c r="C89" s="94"/>
      <c r="D89" s="94"/>
      <c r="E89" s="94"/>
      <c r="F89" s="94"/>
      <c r="G89" s="94"/>
      <c r="H89" s="94"/>
      <c r="I89" s="94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</row>
    <row r="90" ht="15.75" customHeight="1">
      <c r="A90" s="1" t="s">
        <v>509</v>
      </c>
      <c r="B90" s="12">
        <v>45500.0</v>
      </c>
      <c r="C90" s="12">
        <v>45509.0</v>
      </c>
      <c r="D90" s="1" t="s">
        <v>577</v>
      </c>
      <c r="E90" s="33" t="s">
        <v>24</v>
      </c>
      <c r="F90" s="14">
        <v>29.99</v>
      </c>
      <c r="G90" s="14" t="s">
        <v>130</v>
      </c>
      <c r="H90" s="16">
        <v>0.5</v>
      </c>
      <c r="I90" s="96" t="s">
        <v>574</v>
      </c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</row>
    <row r="91" ht="15.75" customHeight="1">
      <c r="A91" s="1" t="s">
        <v>509</v>
      </c>
      <c r="B91" s="12">
        <v>45500.0</v>
      </c>
      <c r="C91" s="12">
        <v>45509.0</v>
      </c>
      <c r="D91" s="1" t="s">
        <v>577</v>
      </c>
      <c r="E91" s="33" t="s">
        <v>76</v>
      </c>
      <c r="F91" s="14">
        <v>39.99</v>
      </c>
      <c r="G91" s="15">
        <f t="shared" ref="G91:G102" si="7">F91*(1-H91)</f>
        <v>19.995</v>
      </c>
      <c r="H91" s="16">
        <v>0.5</v>
      </c>
      <c r="I91" s="97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</row>
    <row r="92" ht="15.75" customHeight="1">
      <c r="A92" s="1" t="s">
        <v>509</v>
      </c>
      <c r="B92" s="12">
        <v>45500.0</v>
      </c>
      <c r="C92" s="12">
        <v>45509.0</v>
      </c>
      <c r="D92" s="1" t="s">
        <v>577</v>
      </c>
      <c r="E92" s="33" t="s">
        <v>77</v>
      </c>
      <c r="F92" s="14">
        <v>64.77</v>
      </c>
      <c r="G92" s="15">
        <f t="shared" si="7"/>
        <v>34.9758</v>
      </c>
      <c r="H92" s="16">
        <v>0.46</v>
      </c>
      <c r="I92" s="97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</row>
    <row r="93" ht="15.75" customHeight="1">
      <c r="A93" s="1" t="s">
        <v>509</v>
      </c>
      <c r="B93" s="12">
        <v>45500.0</v>
      </c>
      <c r="C93" s="12">
        <v>45509.0</v>
      </c>
      <c r="D93" s="1" t="s">
        <v>577</v>
      </c>
      <c r="E93" s="33" t="s">
        <v>79</v>
      </c>
      <c r="F93" s="14">
        <v>84.99</v>
      </c>
      <c r="G93" s="15">
        <f t="shared" si="7"/>
        <v>50.994</v>
      </c>
      <c r="H93" s="16">
        <v>0.4</v>
      </c>
      <c r="I93" s="97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</row>
    <row r="94" ht="15.75" customHeight="1">
      <c r="A94" s="1" t="s">
        <v>509</v>
      </c>
      <c r="B94" s="12">
        <v>45500.0</v>
      </c>
      <c r="C94" s="12">
        <v>45509.0</v>
      </c>
      <c r="D94" s="1" t="s">
        <v>577</v>
      </c>
      <c r="E94" s="41" t="s">
        <v>80</v>
      </c>
      <c r="F94" s="14">
        <v>104.99</v>
      </c>
      <c r="G94" s="15">
        <f t="shared" si="7"/>
        <v>83.992</v>
      </c>
      <c r="H94" s="16">
        <v>0.2</v>
      </c>
      <c r="I94" s="97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</row>
    <row r="95" ht="15.75" customHeight="1">
      <c r="A95" s="1" t="s">
        <v>509</v>
      </c>
      <c r="B95" s="12">
        <v>45500.0</v>
      </c>
      <c r="C95" s="12">
        <v>45509.0</v>
      </c>
      <c r="D95" s="1" t="s">
        <v>577</v>
      </c>
      <c r="E95" s="33" t="s">
        <v>569</v>
      </c>
      <c r="F95" s="14">
        <v>6.99</v>
      </c>
      <c r="G95" s="15">
        <f t="shared" si="7"/>
        <v>4.5435</v>
      </c>
      <c r="H95" s="16">
        <v>0.35</v>
      </c>
      <c r="I95" s="97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</row>
    <row r="96" ht="15.75" customHeight="1">
      <c r="A96" s="1" t="s">
        <v>509</v>
      </c>
      <c r="B96" s="12">
        <v>45500.0</v>
      </c>
      <c r="C96" s="12">
        <v>45509.0</v>
      </c>
      <c r="D96" s="1" t="s">
        <v>577</v>
      </c>
      <c r="E96" s="41" t="s">
        <v>550</v>
      </c>
      <c r="F96" s="14">
        <v>6.99</v>
      </c>
      <c r="G96" s="15">
        <f t="shared" si="7"/>
        <v>5.2425</v>
      </c>
      <c r="H96" s="16">
        <v>0.25</v>
      </c>
      <c r="I96" s="97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</row>
    <row r="97" ht="15.75" customHeight="1">
      <c r="A97" s="1" t="s">
        <v>509</v>
      </c>
      <c r="B97" s="12">
        <v>45500.0</v>
      </c>
      <c r="C97" s="12">
        <v>45509.0</v>
      </c>
      <c r="D97" s="1" t="s">
        <v>577</v>
      </c>
      <c r="E97" s="41" t="s">
        <v>83</v>
      </c>
      <c r="F97" s="14">
        <v>6.99</v>
      </c>
      <c r="G97" s="15">
        <f t="shared" si="7"/>
        <v>5.592</v>
      </c>
      <c r="H97" s="16">
        <v>0.2</v>
      </c>
      <c r="I97" s="97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</row>
    <row r="98" ht="15.75" customHeight="1">
      <c r="A98" s="1" t="s">
        <v>509</v>
      </c>
      <c r="B98" s="12">
        <v>45500.0</v>
      </c>
      <c r="C98" s="12">
        <v>45509.0</v>
      </c>
      <c r="D98" s="1" t="s">
        <v>577</v>
      </c>
      <c r="E98" s="41" t="s">
        <v>97</v>
      </c>
      <c r="F98" s="14">
        <v>3.99</v>
      </c>
      <c r="G98" s="15">
        <f t="shared" si="7"/>
        <v>3.192</v>
      </c>
      <c r="H98" s="16">
        <v>0.2</v>
      </c>
      <c r="I98" s="97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</row>
    <row r="99" ht="15.75" customHeight="1">
      <c r="A99" s="1" t="s">
        <v>509</v>
      </c>
      <c r="B99" s="12">
        <v>45500.0</v>
      </c>
      <c r="C99" s="12">
        <v>45509.0</v>
      </c>
      <c r="D99" s="1" t="s">
        <v>577</v>
      </c>
      <c r="E99" s="41" t="s">
        <v>99</v>
      </c>
      <c r="F99" s="15">
        <v>24.99</v>
      </c>
      <c r="G99" s="15">
        <f t="shared" si="7"/>
        <v>17.493</v>
      </c>
      <c r="H99" s="16">
        <v>0.3</v>
      </c>
      <c r="I99" s="97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</row>
    <row r="100" ht="15.75" customHeight="1">
      <c r="A100" s="1" t="s">
        <v>509</v>
      </c>
      <c r="B100" s="12">
        <v>45500.0</v>
      </c>
      <c r="C100" s="12">
        <v>45509.0</v>
      </c>
      <c r="D100" s="1" t="s">
        <v>577</v>
      </c>
      <c r="E100" s="41" t="s">
        <v>100</v>
      </c>
      <c r="F100" s="15">
        <v>24.99</v>
      </c>
      <c r="G100" s="15">
        <f t="shared" si="7"/>
        <v>17.493</v>
      </c>
      <c r="H100" s="16">
        <v>0.3</v>
      </c>
      <c r="I100" s="97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</row>
    <row r="101" ht="15.75" customHeight="1">
      <c r="A101" s="1" t="s">
        <v>509</v>
      </c>
      <c r="B101" s="12">
        <v>45500.0</v>
      </c>
      <c r="C101" s="12">
        <v>45509.0</v>
      </c>
      <c r="D101" s="1" t="s">
        <v>577</v>
      </c>
      <c r="E101" s="41" t="s">
        <v>102</v>
      </c>
      <c r="F101" s="15">
        <v>24.99</v>
      </c>
      <c r="G101" s="15">
        <f t="shared" si="7"/>
        <v>18.7425</v>
      </c>
      <c r="H101" s="16">
        <v>0.25</v>
      </c>
      <c r="I101" s="97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</row>
    <row r="102" ht="15.75" customHeight="1">
      <c r="A102" s="1" t="s">
        <v>509</v>
      </c>
      <c r="B102" s="12">
        <v>45500.0</v>
      </c>
      <c r="C102" s="12">
        <v>45509.0</v>
      </c>
      <c r="D102" s="1" t="s">
        <v>577</v>
      </c>
      <c r="E102" s="41" t="s">
        <v>104</v>
      </c>
      <c r="F102" s="15">
        <v>24.99</v>
      </c>
      <c r="G102" s="15">
        <f t="shared" si="7"/>
        <v>24.99</v>
      </c>
      <c r="H102" s="16">
        <v>0.0</v>
      </c>
      <c r="I102" s="9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</row>
    <row r="103" ht="15.75" customHeight="1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</row>
    <row r="104" ht="15.75" customHeight="1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</row>
    <row r="105" ht="15.75" customHeight="1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</row>
    <row r="106" ht="15.75" customHeight="1">
      <c r="A106" s="125" t="s">
        <v>78</v>
      </c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</row>
    <row r="107" ht="15.75" customHeight="1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</row>
    <row r="108" ht="15.75" customHeight="1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</row>
    <row r="109" ht="15.75" customHeight="1">
      <c r="A109" s="102" t="s">
        <v>78</v>
      </c>
      <c r="B109" s="104">
        <v>45307.0</v>
      </c>
      <c r="C109" s="104">
        <v>45313.0</v>
      </c>
      <c r="D109" s="1" t="s">
        <v>92</v>
      </c>
      <c r="E109" s="1" t="s">
        <v>25</v>
      </c>
      <c r="F109" s="1" t="s">
        <v>183</v>
      </c>
      <c r="G109" s="1" t="s">
        <v>468</v>
      </c>
      <c r="H109" s="126">
        <v>0.5</v>
      </c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</row>
    <row r="110" ht="15.75" customHeight="1">
      <c r="A110" s="102" t="s">
        <v>78</v>
      </c>
      <c r="B110" s="104">
        <v>45307.0</v>
      </c>
      <c r="C110" s="104">
        <v>45313.0</v>
      </c>
      <c r="D110" s="1" t="s">
        <v>92</v>
      </c>
      <c r="E110" s="1" t="s">
        <v>195</v>
      </c>
      <c r="F110" s="1" t="s">
        <v>196</v>
      </c>
      <c r="G110" s="1" t="s">
        <v>198</v>
      </c>
      <c r="H110" s="126">
        <v>0.35</v>
      </c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</row>
    <row r="111" ht="15.75" customHeight="1">
      <c r="A111" s="102" t="s">
        <v>78</v>
      </c>
      <c r="B111" s="104">
        <v>45307.0</v>
      </c>
      <c r="C111" s="104">
        <v>45313.0</v>
      </c>
      <c r="D111" s="1" t="s">
        <v>92</v>
      </c>
      <c r="E111" s="1" t="s">
        <v>201</v>
      </c>
      <c r="F111" s="1" t="s">
        <v>196</v>
      </c>
      <c r="G111" s="1" t="s">
        <v>198</v>
      </c>
      <c r="H111" s="126">
        <v>0.35</v>
      </c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</row>
    <row r="112" ht="15.75" customHeight="1">
      <c r="A112" s="102" t="s">
        <v>78</v>
      </c>
      <c r="B112" s="104">
        <v>45307.0</v>
      </c>
      <c r="C112" s="104">
        <v>45313.0</v>
      </c>
      <c r="D112" s="1" t="s">
        <v>92</v>
      </c>
      <c r="E112" s="1" t="s">
        <v>203</v>
      </c>
      <c r="F112" s="1" t="s">
        <v>196</v>
      </c>
      <c r="G112" s="1" t="s">
        <v>198</v>
      </c>
      <c r="H112" s="126">
        <v>0.35</v>
      </c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</row>
    <row r="113" ht="15.75" customHeight="1">
      <c r="A113" s="102" t="s">
        <v>78</v>
      </c>
      <c r="B113" s="104">
        <v>45307.0</v>
      </c>
      <c r="C113" s="104">
        <v>45313.0</v>
      </c>
      <c r="D113" s="1" t="s">
        <v>92</v>
      </c>
      <c r="E113" s="1" t="s">
        <v>205</v>
      </c>
      <c r="F113" s="1" t="s">
        <v>131</v>
      </c>
      <c r="G113" s="1" t="s">
        <v>207</v>
      </c>
      <c r="H113" s="126">
        <v>0.35</v>
      </c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</row>
    <row r="114" ht="15.75" customHeight="1">
      <c r="A114" s="102" t="s">
        <v>78</v>
      </c>
      <c r="B114" s="104">
        <v>45307.0</v>
      </c>
      <c r="C114" s="104">
        <v>45313.0</v>
      </c>
      <c r="D114" s="1" t="s">
        <v>92</v>
      </c>
      <c r="E114" s="1" t="s">
        <v>209</v>
      </c>
      <c r="F114" s="1" t="s">
        <v>196</v>
      </c>
      <c r="G114" s="1" t="s">
        <v>198</v>
      </c>
      <c r="H114" s="126">
        <v>0.35</v>
      </c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</row>
    <row r="115" ht="15.75" customHeight="1">
      <c r="A115" s="102" t="s">
        <v>78</v>
      </c>
      <c r="B115" s="104">
        <v>45307.0</v>
      </c>
      <c r="C115" s="104">
        <v>45313.0</v>
      </c>
      <c r="D115" s="1" t="s">
        <v>92</v>
      </c>
      <c r="E115" s="1" t="s">
        <v>210</v>
      </c>
      <c r="F115" s="1" t="s">
        <v>196</v>
      </c>
      <c r="G115" s="1" t="s">
        <v>198</v>
      </c>
      <c r="H115" s="126">
        <v>0.35</v>
      </c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</row>
    <row r="116" ht="15.75" customHeight="1">
      <c r="A116" s="102" t="s">
        <v>78</v>
      </c>
      <c r="B116" s="104">
        <v>45307.0</v>
      </c>
      <c r="C116" s="104">
        <v>45313.0</v>
      </c>
      <c r="D116" s="1" t="s">
        <v>92</v>
      </c>
      <c r="E116" s="1" t="s">
        <v>211</v>
      </c>
      <c r="F116" s="1" t="s">
        <v>196</v>
      </c>
      <c r="G116" s="1" t="s">
        <v>198</v>
      </c>
      <c r="H116" s="126">
        <v>0.35</v>
      </c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</row>
    <row r="117" ht="15.75" customHeight="1">
      <c r="A117" s="102" t="s">
        <v>78</v>
      </c>
      <c r="B117" s="104">
        <v>45307.0</v>
      </c>
      <c r="C117" s="104">
        <v>45313.0</v>
      </c>
      <c r="D117" s="1" t="s">
        <v>92</v>
      </c>
      <c r="E117" s="1" t="s">
        <v>214</v>
      </c>
      <c r="F117" s="1" t="s">
        <v>196</v>
      </c>
      <c r="G117" s="1" t="s">
        <v>198</v>
      </c>
      <c r="H117" s="126">
        <v>0.35</v>
      </c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</row>
    <row r="118" ht="15.75" customHeight="1">
      <c r="A118" s="102" t="s">
        <v>78</v>
      </c>
      <c r="B118" s="104">
        <v>45307.0</v>
      </c>
      <c r="C118" s="104">
        <v>45313.0</v>
      </c>
      <c r="D118" s="1" t="s">
        <v>92</v>
      </c>
      <c r="E118" s="1" t="s">
        <v>578</v>
      </c>
      <c r="F118" s="1" t="s">
        <v>196</v>
      </c>
      <c r="G118" s="1" t="s">
        <v>198</v>
      </c>
      <c r="H118" s="126">
        <v>0.35</v>
      </c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</row>
    <row r="119" ht="15.75" customHeight="1">
      <c r="A119" s="102" t="s">
        <v>78</v>
      </c>
      <c r="B119" s="104">
        <v>45307.0</v>
      </c>
      <c r="C119" s="104">
        <v>45313.0</v>
      </c>
      <c r="D119" s="1" t="s">
        <v>92</v>
      </c>
      <c r="E119" s="1" t="s">
        <v>220</v>
      </c>
      <c r="F119" s="1" t="s">
        <v>196</v>
      </c>
      <c r="G119" s="1" t="s">
        <v>242</v>
      </c>
      <c r="H119" s="126">
        <v>0.2</v>
      </c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</row>
    <row r="120" ht="15.75" customHeight="1">
      <c r="A120" s="102" t="s">
        <v>78</v>
      </c>
      <c r="B120" s="104">
        <v>45314.0</v>
      </c>
      <c r="C120" s="104">
        <v>45320.0</v>
      </c>
      <c r="D120" s="1" t="s">
        <v>92</v>
      </c>
      <c r="E120" s="1" t="s">
        <v>99</v>
      </c>
      <c r="F120" s="1" t="s">
        <v>244</v>
      </c>
      <c r="G120" s="1" t="s">
        <v>245</v>
      </c>
      <c r="H120" s="126">
        <v>0.35</v>
      </c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</row>
    <row r="121" ht="15.75" customHeight="1">
      <c r="A121" s="102" t="s">
        <v>78</v>
      </c>
      <c r="B121" s="104">
        <v>45314.0</v>
      </c>
      <c r="C121" s="104">
        <v>45320.0</v>
      </c>
      <c r="D121" s="1" t="s">
        <v>92</v>
      </c>
      <c r="E121" s="1" t="s">
        <v>100</v>
      </c>
      <c r="F121" s="1" t="s">
        <v>244</v>
      </c>
      <c r="G121" s="1" t="s">
        <v>245</v>
      </c>
      <c r="H121" s="126">
        <v>0.35</v>
      </c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</row>
    <row r="122" ht="15.75" customHeight="1">
      <c r="A122" s="102" t="s">
        <v>78</v>
      </c>
      <c r="B122" s="104">
        <v>45314.0</v>
      </c>
      <c r="C122" s="104">
        <v>45320.0</v>
      </c>
      <c r="D122" s="1" t="s">
        <v>92</v>
      </c>
      <c r="E122" s="1" t="s">
        <v>102</v>
      </c>
      <c r="F122" s="1" t="s">
        <v>244</v>
      </c>
      <c r="G122" s="1" t="s">
        <v>252</v>
      </c>
      <c r="H122" s="126">
        <v>0.2</v>
      </c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</row>
    <row r="123" ht="15.75" customHeight="1">
      <c r="A123" s="102" t="s">
        <v>78</v>
      </c>
      <c r="B123" s="104">
        <v>45321.0</v>
      </c>
      <c r="C123" s="103">
        <v>45327.0</v>
      </c>
      <c r="D123" s="1" t="s">
        <v>92</v>
      </c>
      <c r="E123" s="1" t="s">
        <v>24</v>
      </c>
      <c r="F123" s="1" t="s">
        <v>88</v>
      </c>
      <c r="G123" s="1" t="s">
        <v>280</v>
      </c>
      <c r="H123" s="126">
        <v>0.6</v>
      </c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</row>
    <row r="124" ht="15.75" customHeight="1">
      <c r="A124" s="102" t="s">
        <v>78</v>
      </c>
      <c r="B124" s="103">
        <v>45328.0</v>
      </c>
      <c r="C124" s="104">
        <v>45334.0</v>
      </c>
      <c r="D124" s="1" t="s">
        <v>92</v>
      </c>
      <c r="E124" s="1" t="s">
        <v>19</v>
      </c>
      <c r="F124" s="1" t="s">
        <v>269</v>
      </c>
      <c r="G124" s="1" t="s">
        <v>184</v>
      </c>
      <c r="H124" s="126">
        <v>0.5</v>
      </c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</row>
    <row r="125" ht="15.75" customHeight="1">
      <c r="A125" s="102" t="s">
        <v>78</v>
      </c>
      <c r="B125" s="104">
        <v>45335.0</v>
      </c>
      <c r="C125" s="104">
        <v>45348.0</v>
      </c>
      <c r="D125" s="1" t="s">
        <v>98</v>
      </c>
      <c r="E125" s="1" t="s">
        <v>17</v>
      </c>
      <c r="F125" s="1" t="s">
        <v>95</v>
      </c>
      <c r="G125" s="1" t="s">
        <v>305</v>
      </c>
      <c r="H125" s="126">
        <v>0.5</v>
      </c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</row>
    <row r="126" ht="15.75" customHeight="1">
      <c r="A126" s="102" t="s">
        <v>78</v>
      </c>
      <c r="B126" s="104">
        <v>45349.0</v>
      </c>
      <c r="C126" s="105">
        <v>45355.0</v>
      </c>
      <c r="D126" s="1" t="s">
        <v>496</v>
      </c>
      <c r="E126" s="1" t="s">
        <v>25</v>
      </c>
      <c r="F126" s="1" t="s">
        <v>183</v>
      </c>
      <c r="G126" s="1" t="s">
        <v>468</v>
      </c>
      <c r="H126" s="126">
        <v>0.5</v>
      </c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</row>
    <row r="127" ht="15.75" customHeight="1">
      <c r="A127" s="102" t="s">
        <v>78</v>
      </c>
      <c r="B127" s="105">
        <v>45356.0</v>
      </c>
      <c r="C127" s="106">
        <v>45362.0</v>
      </c>
      <c r="D127" s="1" t="s">
        <v>92</v>
      </c>
      <c r="E127" s="1" t="s">
        <v>99</v>
      </c>
      <c r="F127" s="1" t="s">
        <v>244</v>
      </c>
      <c r="G127" s="1" t="s">
        <v>245</v>
      </c>
      <c r="H127" s="126">
        <v>0.35</v>
      </c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</row>
    <row r="128" ht="15.75" customHeight="1">
      <c r="A128" s="102" t="s">
        <v>78</v>
      </c>
      <c r="B128" s="105">
        <v>45356.0</v>
      </c>
      <c r="C128" s="106">
        <v>45362.0</v>
      </c>
      <c r="D128" s="1" t="s">
        <v>92</v>
      </c>
      <c r="E128" s="1" t="s">
        <v>100</v>
      </c>
      <c r="F128" s="1" t="s">
        <v>244</v>
      </c>
      <c r="G128" s="1" t="s">
        <v>245</v>
      </c>
      <c r="H128" s="126">
        <v>0.35</v>
      </c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</row>
    <row r="129" ht="15.75" customHeight="1">
      <c r="A129" s="102" t="s">
        <v>78</v>
      </c>
      <c r="B129" s="105">
        <v>45356.0</v>
      </c>
      <c r="C129" s="106">
        <v>45362.0</v>
      </c>
      <c r="D129" s="1" t="s">
        <v>92</v>
      </c>
      <c r="E129" s="1" t="s">
        <v>102</v>
      </c>
      <c r="F129" s="1" t="s">
        <v>244</v>
      </c>
      <c r="G129" s="1" t="s">
        <v>252</v>
      </c>
      <c r="H129" s="126">
        <v>0.2</v>
      </c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</row>
    <row r="130" ht="15.75" customHeight="1">
      <c r="A130" s="102" t="s">
        <v>78</v>
      </c>
      <c r="B130" s="105">
        <v>45356.0</v>
      </c>
      <c r="C130" s="106">
        <v>45362.0</v>
      </c>
      <c r="D130" s="1" t="s">
        <v>349</v>
      </c>
      <c r="E130" s="1" t="s">
        <v>24</v>
      </c>
      <c r="F130" s="1" t="s">
        <v>88</v>
      </c>
      <c r="G130" s="1" t="s">
        <v>280</v>
      </c>
      <c r="H130" s="126">
        <v>0.6</v>
      </c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</row>
    <row r="131" ht="15.75" customHeight="1">
      <c r="A131" s="102" t="s">
        <v>78</v>
      </c>
      <c r="B131" s="105">
        <v>45356.0</v>
      </c>
      <c r="C131" s="106">
        <v>45362.0</v>
      </c>
      <c r="D131" s="1" t="s">
        <v>349</v>
      </c>
      <c r="E131" s="1" t="s">
        <v>195</v>
      </c>
      <c r="F131" s="1" t="s">
        <v>196</v>
      </c>
      <c r="G131" s="1" t="s">
        <v>198</v>
      </c>
      <c r="H131" s="126">
        <v>0.35</v>
      </c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</row>
    <row r="132" ht="15.75" customHeight="1">
      <c r="A132" s="102" t="s">
        <v>78</v>
      </c>
      <c r="B132" s="105">
        <v>45356.0</v>
      </c>
      <c r="C132" s="106">
        <v>45362.0</v>
      </c>
      <c r="D132" s="1" t="s">
        <v>349</v>
      </c>
      <c r="E132" s="1" t="s">
        <v>201</v>
      </c>
      <c r="F132" s="1" t="s">
        <v>196</v>
      </c>
      <c r="G132" s="1" t="s">
        <v>198</v>
      </c>
      <c r="H132" s="126">
        <v>0.35</v>
      </c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</row>
    <row r="133" ht="15.75" customHeight="1">
      <c r="A133" s="102" t="s">
        <v>78</v>
      </c>
      <c r="B133" s="105">
        <v>45356.0</v>
      </c>
      <c r="C133" s="106">
        <v>45362.0</v>
      </c>
      <c r="D133" s="1" t="s">
        <v>349</v>
      </c>
      <c r="E133" s="1" t="s">
        <v>203</v>
      </c>
      <c r="F133" s="1" t="s">
        <v>196</v>
      </c>
      <c r="G133" s="1" t="s">
        <v>198</v>
      </c>
      <c r="H133" s="126">
        <v>0.35</v>
      </c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</row>
    <row r="134" ht="15.75" customHeight="1">
      <c r="A134" s="102" t="s">
        <v>78</v>
      </c>
      <c r="B134" s="105">
        <v>45356.0</v>
      </c>
      <c r="C134" s="106">
        <v>45362.0</v>
      </c>
      <c r="D134" s="1" t="s">
        <v>349</v>
      </c>
      <c r="E134" s="1" t="s">
        <v>205</v>
      </c>
      <c r="F134" s="1" t="s">
        <v>131</v>
      </c>
      <c r="G134" s="1" t="s">
        <v>207</v>
      </c>
      <c r="H134" s="126">
        <v>0.35</v>
      </c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</row>
    <row r="135" ht="15.75" customHeight="1">
      <c r="A135" s="102" t="s">
        <v>78</v>
      </c>
      <c r="B135" s="105">
        <v>45356.0</v>
      </c>
      <c r="C135" s="106">
        <v>45362.0</v>
      </c>
      <c r="D135" s="1" t="s">
        <v>349</v>
      </c>
      <c r="E135" s="1" t="s">
        <v>209</v>
      </c>
      <c r="F135" s="1" t="s">
        <v>196</v>
      </c>
      <c r="G135" s="1" t="s">
        <v>198</v>
      </c>
      <c r="H135" s="126">
        <v>0.35</v>
      </c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</row>
    <row r="136" ht="15.75" customHeight="1">
      <c r="A136" s="102" t="s">
        <v>78</v>
      </c>
      <c r="B136" s="105">
        <v>45356.0</v>
      </c>
      <c r="C136" s="106">
        <v>45362.0</v>
      </c>
      <c r="D136" s="1" t="s">
        <v>349</v>
      </c>
      <c r="E136" s="1" t="s">
        <v>210</v>
      </c>
      <c r="F136" s="1" t="s">
        <v>196</v>
      </c>
      <c r="G136" s="1" t="s">
        <v>198</v>
      </c>
      <c r="H136" s="126">
        <v>0.35</v>
      </c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</row>
    <row r="137" ht="15.75" customHeight="1">
      <c r="A137" s="102" t="s">
        <v>78</v>
      </c>
      <c r="B137" s="105">
        <v>45356.0</v>
      </c>
      <c r="C137" s="106">
        <v>45362.0</v>
      </c>
      <c r="D137" s="1" t="s">
        <v>349</v>
      </c>
      <c r="E137" s="1" t="s">
        <v>211</v>
      </c>
      <c r="F137" s="1" t="s">
        <v>196</v>
      </c>
      <c r="G137" s="1" t="s">
        <v>198</v>
      </c>
      <c r="H137" s="126">
        <v>0.35</v>
      </c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</row>
    <row r="138" ht="15.75" customHeight="1">
      <c r="A138" s="102" t="s">
        <v>78</v>
      </c>
      <c r="B138" s="105">
        <v>45356.0</v>
      </c>
      <c r="C138" s="106">
        <v>45362.0</v>
      </c>
      <c r="D138" s="1" t="s">
        <v>349</v>
      </c>
      <c r="E138" s="1" t="s">
        <v>214</v>
      </c>
      <c r="F138" s="1" t="s">
        <v>196</v>
      </c>
      <c r="G138" s="1" t="s">
        <v>198</v>
      </c>
      <c r="H138" s="126">
        <v>0.35</v>
      </c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</row>
    <row r="139" ht="15.75" customHeight="1">
      <c r="A139" s="102" t="s">
        <v>78</v>
      </c>
      <c r="B139" s="105">
        <v>45356.0</v>
      </c>
      <c r="C139" s="106">
        <v>45362.0</v>
      </c>
      <c r="D139" s="1" t="s">
        <v>349</v>
      </c>
      <c r="E139" s="1" t="s">
        <v>578</v>
      </c>
      <c r="F139" s="1" t="s">
        <v>196</v>
      </c>
      <c r="G139" s="1" t="s">
        <v>198</v>
      </c>
      <c r="H139" s="126">
        <v>0.35</v>
      </c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</row>
    <row r="140" ht="15.75" customHeight="1">
      <c r="A140" s="102" t="s">
        <v>78</v>
      </c>
      <c r="B140" s="105">
        <v>45356.0</v>
      </c>
      <c r="C140" s="106">
        <v>45362.0</v>
      </c>
      <c r="D140" s="1" t="s">
        <v>349</v>
      </c>
      <c r="E140" s="1" t="s">
        <v>220</v>
      </c>
      <c r="F140" s="1" t="s">
        <v>196</v>
      </c>
      <c r="G140" s="1" t="s">
        <v>242</v>
      </c>
      <c r="H140" s="126">
        <v>0.2</v>
      </c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</row>
    <row r="141" ht="15.75" customHeight="1">
      <c r="A141" s="102" t="s">
        <v>78</v>
      </c>
      <c r="B141" s="106">
        <v>45363.0</v>
      </c>
      <c r="C141" s="106">
        <v>45369.0</v>
      </c>
      <c r="D141" s="1" t="s">
        <v>92</v>
      </c>
      <c r="E141" s="1" t="s">
        <v>19</v>
      </c>
      <c r="F141" s="1" t="s">
        <v>269</v>
      </c>
      <c r="G141" s="1" t="s">
        <v>184</v>
      </c>
      <c r="H141" s="126">
        <v>0.5</v>
      </c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</row>
    <row r="142" ht="15.75" customHeight="1">
      <c r="A142" s="102" t="s">
        <v>78</v>
      </c>
      <c r="B142" s="106">
        <v>45380.0</v>
      </c>
      <c r="C142" s="104">
        <v>45393.0</v>
      </c>
      <c r="D142" s="1" t="s">
        <v>122</v>
      </c>
      <c r="E142" s="1" t="s">
        <v>17</v>
      </c>
      <c r="F142" s="1" t="s">
        <v>95</v>
      </c>
      <c r="G142" s="1" t="s">
        <v>305</v>
      </c>
      <c r="H142" s="126">
        <v>0.5</v>
      </c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</row>
    <row r="143" ht="15.75" customHeight="1">
      <c r="A143" s="102" t="s">
        <v>78</v>
      </c>
      <c r="B143" s="106">
        <v>45391.0</v>
      </c>
      <c r="C143" s="104">
        <v>45397.0</v>
      </c>
      <c r="D143" s="1" t="s">
        <v>92</v>
      </c>
      <c r="E143" s="1" t="s">
        <v>25</v>
      </c>
      <c r="F143" s="1" t="s">
        <v>183</v>
      </c>
      <c r="G143" s="1" t="s">
        <v>468</v>
      </c>
      <c r="H143" s="126">
        <v>0.5</v>
      </c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</row>
    <row r="144" ht="15.75" customHeight="1">
      <c r="A144" s="102" t="s">
        <v>78</v>
      </c>
      <c r="B144" s="106">
        <v>45398.0</v>
      </c>
      <c r="C144" s="104">
        <v>45404.0</v>
      </c>
      <c r="D144" s="1" t="s">
        <v>92</v>
      </c>
      <c r="E144" s="1" t="s">
        <v>24</v>
      </c>
      <c r="F144" s="1" t="s">
        <v>88</v>
      </c>
      <c r="G144" s="1" t="s">
        <v>280</v>
      </c>
      <c r="H144" s="126">
        <v>0.6</v>
      </c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</row>
    <row r="145" ht="15.75" customHeight="1">
      <c r="A145" s="102" t="s">
        <v>78</v>
      </c>
      <c r="B145" s="106">
        <v>45398.0</v>
      </c>
      <c r="C145" s="104">
        <v>45404.0</v>
      </c>
      <c r="D145" s="1" t="s">
        <v>191</v>
      </c>
      <c r="E145" s="1" t="s">
        <v>99</v>
      </c>
      <c r="F145" s="1" t="s">
        <v>244</v>
      </c>
      <c r="G145" s="1" t="s">
        <v>245</v>
      </c>
      <c r="H145" s="126">
        <v>0.35</v>
      </c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</row>
    <row r="146" ht="15.75" customHeight="1">
      <c r="A146" s="102" t="s">
        <v>78</v>
      </c>
      <c r="B146" s="106">
        <v>45398.0</v>
      </c>
      <c r="C146" s="104">
        <v>45404.0</v>
      </c>
      <c r="D146" s="1" t="s">
        <v>191</v>
      </c>
      <c r="E146" s="1" t="s">
        <v>100</v>
      </c>
      <c r="F146" s="1" t="s">
        <v>244</v>
      </c>
      <c r="G146" s="1" t="s">
        <v>245</v>
      </c>
      <c r="H146" s="126">
        <v>0.35</v>
      </c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</row>
    <row r="147" ht="15.75" customHeight="1">
      <c r="A147" s="102" t="s">
        <v>78</v>
      </c>
      <c r="B147" s="106">
        <v>45398.0</v>
      </c>
      <c r="C147" s="104">
        <v>45404.0</v>
      </c>
      <c r="D147" s="1" t="s">
        <v>191</v>
      </c>
      <c r="E147" s="1" t="s">
        <v>102</v>
      </c>
      <c r="F147" s="1" t="s">
        <v>244</v>
      </c>
      <c r="G147" s="1" t="s">
        <v>252</v>
      </c>
      <c r="H147" s="126">
        <v>0.2</v>
      </c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</row>
    <row r="148" ht="15.75" customHeight="1">
      <c r="A148" s="102" t="s">
        <v>78</v>
      </c>
      <c r="B148" s="106">
        <v>45405.0</v>
      </c>
      <c r="C148" s="104">
        <v>45411.0</v>
      </c>
      <c r="D148" s="1" t="s">
        <v>92</v>
      </c>
      <c r="E148" s="1" t="s">
        <v>19</v>
      </c>
      <c r="F148" s="1" t="s">
        <v>269</v>
      </c>
      <c r="G148" s="1" t="s">
        <v>184</v>
      </c>
      <c r="H148" s="126">
        <v>0.5</v>
      </c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</row>
    <row r="149" ht="15.75" customHeight="1">
      <c r="A149" s="102" t="s">
        <v>78</v>
      </c>
      <c r="B149" s="106">
        <v>45412.0</v>
      </c>
      <c r="C149" s="104">
        <v>45418.0</v>
      </c>
      <c r="D149" s="1" t="s">
        <v>213</v>
      </c>
      <c r="E149" s="1" t="s">
        <v>195</v>
      </c>
      <c r="F149" s="1" t="s">
        <v>196</v>
      </c>
      <c r="G149" s="1" t="s">
        <v>198</v>
      </c>
      <c r="H149" s="126">
        <v>0.35</v>
      </c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</row>
    <row r="150" ht="15.75" customHeight="1">
      <c r="A150" s="102" t="s">
        <v>78</v>
      </c>
      <c r="B150" s="106">
        <v>45412.0</v>
      </c>
      <c r="C150" s="104">
        <v>45418.0</v>
      </c>
      <c r="D150" s="1" t="s">
        <v>213</v>
      </c>
      <c r="E150" s="1" t="s">
        <v>201</v>
      </c>
      <c r="F150" s="1" t="s">
        <v>196</v>
      </c>
      <c r="G150" s="1" t="s">
        <v>198</v>
      </c>
      <c r="H150" s="126">
        <v>0.35</v>
      </c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</row>
    <row r="151" ht="15.75" customHeight="1">
      <c r="A151" s="102" t="s">
        <v>78</v>
      </c>
      <c r="B151" s="106">
        <v>45412.0</v>
      </c>
      <c r="C151" s="104">
        <v>45418.0</v>
      </c>
      <c r="D151" s="1" t="s">
        <v>213</v>
      </c>
      <c r="E151" s="1" t="s">
        <v>203</v>
      </c>
      <c r="F151" s="1" t="s">
        <v>196</v>
      </c>
      <c r="G151" s="1" t="s">
        <v>198</v>
      </c>
      <c r="H151" s="126">
        <v>0.35</v>
      </c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</row>
    <row r="152" ht="15.75" customHeight="1">
      <c r="A152" s="102" t="s">
        <v>78</v>
      </c>
      <c r="B152" s="106">
        <v>45412.0</v>
      </c>
      <c r="C152" s="104">
        <v>45418.0</v>
      </c>
      <c r="D152" s="1" t="s">
        <v>213</v>
      </c>
      <c r="E152" s="1" t="s">
        <v>205</v>
      </c>
      <c r="F152" s="1" t="s">
        <v>131</v>
      </c>
      <c r="G152" s="1" t="s">
        <v>207</v>
      </c>
      <c r="H152" s="126">
        <v>0.35</v>
      </c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</row>
    <row r="153" ht="15.75" customHeight="1">
      <c r="A153" s="102" t="s">
        <v>78</v>
      </c>
      <c r="B153" s="106">
        <v>45412.0</v>
      </c>
      <c r="C153" s="104">
        <v>45418.0</v>
      </c>
      <c r="D153" s="1" t="s">
        <v>213</v>
      </c>
      <c r="E153" s="1" t="s">
        <v>209</v>
      </c>
      <c r="F153" s="1" t="s">
        <v>196</v>
      </c>
      <c r="G153" s="1" t="s">
        <v>198</v>
      </c>
      <c r="H153" s="126">
        <v>0.35</v>
      </c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</row>
    <row r="154" ht="15.75" customHeight="1">
      <c r="A154" s="102" t="s">
        <v>78</v>
      </c>
      <c r="B154" s="106">
        <v>45412.0</v>
      </c>
      <c r="C154" s="104">
        <v>45418.0</v>
      </c>
      <c r="D154" s="1" t="s">
        <v>213</v>
      </c>
      <c r="E154" s="1" t="s">
        <v>210</v>
      </c>
      <c r="F154" s="1" t="s">
        <v>196</v>
      </c>
      <c r="G154" s="1" t="s">
        <v>198</v>
      </c>
      <c r="H154" s="126">
        <v>0.35</v>
      </c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</row>
    <row r="155" ht="15.75" customHeight="1">
      <c r="A155" s="102" t="s">
        <v>78</v>
      </c>
      <c r="B155" s="106">
        <v>45412.0</v>
      </c>
      <c r="C155" s="104">
        <v>45418.0</v>
      </c>
      <c r="D155" s="1" t="s">
        <v>213</v>
      </c>
      <c r="E155" s="1" t="s">
        <v>211</v>
      </c>
      <c r="F155" s="1" t="s">
        <v>196</v>
      </c>
      <c r="G155" s="1" t="s">
        <v>198</v>
      </c>
      <c r="H155" s="126">
        <v>0.35</v>
      </c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</row>
    <row r="156" ht="15.75" customHeight="1">
      <c r="A156" s="102" t="s">
        <v>78</v>
      </c>
      <c r="B156" s="106">
        <v>45412.0</v>
      </c>
      <c r="C156" s="104">
        <v>45418.0</v>
      </c>
      <c r="D156" s="1" t="s">
        <v>213</v>
      </c>
      <c r="E156" s="1" t="s">
        <v>214</v>
      </c>
      <c r="F156" s="1" t="s">
        <v>196</v>
      </c>
      <c r="G156" s="1" t="s">
        <v>198</v>
      </c>
      <c r="H156" s="126">
        <v>0.35</v>
      </c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</row>
    <row r="157" ht="15.75" customHeight="1">
      <c r="A157" s="102" t="s">
        <v>78</v>
      </c>
      <c r="B157" s="106">
        <v>45412.0</v>
      </c>
      <c r="C157" s="104">
        <v>45418.0</v>
      </c>
      <c r="D157" s="1" t="s">
        <v>213</v>
      </c>
      <c r="E157" s="1" t="s">
        <v>578</v>
      </c>
      <c r="F157" s="1" t="s">
        <v>196</v>
      </c>
      <c r="G157" s="1" t="s">
        <v>198</v>
      </c>
      <c r="H157" s="126">
        <v>0.35</v>
      </c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</row>
    <row r="158" ht="15.75" customHeight="1">
      <c r="A158" s="102" t="s">
        <v>78</v>
      </c>
      <c r="B158" s="106">
        <v>45412.0</v>
      </c>
      <c r="C158" s="104">
        <v>45418.0</v>
      </c>
      <c r="D158" s="1" t="s">
        <v>213</v>
      </c>
      <c r="E158" s="1" t="s">
        <v>220</v>
      </c>
      <c r="F158" s="1" t="s">
        <v>196</v>
      </c>
      <c r="G158" s="1" t="s">
        <v>242</v>
      </c>
      <c r="H158" s="126">
        <v>0.2</v>
      </c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</row>
    <row r="159" ht="15.75" customHeight="1">
      <c r="A159" s="102" t="s">
        <v>78</v>
      </c>
      <c r="B159" s="106">
        <v>45426.0</v>
      </c>
      <c r="C159" s="104">
        <v>45432.0</v>
      </c>
      <c r="D159" s="1" t="s">
        <v>92</v>
      </c>
      <c r="E159" s="1" t="s">
        <v>25</v>
      </c>
      <c r="F159" s="1" t="s">
        <v>183</v>
      </c>
      <c r="G159" s="1" t="s">
        <v>468</v>
      </c>
      <c r="H159" s="126">
        <v>0.5</v>
      </c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</row>
    <row r="160" ht="15.75" customHeight="1">
      <c r="A160" s="102" t="s">
        <v>78</v>
      </c>
      <c r="B160" s="106">
        <v>45433.0</v>
      </c>
      <c r="C160" s="104">
        <v>45439.0</v>
      </c>
      <c r="D160" s="1" t="s">
        <v>92</v>
      </c>
      <c r="E160" s="1" t="s">
        <v>17</v>
      </c>
      <c r="F160" s="1" t="s">
        <v>95</v>
      </c>
      <c r="G160" s="1" t="s">
        <v>305</v>
      </c>
      <c r="H160" s="126">
        <v>0.5</v>
      </c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</row>
    <row r="161" ht="15.75" customHeight="1">
      <c r="A161" s="102" t="s">
        <v>78</v>
      </c>
      <c r="B161" s="106">
        <v>45440.0</v>
      </c>
      <c r="C161" s="104">
        <v>45446.0</v>
      </c>
      <c r="D161" s="1" t="s">
        <v>191</v>
      </c>
      <c r="E161" s="1" t="s">
        <v>99</v>
      </c>
      <c r="F161" s="1" t="s">
        <v>244</v>
      </c>
      <c r="G161" s="1" t="s">
        <v>245</v>
      </c>
      <c r="H161" s="126">
        <v>0.35</v>
      </c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</row>
    <row r="162" ht="15.75" customHeight="1">
      <c r="A162" s="102" t="s">
        <v>78</v>
      </c>
      <c r="B162" s="106">
        <v>45440.0</v>
      </c>
      <c r="C162" s="104">
        <v>45446.0</v>
      </c>
      <c r="D162" s="1" t="s">
        <v>191</v>
      </c>
      <c r="E162" s="1" t="s">
        <v>100</v>
      </c>
      <c r="F162" s="1" t="s">
        <v>244</v>
      </c>
      <c r="G162" s="1" t="s">
        <v>245</v>
      </c>
      <c r="H162" s="126">
        <v>0.35</v>
      </c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</row>
    <row r="163" ht="15.75" customHeight="1">
      <c r="A163" s="102" t="s">
        <v>78</v>
      </c>
      <c r="B163" s="106">
        <v>45440.0</v>
      </c>
      <c r="C163" s="104">
        <v>45446.0</v>
      </c>
      <c r="D163" s="1" t="s">
        <v>191</v>
      </c>
      <c r="E163" s="1" t="s">
        <v>102</v>
      </c>
      <c r="F163" s="1" t="s">
        <v>244</v>
      </c>
      <c r="G163" s="1" t="s">
        <v>252</v>
      </c>
      <c r="H163" s="126">
        <v>0.2</v>
      </c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</row>
    <row r="164" ht="15.75" customHeight="1">
      <c r="A164" s="102" t="s">
        <v>78</v>
      </c>
      <c r="B164" s="106">
        <v>45440.0</v>
      </c>
      <c r="C164" s="104">
        <v>45446.0</v>
      </c>
      <c r="D164" s="1" t="s">
        <v>582</v>
      </c>
      <c r="E164" s="1" t="s">
        <v>24</v>
      </c>
      <c r="F164" s="1" t="s">
        <v>88</v>
      </c>
      <c r="G164" s="1" t="s">
        <v>280</v>
      </c>
      <c r="H164" s="126">
        <v>0.6</v>
      </c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</row>
    <row r="165" ht="15.75" customHeight="1">
      <c r="A165" s="102" t="s">
        <v>78</v>
      </c>
      <c r="B165" s="106">
        <v>45447.0</v>
      </c>
      <c r="C165" s="104">
        <v>45460.0</v>
      </c>
      <c r="D165" s="1" t="s">
        <v>125</v>
      </c>
      <c r="E165" s="1" t="s">
        <v>19</v>
      </c>
      <c r="F165" s="1" t="s">
        <v>269</v>
      </c>
      <c r="G165" s="1" t="s">
        <v>184</v>
      </c>
      <c r="H165" s="126">
        <v>0.5</v>
      </c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</row>
    <row r="166" ht="15.75" customHeight="1">
      <c r="A166" s="102" t="s">
        <v>78</v>
      </c>
      <c r="B166" s="106">
        <v>45468.0</v>
      </c>
      <c r="C166" s="104">
        <v>45474.0</v>
      </c>
      <c r="D166" s="1" t="s">
        <v>92</v>
      </c>
      <c r="E166" s="1" t="s">
        <v>17</v>
      </c>
      <c r="F166" s="1" t="s">
        <v>95</v>
      </c>
      <c r="G166" s="1" t="s">
        <v>305</v>
      </c>
      <c r="H166" s="126">
        <v>0.5</v>
      </c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</row>
    <row r="167" ht="15.75" customHeight="1">
      <c r="A167" s="102" t="s">
        <v>78</v>
      </c>
      <c r="B167" s="106">
        <v>45468.0</v>
      </c>
      <c r="C167" s="104">
        <v>45474.0</v>
      </c>
      <c r="D167" s="1" t="s">
        <v>294</v>
      </c>
      <c r="E167" s="1" t="s">
        <v>195</v>
      </c>
      <c r="F167" s="1" t="s">
        <v>196</v>
      </c>
      <c r="G167" s="1" t="s">
        <v>198</v>
      </c>
      <c r="H167" s="126">
        <v>0.35</v>
      </c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</row>
    <row r="168" ht="15.75" customHeight="1">
      <c r="A168" s="102" t="s">
        <v>78</v>
      </c>
      <c r="B168" s="106">
        <v>45468.0</v>
      </c>
      <c r="C168" s="104">
        <v>45474.0</v>
      </c>
      <c r="D168" s="1" t="s">
        <v>294</v>
      </c>
      <c r="E168" s="1" t="s">
        <v>201</v>
      </c>
      <c r="F168" s="1" t="s">
        <v>196</v>
      </c>
      <c r="G168" s="1" t="s">
        <v>198</v>
      </c>
      <c r="H168" s="126">
        <v>0.35</v>
      </c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</row>
    <row r="169" ht="15.75" customHeight="1">
      <c r="A169" s="102" t="s">
        <v>78</v>
      </c>
      <c r="B169" s="106">
        <v>45468.0</v>
      </c>
      <c r="C169" s="104">
        <v>45474.0</v>
      </c>
      <c r="D169" s="1" t="s">
        <v>294</v>
      </c>
      <c r="E169" s="1" t="s">
        <v>203</v>
      </c>
      <c r="F169" s="1" t="s">
        <v>196</v>
      </c>
      <c r="G169" s="1" t="s">
        <v>198</v>
      </c>
      <c r="H169" s="126">
        <v>0.35</v>
      </c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</row>
    <row r="170" ht="15.75" customHeight="1">
      <c r="A170" s="102" t="s">
        <v>78</v>
      </c>
      <c r="B170" s="106">
        <v>45468.0</v>
      </c>
      <c r="C170" s="104">
        <v>45474.0</v>
      </c>
      <c r="D170" s="1" t="s">
        <v>294</v>
      </c>
      <c r="E170" s="1" t="s">
        <v>205</v>
      </c>
      <c r="F170" s="1" t="s">
        <v>131</v>
      </c>
      <c r="G170" s="1" t="s">
        <v>207</v>
      </c>
      <c r="H170" s="126">
        <v>0.35</v>
      </c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</row>
    <row r="171" ht="15.75" customHeight="1">
      <c r="A171" s="102" t="s">
        <v>78</v>
      </c>
      <c r="B171" s="106">
        <v>45468.0</v>
      </c>
      <c r="C171" s="104">
        <v>45474.0</v>
      </c>
      <c r="D171" s="1" t="s">
        <v>294</v>
      </c>
      <c r="E171" s="1" t="s">
        <v>209</v>
      </c>
      <c r="F171" s="1" t="s">
        <v>196</v>
      </c>
      <c r="G171" s="1" t="s">
        <v>198</v>
      </c>
      <c r="H171" s="126">
        <v>0.35</v>
      </c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</row>
    <row r="172" ht="15.75" customHeight="1">
      <c r="A172" s="102" t="s">
        <v>78</v>
      </c>
      <c r="B172" s="106">
        <v>45468.0</v>
      </c>
      <c r="C172" s="104">
        <v>45474.0</v>
      </c>
      <c r="D172" s="1" t="s">
        <v>294</v>
      </c>
      <c r="E172" s="1" t="s">
        <v>210</v>
      </c>
      <c r="F172" s="1" t="s">
        <v>196</v>
      </c>
      <c r="G172" s="1" t="s">
        <v>198</v>
      </c>
      <c r="H172" s="126">
        <v>0.35</v>
      </c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</row>
    <row r="173" ht="15.75" customHeight="1">
      <c r="A173" s="102" t="s">
        <v>78</v>
      </c>
      <c r="B173" s="106">
        <v>45468.0</v>
      </c>
      <c r="C173" s="104">
        <v>45474.0</v>
      </c>
      <c r="D173" s="1" t="s">
        <v>294</v>
      </c>
      <c r="E173" s="1" t="s">
        <v>211</v>
      </c>
      <c r="F173" s="1" t="s">
        <v>196</v>
      </c>
      <c r="G173" s="1" t="s">
        <v>198</v>
      </c>
      <c r="H173" s="126">
        <v>0.35</v>
      </c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</row>
    <row r="174" ht="15.75" customHeight="1">
      <c r="A174" s="102" t="s">
        <v>78</v>
      </c>
      <c r="B174" s="106">
        <v>45468.0</v>
      </c>
      <c r="C174" s="104">
        <v>45474.0</v>
      </c>
      <c r="D174" s="1" t="s">
        <v>294</v>
      </c>
      <c r="E174" s="1" t="s">
        <v>214</v>
      </c>
      <c r="F174" s="1" t="s">
        <v>196</v>
      </c>
      <c r="G174" s="1" t="s">
        <v>198</v>
      </c>
      <c r="H174" s="126">
        <v>0.35</v>
      </c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</row>
    <row r="175" ht="15.75" customHeight="1">
      <c r="A175" s="102" t="s">
        <v>78</v>
      </c>
      <c r="B175" s="106">
        <v>45468.0</v>
      </c>
      <c r="C175" s="104">
        <v>45474.0</v>
      </c>
      <c r="D175" s="1" t="s">
        <v>294</v>
      </c>
      <c r="E175" s="1" t="s">
        <v>578</v>
      </c>
      <c r="F175" s="1" t="s">
        <v>196</v>
      </c>
      <c r="G175" s="1" t="s">
        <v>198</v>
      </c>
      <c r="H175" s="126">
        <v>0.35</v>
      </c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</row>
    <row r="176" ht="15.75" customHeight="1">
      <c r="A176" s="102" t="s">
        <v>78</v>
      </c>
      <c r="B176" s="106">
        <v>45468.0</v>
      </c>
      <c r="C176" s="104">
        <v>45474.0</v>
      </c>
      <c r="D176" s="1" t="s">
        <v>294</v>
      </c>
      <c r="E176" s="1" t="s">
        <v>220</v>
      </c>
      <c r="F176" s="1" t="s">
        <v>196</v>
      </c>
      <c r="G176" s="1" t="s">
        <v>242</v>
      </c>
      <c r="H176" s="126">
        <v>0.2</v>
      </c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</row>
    <row r="177" ht="15.75" customHeight="1">
      <c r="A177" s="102" t="s">
        <v>78</v>
      </c>
      <c r="B177" s="106">
        <v>45475.0</v>
      </c>
      <c r="C177" s="104">
        <v>45481.0</v>
      </c>
      <c r="D177" s="1" t="s">
        <v>92</v>
      </c>
      <c r="E177" s="1" t="s">
        <v>25</v>
      </c>
      <c r="F177" s="1" t="s">
        <v>183</v>
      </c>
      <c r="G177" s="1" t="s">
        <v>468</v>
      </c>
      <c r="H177" s="126">
        <v>0.5</v>
      </c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</row>
    <row r="178" ht="15.75" customHeight="1">
      <c r="A178" s="102" t="s">
        <v>78</v>
      </c>
      <c r="B178" s="106">
        <v>45482.0</v>
      </c>
      <c r="C178" s="104">
        <v>45490.0</v>
      </c>
      <c r="D178" s="1" t="s">
        <v>542</v>
      </c>
      <c r="E178" s="1" t="s">
        <v>24</v>
      </c>
      <c r="F178" s="1" t="s">
        <v>88</v>
      </c>
      <c r="G178" s="1" t="s">
        <v>280</v>
      </c>
      <c r="H178" s="126">
        <v>0.6</v>
      </c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</row>
    <row r="179" ht="15.75" customHeight="1">
      <c r="A179" s="102" t="s">
        <v>78</v>
      </c>
      <c r="B179" s="106">
        <v>45491.0</v>
      </c>
      <c r="C179" s="104">
        <v>45504.0</v>
      </c>
      <c r="D179" s="1" t="s">
        <v>542</v>
      </c>
      <c r="E179" s="1" t="s">
        <v>24</v>
      </c>
      <c r="F179" s="1" t="s">
        <v>88</v>
      </c>
      <c r="G179" s="1" t="s">
        <v>280</v>
      </c>
      <c r="H179" s="126">
        <v>0.6</v>
      </c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</row>
    <row r="180" ht="15.75" customHeight="1">
      <c r="A180" s="102" t="s">
        <v>78</v>
      </c>
      <c r="B180" s="106">
        <v>45491.0</v>
      </c>
      <c r="C180" s="104">
        <v>45504.0</v>
      </c>
      <c r="D180" s="1" t="s">
        <v>125</v>
      </c>
      <c r="E180" s="1" t="s">
        <v>19</v>
      </c>
      <c r="F180" s="1" t="s">
        <v>269</v>
      </c>
      <c r="G180" s="1" t="s">
        <v>184</v>
      </c>
      <c r="H180" s="126">
        <v>0.5</v>
      </c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</row>
    <row r="181" ht="15.75" customHeight="1">
      <c r="A181" s="102" t="s">
        <v>78</v>
      </c>
      <c r="B181" s="106">
        <v>45505.0</v>
      </c>
      <c r="C181" s="104">
        <v>45516.0</v>
      </c>
      <c r="D181" s="1" t="s">
        <v>135</v>
      </c>
      <c r="E181" s="1" t="s">
        <v>195</v>
      </c>
      <c r="F181" s="1" t="s">
        <v>196</v>
      </c>
      <c r="G181" s="1" t="s">
        <v>198</v>
      </c>
      <c r="H181" s="126">
        <v>0.35</v>
      </c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</row>
    <row r="182" ht="15.75" customHeight="1">
      <c r="A182" s="102" t="s">
        <v>78</v>
      </c>
      <c r="B182" s="106">
        <v>45505.0</v>
      </c>
      <c r="C182" s="104">
        <v>45516.0</v>
      </c>
      <c r="D182" s="1" t="s">
        <v>135</v>
      </c>
      <c r="E182" s="1" t="s">
        <v>201</v>
      </c>
      <c r="F182" s="1" t="s">
        <v>196</v>
      </c>
      <c r="G182" s="1" t="s">
        <v>198</v>
      </c>
      <c r="H182" s="126">
        <v>0.35</v>
      </c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</row>
    <row r="183" ht="15.75" customHeight="1">
      <c r="A183" s="102" t="s">
        <v>78</v>
      </c>
      <c r="B183" s="106">
        <v>45505.0</v>
      </c>
      <c r="C183" s="104">
        <v>45516.0</v>
      </c>
      <c r="D183" s="1" t="s">
        <v>135</v>
      </c>
      <c r="E183" s="1" t="s">
        <v>203</v>
      </c>
      <c r="F183" s="1" t="s">
        <v>196</v>
      </c>
      <c r="G183" s="1" t="s">
        <v>198</v>
      </c>
      <c r="H183" s="126">
        <v>0.35</v>
      </c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</row>
    <row r="184" ht="15.75" customHeight="1">
      <c r="A184" s="102" t="s">
        <v>78</v>
      </c>
      <c r="B184" s="106">
        <v>45505.0</v>
      </c>
      <c r="C184" s="104">
        <v>45516.0</v>
      </c>
      <c r="D184" s="1" t="s">
        <v>135</v>
      </c>
      <c r="E184" s="1" t="s">
        <v>205</v>
      </c>
      <c r="F184" s="1" t="s">
        <v>131</v>
      </c>
      <c r="G184" s="1" t="s">
        <v>207</v>
      </c>
      <c r="H184" s="126">
        <v>0.35</v>
      </c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</row>
    <row r="185" ht="15.75" customHeight="1">
      <c r="A185" s="102" t="s">
        <v>78</v>
      </c>
      <c r="B185" s="106">
        <v>45505.0</v>
      </c>
      <c r="C185" s="104">
        <v>45516.0</v>
      </c>
      <c r="D185" s="1" t="s">
        <v>135</v>
      </c>
      <c r="E185" s="1" t="s">
        <v>209</v>
      </c>
      <c r="F185" s="1" t="s">
        <v>196</v>
      </c>
      <c r="G185" s="1" t="s">
        <v>198</v>
      </c>
      <c r="H185" s="126">
        <v>0.35</v>
      </c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</row>
    <row r="186" ht="15.75" customHeight="1">
      <c r="A186" s="102" t="s">
        <v>78</v>
      </c>
      <c r="B186" s="106">
        <v>45505.0</v>
      </c>
      <c r="C186" s="104">
        <v>45516.0</v>
      </c>
      <c r="D186" s="1" t="s">
        <v>135</v>
      </c>
      <c r="E186" s="1" t="s">
        <v>210</v>
      </c>
      <c r="F186" s="1" t="s">
        <v>196</v>
      </c>
      <c r="G186" s="1" t="s">
        <v>198</v>
      </c>
      <c r="H186" s="126">
        <v>0.35</v>
      </c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</row>
    <row r="187" ht="15.75" customHeight="1">
      <c r="A187" s="102" t="s">
        <v>78</v>
      </c>
      <c r="B187" s="106">
        <v>45505.0</v>
      </c>
      <c r="C187" s="104">
        <v>45516.0</v>
      </c>
      <c r="D187" s="1" t="s">
        <v>135</v>
      </c>
      <c r="E187" s="1" t="s">
        <v>211</v>
      </c>
      <c r="F187" s="1" t="s">
        <v>196</v>
      </c>
      <c r="G187" s="1" t="s">
        <v>198</v>
      </c>
      <c r="H187" s="126">
        <v>0.35</v>
      </c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</row>
    <row r="188" ht="15.75" customHeight="1">
      <c r="A188" s="102" t="s">
        <v>78</v>
      </c>
      <c r="B188" s="106">
        <v>45505.0</v>
      </c>
      <c r="C188" s="104">
        <v>45516.0</v>
      </c>
      <c r="D188" s="1" t="s">
        <v>135</v>
      </c>
      <c r="E188" s="1" t="s">
        <v>214</v>
      </c>
      <c r="F188" s="1" t="s">
        <v>196</v>
      </c>
      <c r="G188" s="1" t="s">
        <v>198</v>
      </c>
      <c r="H188" s="126">
        <v>0.35</v>
      </c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</row>
    <row r="189" ht="15.75" customHeight="1">
      <c r="A189" s="102" t="s">
        <v>78</v>
      </c>
      <c r="B189" s="106">
        <v>45505.0</v>
      </c>
      <c r="C189" s="104">
        <v>45516.0</v>
      </c>
      <c r="D189" s="1" t="s">
        <v>135</v>
      </c>
      <c r="E189" s="1" t="s">
        <v>578</v>
      </c>
      <c r="F189" s="1" t="s">
        <v>196</v>
      </c>
      <c r="G189" s="1" t="s">
        <v>198</v>
      </c>
      <c r="H189" s="126">
        <v>0.35</v>
      </c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</row>
    <row r="190" ht="15.75" customHeight="1">
      <c r="A190" s="102" t="s">
        <v>78</v>
      </c>
      <c r="B190" s="106">
        <v>45505.0</v>
      </c>
      <c r="C190" s="104">
        <v>45516.0</v>
      </c>
      <c r="D190" s="1" t="s">
        <v>135</v>
      </c>
      <c r="E190" s="1" t="s">
        <v>220</v>
      </c>
      <c r="F190" s="1" t="s">
        <v>196</v>
      </c>
      <c r="G190" s="1" t="s">
        <v>228</v>
      </c>
      <c r="H190" s="126">
        <v>0.3</v>
      </c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</row>
    <row r="191" ht="15.75" customHeight="1">
      <c r="A191" s="102" t="s">
        <v>78</v>
      </c>
      <c r="B191" s="106">
        <v>45505.0</v>
      </c>
      <c r="C191" s="104">
        <v>45516.0</v>
      </c>
      <c r="D191" s="1" t="s">
        <v>135</v>
      </c>
      <c r="E191" s="1" t="s">
        <v>221</v>
      </c>
      <c r="F191" s="1" t="s">
        <v>196</v>
      </c>
      <c r="G191" s="1" t="s">
        <v>242</v>
      </c>
      <c r="H191" s="126">
        <v>0.2</v>
      </c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</row>
    <row r="192" ht="15.75" customHeight="1">
      <c r="A192" s="102" t="s">
        <v>78</v>
      </c>
      <c r="B192" s="106">
        <v>45505.0</v>
      </c>
      <c r="C192" s="104">
        <v>45516.0</v>
      </c>
      <c r="D192" s="1" t="s">
        <v>135</v>
      </c>
      <c r="E192" s="1" t="s">
        <v>224</v>
      </c>
      <c r="F192" s="1" t="s">
        <v>131</v>
      </c>
      <c r="G192" s="1" t="s">
        <v>372</v>
      </c>
      <c r="H192" s="126">
        <v>0.2</v>
      </c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</row>
    <row r="193" ht="15.75" customHeight="1">
      <c r="A193" s="102" t="s">
        <v>78</v>
      </c>
      <c r="B193" s="106">
        <v>45505.0</v>
      </c>
      <c r="C193" s="104">
        <v>45516.0</v>
      </c>
      <c r="D193" s="1" t="s">
        <v>135</v>
      </c>
      <c r="E193" s="1" t="s">
        <v>99</v>
      </c>
      <c r="F193" s="1" t="s">
        <v>244</v>
      </c>
      <c r="G193" s="1" t="s">
        <v>245</v>
      </c>
      <c r="H193" s="126">
        <v>0.35</v>
      </c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</row>
    <row r="194" ht="15.75" customHeight="1">
      <c r="A194" s="102" t="s">
        <v>78</v>
      </c>
      <c r="B194" s="106">
        <v>45505.0</v>
      </c>
      <c r="C194" s="104">
        <v>45516.0</v>
      </c>
      <c r="D194" s="1" t="s">
        <v>135</v>
      </c>
      <c r="E194" s="1" t="s">
        <v>100</v>
      </c>
      <c r="F194" s="1" t="s">
        <v>244</v>
      </c>
      <c r="G194" s="1" t="s">
        <v>245</v>
      </c>
      <c r="H194" s="126">
        <v>0.35</v>
      </c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</row>
    <row r="195" ht="15.75" customHeight="1">
      <c r="A195" s="102" t="s">
        <v>78</v>
      </c>
      <c r="B195" s="106">
        <v>45505.0</v>
      </c>
      <c r="C195" s="104">
        <v>45516.0</v>
      </c>
      <c r="D195" s="1" t="s">
        <v>135</v>
      </c>
      <c r="E195" s="1" t="s">
        <v>102</v>
      </c>
      <c r="F195" s="1" t="s">
        <v>244</v>
      </c>
      <c r="G195" s="1" t="s">
        <v>472</v>
      </c>
      <c r="H195" s="126">
        <v>0.25</v>
      </c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</row>
    <row r="196" ht="15.75" customHeight="1">
      <c r="A196" s="102" t="s">
        <v>78</v>
      </c>
      <c r="B196" s="106">
        <v>45510.0</v>
      </c>
      <c r="C196" s="104">
        <v>45516.0</v>
      </c>
      <c r="D196" s="1" t="s">
        <v>92</v>
      </c>
      <c r="E196" s="1" t="s">
        <v>17</v>
      </c>
      <c r="F196" s="1" t="s">
        <v>95</v>
      </c>
      <c r="G196" s="1" t="s">
        <v>305</v>
      </c>
      <c r="H196" s="126">
        <v>0.5</v>
      </c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</row>
    <row r="197" ht="15.75" customHeight="1">
      <c r="A197" s="102" t="s">
        <v>78</v>
      </c>
      <c r="B197" s="106">
        <v>45517.0</v>
      </c>
      <c r="C197" s="104">
        <v>45530.0</v>
      </c>
      <c r="D197" s="1" t="s">
        <v>587</v>
      </c>
      <c r="E197" s="1" t="s">
        <v>25</v>
      </c>
      <c r="F197" s="1" t="s">
        <v>183</v>
      </c>
      <c r="G197" s="1" t="s">
        <v>468</v>
      </c>
      <c r="H197" s="126">
        <v>0.5</v>
      </c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</row>
    <row r="198" ht="15.75" customHeight="1">
      <c r="A198" s="102" t="s">
        <v>78</v>
      </c>
      <c r="B198" s="106">
        <v>45538.0</v>
      </c>
      <c r="C198" s="104">
        <v>45551.0</v>
      </c>
      <c r="D198" s="1" t="s">
        <v>542</v>
      </c>
      <c r="E198" s="1" t="s">
        <v>24</v>
      </c>
      <c r="F198" s="1" t="s">
        <v>88</v>
      </c>
      <c r="G198" s="1" t="s">
        <v>280</v>
      </c>
      <c r="H198" s="126">
        <v>0.6</v>
      </c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</row>
    <row r="199" ht="15.75" customHeight="1">
      <c r="A199" s="102" t="s">
        <v>78</v>
      </c>
      <c r="B199" s="106">
        <v>45552.0</v>
      </c>
      <c r="C199" s="104">
        <v>45558.0</v>
      </c>
      <c r="D199" s="1" t="s">
        <v>498</v>
      </c>
      <c r="E199" s="1" t="s">
        <v>17</v>
      </c>
      <c r="F199" s="1" t="s">
        <v>95</v>
      </c>
      <c r="G199" s="1" t="s">
        <v>305</v>
      </c>
      <c r="H199" s="126">
        <v>0.5</v>
      </c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</row>
    <row r="200" ht="15.75" customHeight="1">
      <c r="A200" s="102" t="s">
        <v>78</v>
      </c>
      <c r="B200" s="106">
        <v>45552.0</v>
      </c>
      <c r="C200" s="104">
        <v>45558.0</v>
      </c>
      <c r="D200" s="1" t="s">
        <v>191</v>
      </c>
      <c r="E200" s="1" t="s">
        <v>195</v>
      </c>
      <c r="F200" s="1" t="s">
        <v>196</v>
      </c>
      <c r="G200" s="1" t="s">
        <v>198</v>
      </c>
      <c r="H200" s="126">
        <v>0.35</v>
      </c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</row>
    <row r="201" ht="15.75" customHeight="1">
      <c r="A201" s="102" t="s">
        <v>78</v>
      </c>
      <c r="B201" s="106">
        <v>45552.0</v>
      </c>
      <c r="C201" s="104">
        <v>45558.0</v>
      </c>
      <c r="D201" s="1" t="s">
        <v>191</v>
      </c>
      <c r="E201" s="1" t="s">
        <v>201</v>
      </c>
      <c r="F201" s="1" t="s">
        <v>196</v>
      </c>
      <c r="G201" s="1" t="s">
        <v>198</v>
      </c>
      <c r="H201" s="126">
        <v>0.35</v>
      </c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</row>
    <row r="202" ht="15.75" customHeight="1">
      <c r="A202" s="102" t="s">
        <v>78</v>
      </c>
      <c r="B202" s="106">
        <v>45552.0</v>
      </c>
      <c r="C202" s="104">
        <v>45558.0</v>
      </c>
      <c r="D202" s="1" t="s">
        <v>191</v>
      </c>
      <c r="E202" s="1" t="s">
        <v>203</v>
      </c>
      <c r="F202" s="1" t="s">
        <v>196</v>
      </c>
      <c r="G202" s="1" t="s">
        <v>198</v>
      </c>
      <c r="H202" s="126">
        <v>0.35</v>
      </c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</row>
    <row r="203" ht="15.75" customHeight="1">
      <c r="A203" s="102" t="s">
        <v>78</v>
      </c>
      <c r="B203" s="106">
        <v>45552.0</v>
      </c>
      <c r="C203" s="104">
        <v>45558.0</v>
      </c>
      <c r="D203" s="1" t="s">
        <v>191</v>
      </c>
      <c r="E203" s="1" t="s">
        <v>205</v>
      </c>
      <c r="F203" s="1" t="s">
        <v>131</v>
      </c>
      <c r="G203" s="1" t="s">
        <v>207</v>
      </c>
      <c r="H203" s="126">
        <v>0.35</v>
      </c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</row>
    <row r="204" ht="15.75" customHeight="1">
      <c r="A204" s="102" t="s">
        <v>78</v>
      </c>
      <c r="B204" s="106">
        <v>45552.0</v>
      </c>
      <c r="C204" s="104">
        <v>45558.0</v>
      </c>
      <c r="D204" s="1" t="s">
        <v>191</v>
      </c>
      <c r="E204" s="1" t="s">
        <v>209</v>
      </c>
      <c r="F204" s="1" t="s">
        <v>196</v>
      </c>
      <c r="G204" s="1" t="s">
        <v>198</v>
      </c>
      <c r="H204" s="126">
        <v>0.35</v>
      </c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</row>
    <row r="205" ht="15.75" customHeight="1">
      <c r="A205" s="102" t="s">
        <v>78</v>
      </c>
      <c r="B205" s="106">
        <v>45552.0</v>
      </c>
      <c r="C205" s="104">
        <v>45558.0</v>
      </c>
      <c r="D205" s="1" t="s">
        <v>191</v>
      </c>
      <c r="E205" s="1" t="s">
        <v>210</v>
      </c>
      <c r="F205" s="1" t="s">
        <v>196</v>
      </c>
      <c r="G205" s="1" t="s">
        <v>198</v>
      </c>
      <c r="H205" s="126">
        <v>0.35</v>
      </c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</row>
    <row r="206" ht="15.75" customHeight="1">
      <c r="A206" s="102" t="s">
        <v>78</v>
      </c>
      <c r="B206" s="106">
        <v>45552.0</v>
      </c>
      <c r="C206" s="104">
        <v>45558.0</v>
      </c>
      <c r="D206" s="1" t="s">
        <v>191</v>
      </c>
      <c r="E206" s="1" t="s">
        <v>211</v>
      </c>
      <c r="F206" s="1" t="s">
        <v>196</v>
      </c>
      <c r="G206" s="1" t="s">
        <v>198</v>
      </c>
      <c r="H206" s="126">
        <v>0.35</v>
      </c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</row>
    <row r="207" ht="15.75" customHeight="1">
      <c r="A207" s="102" t="s">
        <v>78</v>
      </c>
      <c r="B207" s="106">
        <v>45552.0</v>
      </c>
      <c r="C207" s="104">
        <v>45558.0</v>
      </c>
      <c r="D207" s="1" t="s">
        <v>191</v>
      </c>
      <c r="E207" s="1" t="s">
        <v>214</v>
      </c>
      <c r="F207" s="1" t="s">
        <v>196</v>
      </c>
      <c r="G207" s="1" t="s">
        <v>198</v>
      </c>
      <c r="H207" s="126">
        <v>0.35</v>
      </c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</row>
    <row r="208" ht="15.75" customHeight="1">
      <c r="A208" s="102" t="s">
        <v>78</v>
      </c>
      <c r="B208" s="106">
        <v>45552.0</v>
      </c>
      <c r="C208" s="104">
        <v>45558.0</v>
      </c>
      <c r="D208" s="1" t="s">
        <v>191</v>
      </c>
      <c r="E208" s="1" t="s">
        <v>578</v>
      </c>
      <c r="F208" s="1" t="s">
        <v>196</v>
      </c>
      <c r="G208" s="1" t="s">
        <v>198</v>
      </c>
      <c r="H208" s="126">
        <v>0.35</v>
      </c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</row>
    <row r="209" ht="15.75" customHeight="1">
      <c r="A209" s="102" t="s">
        <v>78</v>
      </c>
      <c r="B209" s="106">
        <v>45552.0</v>
      </c>
      <c r="C209" s="104">
        <v>45558.0</v>
      </c>
      <c r="D209" s="1" t="s">
        <v>191</v>
      </c>
      <c r="E209" s="1" t="s">
        <v>220</v>
      </c>
      <c r="F209" s="1" t="s">
        <v>196</v>
      </c>
      <c r="G209" s="1" t="s">
        <v>228</v>
      </c>
      <c r="H209" s="126">
        <v>0.3</v>
      </c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</row>
    <row r="210" ht="15.75" customHeight="1">
      <c r="A210" s="102" t="s">
        <v>78</v>
      </c>
      <c r="B210" s="106">
        <v>45552.0</v>
      </c>
      <c r="C210" s="104">
        <v>45558.0</v>
      </c>
      <c r="D210" s="1" t="s">
        <v>191</v>
      </c>
      <c r="E210" s="1" t="s">
        <v>221</v>
      </c>
      <c r="F210" s="1" t="s">
        <v>196</v>
      </c>
      <c r="G210" s="1" t="s">
        <v>242</v>
      </c>
      <c r="H210" s="126">
        <v>0.2</v>
      </c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</row>
    <row r="211" ht="15.75" customHeight="1">
      <c r="A211" s="102" t="s">
        <v>78</v>
      </c>
      <c r="B211" s="106">
        <v>45552.0</v>
      </c>
      <c r="C211" s="104">
        <v>45558.0</v>
      </c>
      <c r="D211" s="1" t="s">
        <v>191</v>
      </c>
      <c r="E211" s="1" t="s">
        <v>224</v>
      </c>
      <c r="F211" s="1" t="s">
        <v>131</v>
      </c>
      <c r="G211" s="1" t="s">
        <v>372</v>
      </c>
      <c r="H211" s="126">
        <v>0.2</v>
      </c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</row>
    <row r="212" ht="15.75" customHeight="1">
      <c r="A212" s="102" t="s">
        <v>78</v>
      </c>
      <c r="B212" s="106">
        <v>45552.0</v>
      </c>
      <c r="C212" s="104">
        <v>45558.0</v>
      </c>
      <c r="D212" s="1" t="s">
        <v>191</v>
      </c>
      <c r="E212" s="1" t="s">
        <v>99</v>
      </c>
      <c r="F212" s="1" t="s">
        <v>244</v>
      </c>
      <c r="G212" s="1" t="s">
        <v>245</v>
      </c>
      <c r="H212" s="126">
        <v>0.35</v>
      </c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</row>
    <row r="213" ht="15.75" customHeight="1">
      <c r="A213" s="102" t="s">
        <v>78</v>
      </c>
      <c r="B213" s="106">
        <v>45552.0</v>
      </c>
      <c r="C213" s="104">
        <v>45558.0</v>
      </c>
      <c r="D213" s="1" t="s">
        <v>191</v>
      </c>
      <c r="E213" s="1" t="s">
        <v>100</v>
      </c>
      <c r="F213" s="1" t="s">
        <v>244</v>
      </c>
      <c r="G213" s="1" t="s">
        <v>245</v>
      </c>
      <c r="H213" s="126">
        <v>0.35</v>
      </c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</row>
    <row r="214" ht="15.75" customHeight="1">
      <c r="A214" s="102" t="s">
        <v>78</v>
      </c>
      <c r="B214" s="106">
        <v>45552.0</v>
      </c>
      <c r="C214" s="104">
        <v>45558.0</v>
      </c>
      <c r="D214" s="1" t="s">
        <v>191</v>
      </c>
      <c r="E214" s="1" t="s">
        <v>102</v>
      </c>
      <c r="F214" s="1" t="s">
        <v>244</v>
      </c>
      <c r="G214" s="1" t="s">
        <v>472</v>
      </c>
      <c r="H214" s="126">
        <v>0.25</v>
      </c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</row>
    <row r="215" ht="15.75" customHeight="1">
      <c r="A215" s="102" t="s">
        <v>78</v>
      </c>
      <c r="B215" s="106">
        <v>45559.0</v>
      </c>
      <c r="C215" s="104">
        <v>45565.0</v>
      </c>
      <c r="D215" s="1" t="s">
        <v>92</v>
      </c>
      <c r="E215" s="1" t="s">
        <v>19</v>
      </c>
      <c r="F215" s="1" t="s">
        <v>269</v>
      </c>
      <c r="G215" s="1" t="s">
        <v>184</v>
      </c>
      <c r="H215" s="126">
        <v>0.5</v>
      </c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</row>
    <row r="216" ht="15.75" customHeight="1">
      <c r="A216" s="102" t="s">
        <v>78</v>
      </c>
      <c r="B216" s="106">
        <v>45566.0</v>
      </c>
      <c r="C216" s="104">
        <v>45572.0</v>
      </c>
      <c r="D216" s="1" t="s">
        <v>92</v>
      </c>
      <c r="E216" s="1" t="s">
        <v>25</v>
      </c>
      <c r="F216" s="1" t="s">
        <v>183</v>
      </c>
      <c r="G216" s="1" t="s">
        <v>468</v>
      </c>
      <c r="H216" s="126">
        <v>0.5</v>
      </c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</row>
    <row r="217" ht="15.75" customHeight="1">
      <c r="A217" s="102" t="s">
        <v>78</v>
      </c>
      <c r="B217" s="112">
        <v>45573.375</v>
      </c>
      <c r="C217" s="112">
        <v>45579.375</v>
      </c>
      <c r="D217" s="113" t="s">
        <v>374</v>
      </c>
      <c r="E217" s="113" t="s">
        <v>20</v>
      </c>
      <c r="F217" s="114">
        <v>109.99</v>
      </c>
      <c r="G217" s="114">
        <v>76.993</v>
      </c>
      <c r="H217" s="115">
        <v>0.3</v>
      </c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</row>
    <row r="218" ht="15.75" customHeight="1">
      <c r="A218" s="102" t="s">
        <v>78</v>
      </c>
      <c r="B218" s="112">
        <v>45573.375</v>
      </c>
      <c r="C218" s="112">
        <v>45579.375</v>
      </c>
      <c r="D218" s="113" t="s">
        <v>374</v>
      </c>
      <c r="E218" s="113" t="s">
        <v>20</v>
      </c>
      <c r="F218" s="114">
        <v>104.99</v>
      </c>
      <c r="G218" s="114">
        <v>78.74249999999999</v>
      </c>
      <c r="H218" s="115">
        <v>0.25</v>
      </c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</row>
    <row r="219" ht="15.75" customHeight="1">
      <c r="A219" s="102" t="s">
        <v>78</v>
      </c>
      <c r="B219" s="112">
        <v>45580.375</v>
      </c>
      <c r="C219" s="112">
        <v>45586.375</v>
      </c>
      <c r="D219" s="113" t="s">
        <v>92</v>
      </c>
      <c r="E219" s="113" t="s">
        <v>24</v>
      </c>
      <c r="F219" s="114">
        <v>39.99</v>
      </c>
      <c r="G219" s="114">
        <v>15.996000000000002</v>
      </c>
      <c r="H219" s="115">
        <v>0.6</v>
      </c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</row>
    <row r="220" ht="15.75" customHeight="1">
      <c r="A220" s="102" t="s">
        <v>78</v>
      </c>
      <c r="B220" s="112">
        <v>45580.375</v>
      </c>
      <c r="C220" s="112">
        <v>45586.375</v>
      </c>
      <c r="D220" s="113" t="s">
        <v>92</v>
      </c>
      <c r="E220" s="113" t="s">
        <v>24</v>
      </c>
      <c r="F220" s="114">
        <v>29.99</v>
      </c>
      <c r="G220" s="114">
        <v>14.995</v>
      </c>
      <c r="H220" s="115">
        <v>0.5</v>
      </c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</row>
    <row r="221" ht="15.75" customHeight="1">
      <c r="A221" s="102" t="s">
        <v>78</v>
      </c>
      <c r="B221" s="112">
        <v>45587.375</v>
      </c>
      <c r="C221" s="112">
        <v>45593.33333333333</v>
      </c>
      <c r="D221" s="113" t="s">
        <v>92</v>
      </c>
      <c r="E221" s="113" t="s">
        <v>17</v>
      </c>
      <c r="F221" s="114">
        <v>49.99</v>
      </c>
      <c r="G221" s="114">
        <v>24.995</v>
      </c>
      <c r="H221" s="115">
        <v>0.5</v>
      </c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</row>
    <row r="222" ht="15.75" customHeight="1">
      <c r="A222" s="102" t="s">
        <v>78</v>
      </c>
      <c r="B222" s="112">
        <v>45587.375</v>
      </c>
      <c r="C222" s="112">
        <v>45593.33333333333</v>
      </c>
      <c r="D222" s="113" t="s">
        <v>92</v>
      </c>
      <c r="E222" s="113" t="s">
        <v>17</v>
      </c>
      <c r="F222" s="114">
        <v>39.99</v>
      </c>
      <c r="G222" s="114">
        <v>21.994500000000002</v>
      </c>
      <c r="H222" s="115">
        <v>0.45</v>
      </c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</row>
    <row r="223" ht="15.75" customHeight="1">
      <c r="A223" s="102" t="s">
        <v>78</v>
      </c>
      <c r="B223" s="112">
        <v>45587.375</v>
      </c>
      <c r="C223" s="112">
        <v>45593.33333333333</v>
      </c>
      <c r="D223" s="113" t="s">
        <v>191</v>
      </c>
      <c r="E223" s="113" t="s">
        <v>195</v>
      </c>
      <c r="F223" s="114">
        <v>6.99</v>
      </c>
      <c r="G223" s="114">
        <v>4.5435</v>
      </c>
      <c r="H223" s="115">
        <v>0.35</v>
      </c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</row>
    <row r="224" ht="15.75" customHeight="1">
      <c r="A224" s="102" t="s">
        <v>78</v>
      </c>
      <c r="B224" s="112">
        <v>45587.375</v>
      </c>
      <c r="C224" s="112">
        <v>45593.33333333333</v>
      </c>
      <c r="D224" s="113" t="s">
        <v>191</v>
      </c>
      <c r="E224" s="113" t="s">
        <v>195</v>
      </c>
      <c r="F224" s="114">
        <v>6.99</v>
      </c>
      <c r="G224" s="114">
        <v>4.5435</v>
      </c>
      <c r="H224" s="115">
        <v>0.35</v>
      </c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</row>
    <row r="225" ht="15.75" customHeight="1">
      <c r="A225" s="102" t="s">
        <v>78</v>
      </c>
      <c r="B225" s="112">
        <v>45587.375</v>
      </c>
      <c r="C225" s="112">
        <v>45593.33333333333</v>
      </c>
      <c r="D225" s="113" t="s">
        <v>191</v>
      </c>
      <c r="E225" s="113" t="s">
        <v>220</v>
      </c>
      <c r="F225" s="114">
        <v>6.99</v>
      </c>
      <c r="G225" s="114">
        <v>4.893</v>
      </c>
      <c r="H225" s="115">
        <v>0.3</v>
      </c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</row>
    <row r="226" ht="15.75" customHeight="1">
      <c r="A226" s="102" t="s">
        <v>78</v>
      </c>
      <c r="B226" s="112">
        <v>45587.375</v>
      </c>
      <c r="C226" s="112">
        <v>45593.33333333333</v>
      </c>
      <c r="D226" s="113" t="s">
        <v>191</v>
      </c>
      <c r="E226" s="113" t="s">
        <v>220</v>
      </c>
      <c r="F226" s="114">
        <v>6.99</v>
      </c>
      <c r="G226" s="114">
        <v>5.5920000000000005</v>
      </c>
      <c r="H226" s="115">
        <v>0.2</v>
      </c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</row>
    <row r="227" ht="15.75" customHeight="1">
      <c r="A227" s="102" t="s">
        <v>78</v>
      </c>
      <c r="B227" s="112">
        <v>45587.375</v>
      </c>
      <c r="C227" s="112">
        <v>45593.33333333333</v>
      </c>
      <c r="D227" s="113" t="s">
        <v>191</v>
      </c>
      <c r="E227" s="113" t="s">
        <v>598</v>
      </c>
      <c r="F227" s="114">
        <v>6.99</v>
      </c>
      <c r="G227" s="114">
        <v>5.5920000000000005</v>
      </c>
      <c r="H227" s="115">
        <v>0.2</v>
      </c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</row>
    <row r="228" ht="15.75" customHeight="1">
      <c r="A228" s="102" t="s">
        <v>78</v>
      </c>
      <c r="B228" s="112">
        <v>45587.375</v>
      </c>
      <c r="C228" s="112">
        <v>45593.33333333333</v>
      </c>
      <c r="D228" s="113" t="s">
        <v>191</v>
      </c>
      <c r="E228" s="113" t="s">
        <v>598</v>
      </c>
      <c r="F228" s="114">
        <v>6.99</v>
      </c>
      <c r="G228" s="114">
        <v>5.5920000000000005</v>
      </c>
      <c r="H228" s="115">
        <v>0.2</v>
      </c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</row>
    <row r="229" ht="15.75" customHeight="1">
      <c r="A229" s="102" t="s">
        <v>78</v>
      </c>
      <c r="B229" s="112">
        <v>45587.375</v>
      </c>
      <c r="C229" s="112">
        <v>45593.33333333333</v>
      </c>
      <c r="D229" s="113" t="s">
        <v>191</v>
      </c>
      <c r="E229" s="113" t="s">
        <v>600</v>
      </c>
      <c r="F229" s="114">
        <v>11.99</v>
      </c>
      <c r="G229" s="114">
        <v>9.592</v>
      </c>
      <c r="H229" s="115">
        <v>0.2</v>
      </c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</row>
    <row r="230" ht="15.75" customHeight="1">
      <c r="A230" s="102" t="s">
        <v>78</v>
      </c>
      <c r="B230" s="112">
        <v>45587.375</v>
      </c>
      <c r="C230" s="112">
        <v>45593.33333333333</v>
      </c>
      <c r="D230" s="113" t="s">
        <v>191</v>
      </c>
      <c r="E230" s="113" t="s">
        <v>600</v>
      </c>
      <c r="F230" s="114">
        <v>12.0</v>
      </c>
      <c r="G230" s="114">
        <v>9.600000000000001</v>
      </c>
      <c r="H230" s="115">
        <v>0.2</v>
      </c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</row>
    <row r="231" ht="15.75" customHeight="1">
      <c r="A231" s="102" t="s">
        <v>78</v>
      </c>
      <c r="B231" s="112">
        <v>45587.375</v>
      </c>
      <c r="C231" s="112">
        <v>45593.33333333333</v>
      </c>
      <c r="D231" s="113" t="s">
        <v>191</v>
      </c>
      <c r="E231" s="113" t="s">
        <v>201</v>
      </c>
      <c r="F231" s="114">
        <v>6.99</v>
      </c>
      <c r="G231" s="114">
        <v>4.5435</v>
      </c>
      <c r="H231" s="115">
        <v>0.35</v>
      </c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</row>
    <row r="232" ht="15.75" customHeight="1">
      <c r="A232" s="102" t="s">
        <v>78</v>
      </c>
      <c r="B232" s="112">
        <v>45587.375</v>
      </c>
      <c r="C232" s="112">
        <v>45593.33333333333</v>
      </c>
      <c r="D232" s="113" t="s">
        <v>191</v>
      </c>
      <c r="E232" s="113" t="s">
        <v>201</v>
      </c>
      <c r="F232" s="114">
        <v>6.99</v>
      </c>
      <c r="G232" s="114">
        <v>4.5435</v>
      </c>
      <c r="H232" s="115">
        <v>0.35</v>
      </c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</row>
    <row r="233" ht="15.75" customHeight="1">
      <c r="A233" s="102" t="s">
        <v>78</v>
      </c>
      <c r="B233" s="112">
        <v>45587.375</v>
      </c>
      <c r="C233" s="112">
        <v>45593.33333333333</v>
      </c>
      <c r="D233" s="113" t="s">
        <v>191</v>
      </c>
      <c r="E233" s="113" t="s">
        <v>203</v>
      </c>
      <c r="F233" s="114">
        <v>6.99</v>
      </c>
      <c r="G233" s="114">
        <v>4.5435</v>
      </c>
      <c r="H233" s="115">
        <v>0.35</v>
      </c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</row>
    <row r="234" ht="15.75" customHeight="1">
      <c r="A234" s="102" t="s">
        <v>78</v>
      </c>
      <c r="B234" s="112">
        <v>45587.375</v>
      </c>
      <c r="C234" s="112">
        <v>45593.33333333333</v>
      </c>
      <c r="D234" s="113" t="s">
        <v>191</v>
      </c>
      <c r="E234" s="113" t="s">
        <v>203</v>
      </c>
      <c r="F234" s="114">
        <v>6.99</v>
      </c>
      <c r="G234" s="114">
        <v>4.5435</v>
      </c>
      <c r="H234" s="115">
        <v>0.35</v>
      </c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</row>
    <row r="235" ht="15.75" customHeight="1">
      <c r="A235" s="102" t="s">
        <v>78</v>
      </c>
      <c r="B235" s="112">
        <v>45587.375</v>
      </c>
      <c r="C235" s="112">
        <v>45593.33333333333</v>
      </c>
      <c r="D235" s="113" t="s">
        <v>191</v>
      </c>
      <c r="E235" s="113" t="s">
        <v>205</v>
      </c>
      <c r="F235" s="114">
        <v>11.99</v>
      </c>
      <c r="G235" s="114">
        <v>7.793500000000001</v>
      </c>
      <c r="H235" s="115">
        <v>0.35</v>
      </c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</row>
    <row r="236" ht="15.75" customHeight="1">
      <c r="A236" s="102" t="s">
        <v>78</v>
      </c>
      <c r="B236" s="112">
        <v>45587.375</v>
      </c>
      <c r="C236" s="112">
        <v>45593.33333333333</v>
      </c>
      <c r="D236" s="113" t="s">
        <v>191</v>
      </c>
      <c r="E236" s="113" t="s">
        <v>205</v>
      </c>
      <c r="F236" s="114">
        <v>11.99</v>
      </c>
      <c r="G236" s="114">
        <v>7.793500000000001</v>
      </c>
      <c r="H236" s="115">
        <v>0.35</v>
      </c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</row>
    <row r="237" ht="15.75" customHeight="1">
      <c r="A237" s="102" t="s">
        <v>78</v>
      </c>
      <c r="B237" s="112">
        <v>45587.375</v>
      </c>
      <c r="C237" s="112">
        <v>45593.33333333333</v>
      </c>
      <c r="D237" s="113" t="s">
        <v>191</v>
      </c>
      <c r="E237" s="113" t="s">
        <v>209</v>
      </c>
      <c r="F237" s="114">
        <v>6.99</v>
      </c>
      <c r="G237" s="114">
        <v>4.5435</v>
      </c>
      <c r="H237" s="115">
        <v>0.35</v>
      </c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</row>
    <row r="238" ht="15.75" customHeight="1">
      <c r="A238" s="102" t="s">
        <v>78</v>
      </c>
      <c r="B238" s="112">
        <v>45587.375</v>
      </c>
      <c r="C238" s="112">
        <v>45593.33333333333</v>
      </c>
      <c r="D238" s="113" t="s">
        <v>191</v>
      </c>
      <c r="E238" s="113" t="s">
        <v>209</v>
      </c>
      <c r="F238" s="114">
        <v>6.99</v>
      </c>
      <c r="G238" s="114">
        <v>4.5435</v>
      </c>
      <c r="H238" s="115">
        <v>0.35</v>
      </c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</row>
    <row r="239" ht="15.75" customHeight="1">
      <c r="A239" s="102" t="s">
        <v>78</v>
      </c>
      <c r="B239" s="112">
        <v>45587.375</v>
      </c>
      <c r="C239" s="112">
        <v>45593.33333333333</v>
      </c>
      <c r="D239" s="113" t="s">
        <v>191</v>
      </c>
      <c r="E239" s="113" t="s">
        <v>291</v>
      </c>
      <c r="F239" s="114">
        <v>6.99</v>
      </c>
      <c r="G239" s="114">
        <v>4.5435</v>
      </c>
      <c r="H239" s="115">
        <v>0.35</v>
      </c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</row>
    <row r="240" ht="15.75" customHeight="1">
      <c r="A240" s="102" t="s">
        <v>78</v>
      </c>
      <c r="B240" s="112">
        <v>45587.375</v>
      </c>
      <c r="C240" s="112">
        <v>45593.33333333333</v>
      </c>
      <c r="D240" s="113" t="s">
        <v>191</v>
      </c>
      <c r="E240" s="113" t="s">
        <v>291</v>
      </c>
      <c r="F240" s="114">
        <v>6.99</v>
      </c>
      <c r="G240" s="114">
        <v>4.5435</v>
      </c>
      <c r="H240" s="115">
        <v>0.35</v>
      </c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</row>
    <row r="241" ht="15.75" customHeight="1">
      <c r="A241" s="102" t="s">
        <v>78</v>
      </c>
      <c r="B241" s="112">
        <v>45587.375</v>
      </c>
      <c r="C241" s="112">
        <v>45593.33333333333</v>
      </c>
      <c r="D241" s="113" t="s">
        <v>191</v>
      </c>
      <c r="E241" s="113" t="s">
        <v>292</v>
      </c>
      <c r="F241" s="114">
        <v>6.99</v>
      </c>
      <c r="G241" s="114">
        <v>4.5435</v>
      </c>
      <c r="H241" s="115">
        <v>0.35</v>
      </c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</row>
    <row r="242" ht="15.75" customHeight="1">
      <c r="A242" s="102" t="s">
        <v>78</v>
      </c>
      <c r="B242" s="112">
        <v>45587.375</v>
      </c>
      <c r="C242" s="112">
        <v>45593.33333333333</v>
      </c>
      <c r="D242" s="113" t="s">
        <v>191</v>
      </c>
      <c r="E242" s="113" t="s">
        <v>292</v>
      </c>
      <c r="F242" s="114">
        <v>6.99</v>
      </c>
      <c r="G242" s="114">
        <v>4.5435</v>
      </c>
      <c r="H242" s="115">
        <v>0.35</v>
      </c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</row>
    <row r="243" ht="15.75" customHeight="1">
      <c r="A243" s="102" t="s">
        <v>78</v>
      </c>
      <c r="B243" s="112">
        <v>45587.375</v>
      </c>
      <c r="C243" s="112">
        <v>45593.33333333333</v>
      </c>
      <c r="D243" s="113" t="s">
        <v>191</v>
      </c>
      <c r="E243" s="113" t="s">
        <v>293</v>
      </c>
      <c r="F243" s="114">
        <v>6.99</v>
      </c>
      <c r="G243" s="114">
        <v>4.5435</v>
      </c>
      <c r="H243" s="115">
        <v>0.35</v>
      </c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</row>
    <row r="244" ht="15.75" customHeight="1">
      <c r="A244" s="102" t="s">
        <v>78</v>
      </c>
      <c r="B244" s="112">
        <v>45587.375</v>
      </c>
      <c r="C244" s="112">
        <v>45593.33333333333</v>
      </c>
      <c r="D244" s="113" t="s">
        <v>191</v>
      </c>
      <c r="E244" s="113" t="s">
        <v>293</v>
      </c>
      <c r="F244" s="114">
        <v>6.99</v>
      </c>
      <c r="G244" s="114">
        <v>4.5435</v>
      </c>
      <c r="H244" s="115">
        <v>0.35</v>
      </c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</row>
    <row r="245" ht="15.75" customHeight="1">
      <c r="A245" s="102" t="s">
        <v>78</v>
      </c>
      <c r="B245" s="112">
        <v>45587.375</v>
      </c>
      <c r="C245" s="112">
        <v>45593.33333333333</v>
      </c>
      <c r="D245" s="113" t="s">
        <v>191</v>
      </c>
      <c r="E245" s="113" t="s">
        <v>295</v>
      </c>
      <c r="F245" s="114">
        <v>6.99</v>
      </c>
      <c r="G245" s="114">
        <v>4.5435</v>
      </c>
      <c r="H245" s="115">
        <v>0.35</v>
      </c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</row>
    <row r="246" ht="15.75" customHeight="1">
      <c r="A246" s="102" t="s">
        <v>78</v>
      </c>
      <c r="B246" s="112">
        <v>45587.375</v>
      </c>
      <c r="C246" s="112">
        <v>45593.33333333333</v>
      </c>
      <c r="D246" s="113" t="s">
        <v>191</v>
      </c>
      <c r="E246" s="113" t="s">
        <v>295</v>
      </c>
      <c r="F246" s="114">
        <v>6.99</v>
      </c>
      <c r="G246" s="114">
        <v>4.5435</v>
      </c>
      <c r="H246" s="115">
        <v>0.35</v>
      </c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</row>
    <row r="247" ht="15.75" customHeight="1">
      <c r="A247" s="102" t="s">
        <v>78</v>
      </c>
      <c r="B247" s="112">
        <v>45601.375</v>
      </c>
      <c r="C247" s="112">
        <v>45607.375</v>
      </c>
      <c r="D247" s="113" t="s">
        <v>92</v>
      </c>
      <c r="E247" s="113" t="s">
        <v>19</v>
      </c>
      <c r="F247" s="114">
        <v>79.99</v>
      </c>
      <c r="G247" s="114">
        <v>39.995</v>
      </c>
      <c r="H247" s="115">
        <v>0.5</v>
      </c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</row>
    <row r="248" ht="15.75" customHeight="1">
      <c r="A248" s="102" t="s">
        <v>78</v>
      </c>
      <c r="B248" s="112">
        <v>45601.375</v>
      </c>
      <c r="C248" s="112">
        <v>45607.375</v>
      </c>
      <c r="D248" s="113" t="s">
        <v>92</v>
      </c>
      <c r="E248" s="113" t="s">
        <v>19</v>
      </c>
      <c r="F248" s="114">
        <v>79.99</v>
      </c>
      <c r="G248" s="114">
        <v>47.99399999999999</v>
      </c>
      <c r="H248" s="115">
        <v>0.4</v>
      </c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</row>
    <row r="249" ht="15.75" customHeight="1">
      <c r="A249" s="102" t="s">
        <v>78</v>
      </c>
      <c r="B249" s="112">
        <v>45608.375</v>
      </c>
      <c r="C249" s="112">
        <v>45614.375</v>
      </c>
      <c r="D249" s="113" t="s">
        <v>92</v>
      </c>
      <c r="E249" s="113" t="s">
        <v>25</v>
      </c>
      <c r="F249" s="114">
        <v>99.99</v>
      </c>
      <c r="G249" s="114">
        <v>49.995</v>
      </c>
      <c r="H249" s="115">
        <v>0.5</v>
      </c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</row>
    <row r="250" ht="15.75" customHeight="1">
      <c r="A250" s="102" t="s">
        <v>78</v>
      </c>
      <c r="B250" s="112">
        <v>45608.375</v>
      </c>
      <c r="C250" s="112">
        <v>45614.375</v>
      </c>
      <c r="D250" s="113" t="s">
        <v>92</v>
      </c>
      <c r="E250" s="113" t="s">
        <v>25</v>
      </c>
      <c r="F250" s="114">
        <v>91.49</v>
      </c>
      <c r="G250" s="114">
        <v>54.894</v>
      </c>
      <c r="H250" s="115">
        <v>0.4</v>
      </c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</row>
    <row r="251" ht="15.75" customHeight="1">
      <c r="A251" s="102" t="s">
        <v>78</v>
      </c>
      <c r="B251" s="112">
        <v>45611.375</v>
      </c>
      <c r="C251" s="112">
        <v>45628.375</v>
      </c>
      <c r="D251" s="113" t="s">
        <v>103</v>
      </c>
      <c r="E251" s="113" t="s">
        <v>24</v>
      </c>
      <c r="F251" s="114">
        <v>39.99</v>
      </c>
      <c r="G251" s="114">
        <v>15.996000000000002</v>
      </c>
      <c r="H251" s="115">
        <v>0.6</v>
      </c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</row>
    <row r="252" ht="15.75" customHeight="1">
      <c r="A252" s="102" t="s">
        <v>78</v>
      </c>
      <c r="B252" s="112">
        <v>45611.375</v>
      </c>
      <c r="C252" s="112">
        <v>45628.375</v>
      </c>
      <c r="D252" s="113" t="s">
        <v>103</v>
      </c>
      <c r="E252" s="113" t="s">
        <v>24</v>
      </c>
      <c r="F252" s="114">
        <v>29.99</v>
      </c>
      <c r="G252" s="114">
        <v>14.995</v>
      </c>
      <c r="H252" s="115">
        <v>0.5</v>
      </c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</row>
    <row r="253" ht="15.75" customHeight="1">
      <c r="A253" s="102" t="s">
        <v>78</v>
      </c>
      <c r="B253" s="112">
        <v>45611.375</v>
      </c>
      <c r="C253" s="112">
        <v>45628.375</v>
      </c>
      <c r="D253" s="113" t="s">
        <v>103</v>
      </c>
      <c r="E253" s="113" t="s">
        <v>20</v>
      </c>
      <c r="F253" s="114">
        <v>109.99</v>
      </c>
      <c r="G253" s="114">
        <v>76.993</v>
      </c>
      <c r="H253" s="115">
        <v>0.3</v>
      </c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</row>
    <row r="254" ht="15.75" customHeight="1">
      <c r="A254" s="102" t="s">
        <v>78</v>
      </c>
      <c r="B254" s="112">
        <v>45611.375</v>
      </c>
      <c r="C254" s="112">
        <v>45628.375</v>
      </c>
      <c r="D254" s="113" t="s">
        <v>103</v>
      </c>
      <c r="E254" s="113" t="s">
        <v>20</v>
      </c>
      <c r="F254" s="114">
        <v>104.99</v>
      </c>
      <c r="G254" s="114">
        <v>78.74249999999999</v>
      </c>
      <c r="H254" s="115">
        <v>0.25</v>
      </c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</row>
    <row r="255" ht="15.75" customHeight="1">
      <c r="A255" s="102" t="s">
        <v>78</v>
      </c>
      <c r="B255" s="112">
        <v>45622.375</v>
      </c>
      <c r="C255" s="112">
        <v>45628.375</v>
      </c>
      <c r="D255" s="113" t="s">
        <v>191</v>
      </c>
      <c r="E255" s="113" t="s">
        <v>18</v>
      </c>
      <c r="F255" s="114">
        <v>24.99</v>
      </c>
      <c r="G255" s="114">
        <v>16.2435</v>
      </c>
      <c r="H255" s="115">
        <v>0.35</v>
      </c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</row>
    <row r="256" ht="15.75" customHeight="1">
      <c r="A256" s="102" t="s">
        <v>78</v>
      </c>
      <c r="B256" s="112">
        <v>45622.375</v>
      </c>
      <c r="C256" s="112">
        <v>45628.375</v>
      </c>
      <c r="D256" s="113" t="s">
        <v>191</v>
      </c>
      <c r="E256" s="113" t="s">
        <v>18</v>
      </c>
      <c r="F256" s="114">
        <v>24.99</v>
      </c>
      <c r="G256" s="114">
        <v>17.493</v>
      </c>
      <c r="H256" s="115">
        <v>0.3</v>
      </c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</row>
    <row r="257" ht="15.75" customHeight="1">
      <c r="A257" s="102" t="s">
        <v>78</v>
      </c>
      <c r="B257" s="112">
        <v>45622.375</v>
      </c>
      <c r="C257" s="112">
        <v>45628.375</v>
      </c>
      <c r="D257" s="113" t="s">
        <v>191</v>
      </c>
      <c r="E257" s="113" t="s">
        <v>32</v>
      </c>
      <c r="F257" s="114">
        <v>24.99</v>
      </c>
      <c r="G257" s="114">
        <v>16.2435</v>
      </c>
      <c r="H257" s="115">
        <v>0.35</v>
      </c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</row>
    <row r="258" ht="15.75" customHeight="1">
      <c r="A258" s="102" t="s">
        <v>78</v>
      </c>
      <c r="B258" s="112">
        <v>45622.375</v>
      </c>
      <c r="C258" s="112">
        <v>45628.375</v>
      </c>
      <c r="D258" s="113" t="s">
        <v>191</v>
      </c>
      <c r="E258" s="113" t="s">
        <v>32</v>
      </c>
      <c r="F258" s="114">
        <v>24.99</v>
      </c>
      <c r="G258" s="114">
        <v>17.493</v>
      </c>
      <c r="H258" s="115">
        <v>0.3</v>
      </c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</row>
    <row r="259" ht="15.75" customHeight="1">
      <c r="A259" s="102" t="s">
        <v>78</v>
      </c>
      <c r="B259" s="112">
        <v>45622.375</v>
      </c>
      <c r="C259" s="112">
        <v>45628.375</v>
      </c>
      <c r="D259" s="113" t="s">
        <v>191</v>
      </c>
      <c r="E259" s="113" t="s">
        <v>32</v>
      </c>
      <c r="F259" s="114">
        <v>24.99</v>
      </c>
      <c r="G259" s="114">
        <v>18.7425</v>
      </c>
      <c r="H259" s="115">
        <v>0.25</v>
      </c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</row>
    <row r="260" ht="15.75" customHeight="1">
      <c r="A260" s="102" t="s">
        <v>78</v>
      </c>
      <c r="B260" s="112">
        <v>45622.375</v>
      </c>
      <c r="C260" s="112">
        <v>45628.375</v>
      </c>
      <c r="D260" s="113" t="s">
        <v>191</v>
      </c>
      <c r="E260" s="113" t="s">
        <v>32</v>
      </c>
      <c r="F260" s="114">
        <v>24.99</v>
      </c>
      <c r="G260" s="114">
        <v>18.7425</v>
      </c>
      <c r="H260" s="115">
        <v>0.25</v>
      </c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</row>
    <row r="261" ht="15.75" customHeight="1">
      <c r="A261" s="102" t="s">
        <v>78</v>
      </c>
      <c r="B261" s="112">
        <v>45629.375</v>
      </c>
      <c r="C261" s="112">
        <v>45638.375</v>
      </c>
      <c r="D261" s="113" t="s">
        <v>138</v>
      </c>
      <c r="E261" s="113" t="s">
        <v>195</v>
      </c>
      <c r="F261" s="114">
        <v>6.99</v>
      </c>
      <c r="G261" s="114">
        <v>4.5435</v>
      </c>
      <c r="H261" s="115">
        <v>0.35</v>
      </c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</row>
    <row r="262" ht="15.75" customHeight="1">
      <c r="A262" s="102" t="s">
        <v>78</v>
      </c>
      <c r="B262" s="112">
        <v>45629.375</v>
      </c>
      <c r="C262" s="112">
        <v>45638.375</v>
      </c>
      <c r="D262" s="113" t="s">
        <v>138</v>
      </c>
      <c r="E262" s="113" t="s">
        <v>195</v>
      </c>
      <c r="F262" s="114">
        <v>6.99</v>
      </c>
      <c r="G262" s="114">
        <v>4.5435</v>
      </c>
      <c r="H262" s="115">
        <v>0.35</v>
      </c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</row>
    <row r="263" ht="15.75" customHeight="1">
      <c r="A263" s="102" t="s">
        <v>78</v>
      </c>
      <c r="B263" s="112">
        <v>45629.375</v>
      </c>
      <c r="C263" s="112">
        <v>45638.375</v>
      </c>
      <c r="D263" s="113" t="s">
        <v>138</v>
      </c>
      <c r="E263" s="113" t="s">
        <v>220</v>
      </c>
      <c r="F263" s="114">
        <v>6.99</v>
      </c>
      <c r="G263" s="114">
        <v>4.893</v>
      </c>
      <c r="H263" s="115">
        <v>0.3</v>
      </c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</row>
    <row r="264" ht="15.75" customHeight="1">
      <c r="A264" s="102" t="s">
        <v>78</v>
      </c>
      <c r="B264" s="112">
        <v>45629.375</v>
      </c>
      <c r="C264" s="112">
        <v>45638.375</v>
      </c>
      <c r="D264" s="113" t="s">
        <v>138</v>
      </c>
      <c r="E264" s="113" t="s">
        <v>220</v>
      </c>
      <c r="F264" s="114">
        <v>6.99</v>
      </c>
      <c r="G264" s="114">
        <v>5.5920000000000005</v>
      </c>
      <c r="H264" s="115">
        <v>0.2</v>
      </c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</row>
    <row r="265" ht="15.75" customHeight="1">
      <c r="A265" s="102" t="s">
        <v>78</v>
      </c>
      <c r="B265" s="112">
        <v>45629.375</v>
      </c>
      <c r="C265" s="112">
        <v>45638.375</v>
      </c>
      <c r="D265" s="113" t="s">
        <v>138</v>
      </c>
      <c r="E265" s="113" t="s">
        <v>598</v>
      </c>
      <c r="F265" s="114">
        <v>6.99</v>
      </c>
      <c r="G265" s="114">
        <v>5.5920000000000005</v>
      </c>
      <c r="H265" s="115">
        <v>0.2</v>
      </c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</row>
    <row r="266" ht="15.75" customHeight="1">
      <c r="A266" s="102" t="s">
        <v>78</v>
      </c>
      <c r="B266" s="112">
        <v>45629.375</v>
      </c>
      <c r="C266" s="112">
        <v>45638.375</v>
      </c>
      <c r="D266" s="113" t="s">
        <v>138</v>
      </c>
      <c r="E266" s="113" t="s">
        <v>598</v>
      </c>
      <c r="F266" s="114">
        <v>6.99</v>
      </c>
      <c r="G266" s="114">
        <v>5.5920000000000005</v>
      </c>
      <c r="H266" s="115">
        <v>0.2</v>
      </c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</row>
    <row r="267" ht="15.75" customHeight="1">
      <c r="A267" s="102" t="s">
        <v>78</v>
      </c>
      <c r="B267" s="112">
        <v>45629.375</v>
      </c>
      <c r="C267" s="112">
        <v>45638.375</v>
      </c>
      <c r="D267" s="113" t="s">
        <v>138</v>
      </c>
      <c r="E267" s="113" t="s">
        <v>600</v>
      </c>
      <c r="F267" s="114">
        <v>11.99</v>
      </c>
      <c r="G267" s="114">
        <v>9.592</v>
      </c>
      <c r="H267" s="115">
        <v>0.2</v>
      </c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</row>
    <row r="268" ht="15.75" customHeight="1">
      <c r="A268" s="102" t="s">
        <v>78</v>
      </c>
      <c r="B268" s="112">
        <v>45629.375</v>
      </c>
      <c r="C268" s="112">
        <v>45638.375</v>
      </c>
      <c r="D268" s="113" t="s">
        <v>138</v>
      </c>
      <c r="E268" s="113" t="s">
        <v>600</v>
      </c>
      <c r="F268" s="114">
        <v>11.99</v>
      </c>
      <c r="G268" s="114">
        <v>9.592</v>
      </c>
      <c r="H268" s="115">
        <v>0.2</v>
      </c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</row>
    <row r="269" ht="15.75" customHeight="1">
      <c r="A269" s="102" t="s">
        <v>78</v>
      </c>
      <c r="B269" s="112">
        <v>45629.375</v>
      </c>
      <c r="C269" s="112">
        <v>45638.375</v>
      </c>
      <c r="D269" s="113" t="s">
        <v>138</v>
      </c>
      <c r="E269" s="113" t="s">
        <v>201</v>
      </c>
      <c r="F269" s="114">
        <v>6.99</v>
      </c>
      <c r="G269" s="114">
        <v>4.5435</v>
      </c>
      <c r="H269" s="115">
        <v>0.35</v>
      </c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</row>
    <row r="270" ht="15.75" customHeight="1">
      <c r="A270" s="102" t="s">
        <v>78</v>
      </c>
      <c r="B270" s="112">
        <v>45629.375</v>
      </c>
      <c r="C270" s="112">
        <v>45638.375</v>
      </c>
      <c r="D270" s="113" t="s">
        <v>138</v>
      </c>
      <c r="E270" s="113" t="s">
        <v>201</v>
      </c>
      <c r="F270" s="114">
        <v>6.99</v>
      </c>
      <c r="G270" s="114">
        <v>4.5435</v>
      </c>
      <c r="H270" s="115">
        <v>0.35</v>
      </c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</row>
    <row r="271" ht="15.75" customHeight="1">
      <c r="A271" s="102" t="s">
        <v>78</v>
      </c>
      <c r="B271" s="112">
        <v>45629.375</v>
      </c>
      <c r="C271" s="112">
        <v>45638.375</v>
      </c>
      <c r="D271" s="113" t="s">
        <v>138</v>
      </c>
      <c r="E271" s="113" t="s">
        <v>203</v>
      </c>
      <c r="F271" s="114">
        <v>6.99</v>
      </c>
      <c r="G271" s="114">
        <v>4.5435</v>
      </c>
      <c r="H271" s="115">
        <v>0.35</v>
      </c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</row>
    <row r="272" ht="15.75" customHeight="1">
      <c r="A272" s="102" t="s">
        <v>78</v>
      </c>
      <c r="B272" s="112">
        <v>45629.375</v>
      </c>
      <c r="C272" s="112">
        <v>45638.375</v>
      </c>
      <c r="D272" s="113" t="s">
        <v>138</v>
      </c>
      <c r="E272" s="113" t="s">
        <v>203</v>
      </c>
      <c r="F272" s="114">
        <v>6.99</v>
      </c>
      <c r="G272" s="114">
        <v>4.5435</v>
      </c>
      <c r="H272" s="115">
        <v>0.35</v>
      </c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</row>
    <row r="273" ht="15.75" customHeight="1">
      <c r="A273" s="102" t="s">
        <v>78</v>
      </c>
      <c r="B273" s="112">
        <v>45629.375</v>
      </c>
      <c r="C273" s="112">
        <v>45638.375</v>
      </c>
      <c r="D273" s="113" t="s">
        <v>138</v>
      </c>
      <c r="E273" s="113" t="s">
        <v>205</v>
      </c>
      <c r="F273" s="114">
        <v>11.99</v>
      </c>
      <c r="G273" s="114">
        <v>7.793500000000001</v>
      </c>
      <c r="H273" s="115">
        <v>0.35</v>
      </c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</row>
    <row r="274" ht="15.75" customHeight="1">
      <c r="A274" s="102" t="s">
        <v>78</v>
      </c>
      <c r="B274" s="112">
        <v>45629.375</v>
      </c>
      <c r="C274" s="112">
        <v>45638.375</v>
      </c>
      <c r="D274" s="113" t="s">
        <v>138</v>
      </c>
      <c r="E274" s="113" t="s">
        <v>205</v>
      </c>
      <c r="F274" s="114">
        <v>11.99</v>
      </c>
      <c r="G274" s="114">
        <v>7.793500000000001</v>
      </c>
      <c r="H274" s="115">
        <v>0.35</v>
      </c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</row>
    <row r="275" ht="15.75" customHeight="1">
      <c r="A275" s="102" t="s">
        <v>78</v>
      </c>
      <c r="B275" s="112">
        <v>45629.375</v>
      </c>
      <c r="C275" s="112">
        <v>45638.375</v>
      </c>
      <c r="D275" s="113" t="s">
        <v>138</v>
      </c>
      <c r="E275" s="113" t="s">
        <v>209</v>
      </c>
      <c r="F275" s="114">
        <v>6.99</v>
      </c>
      <c r="G275" s="114">
        <v>4.5435</v>
      </c>
      <c r="H275" s="115">
        <v>0.35</v>
      </c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</row>
    <row r="276" ht="15.75" customHeight="1">
      <c r="A276" s="102" t="s">
        <v>78</v>
      </c>
      <c r="B276" s="112">
        <v>45629.375</v>
      </c>
      <c r="C276" s="112">
        <v>45638.375</v>
      </c>
      <c r="D276" s="113" t="s">
        <v>138</v>
      </c>
      <c r="E276" s="113" t="s">
        <v>209</v>
      </c>
      <c r="F276" s="114">
        <v>6.99</v>
      </c>
      <c r="G276" s="114">
        <v>4.5435</v>
      </c>
      <c r="H276" s="115">
        <v>0.35</v>
      </c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</row>
    <row r="277" ht="15.75" customHeight="1">
      <c r="A277" s="102" t="s">
        <v>78</v>
      </c>
      <c r="B277" s="112">
        <v>45629.375</v>
      </c>
      <c r="C277" s="112">
        <v>45638.375</v>
      </c>
      <c r="D277" s="113" t="s">
        <v>138</v>
      </c>
      <c r="E277" s="113" t="s">
        <v>291</v>
      </c>
      <c r="F277" s="114">
        <v>6.99</v>
      </c>
      <c r="G277" s="114">
        <v>4.5435</v>
      </c>
      <c r="H277" s="115">
        <v>0.35</v>
      </c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</row>
    <row r="278" ht="15.75" customHeight="1">
      <c r="A278" s="102" t="s">
        <v>78</v>
      </c>
      <c r="B278" s="112">
        <v>45629.375</v>
      </c>
      <c r="C278" s="112">
        <v>45638.375</v>
      </c>
      <c r="D278" s="113" t="s">
        <v>138</v>
      </c>
      <c r="E278" s="113" t="s">
        <v>291</v>
      </c>
      <c r="F278" s="114">
        <v>6.99</v>
      </c>
      <c r="G278" s="114">
        <v>4.5435</v>
      </c>
      <c r="H278" s="115">
        <v>0.35</v>
      </c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</row>
    <row r="279" ht="15.75" customHeight="1">
      <c r="A279" s="102" t="s">
        <v>78</v>
      </c>
      <c r="B279" s="112">
        <v>45629.375</v>
      </c>
      <c r="C279" s="112">
        <v>45638.375</v>
      </c>
      <c r="D279" s="113" t="s">
        <v>138</v>
      </c>
      <c r="E279" s="113" t="s">
        <v>292</v>
      </c>
      <c r="F279" s="114">
        <v>6.99</v>
      </c>
      <c r="G279" s="114">
        <v>4.5435</v>
      </c>
      <c r="H279" s="115">
        <v>0.35</v>
      </c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</row>
    <row r="280" ht="15.75" customHeight="1">
      <c r="A280" s="102" t="s">
        <v>78</v>
      </c>
      <c r="B280" s="112">
        <v>45629.375</v>
      </c>
      <c r="C280" s="112">
        <v>45638.375</v>
      </c>
      <c r="D280" s="113" t="s">
        <v>138</v>
      </c>
      <c r="E280" s="113" t="s">
        <v>292</v>
      </c>
      <c r="F280" s="114">
        <v>6.99</v>
      </c>
      <c r="G280" s="114">
        <v>4.5435</v>
      </c>
      <c r="H280" s="115">
        <v>0.35</v>
      </c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</row>
    <row r="281" ht="15.75" customHeight="1">
      <c r="A281" s="102" t="s">
        <v>78</v>
      </c>
      <c r="B281" s="112">
        <v>45629.375</v>
      </c>
      <c r="C281" s="112">
        <v>45638.375</v>
      </c>
      <c r="D281" s="113" t="s">
        <v>138</v>
      </c>
      <c r="E281" s="113" t="s">
        <v>293</v>
      </c>
      <c r="F281" s="114">
        <v>6.99</v>
      </c>
      <c r="G281" s="114">
        <v>4.5435</v>
      </c>
      <c r="H281" s="115">
        <v>0.35</v>
      </c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</row>
    <row r="282" ht="15.75" customHeight="1">
      <c r="A282" s="102" t="s">
        <v>78</v>
      </c>
      <c r="B282" s="112">
        <v>45629.375</v>
      </c>
      <c r="C282" s="112">
        <v>45638.375</v>
      </c>
      <c r="D282" s="113" t="s">
        <v>138</v>
      </c>
      <c r="E282" s="113" t="s">
        <v>293</v>
      </c>
      <c r="F282" s="114">
        <v>6.99</v>
      </c>
      <c r="G282" s="114">
        <v>4.5435</v>
      </c>
      <c r="H282" s="115">
        <v>0.35</v>
      </c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</row>
    <row r="283" ht="15.75" customHeight="1">
      <c r="A283" s="102" t="s">
        <v>78</v>
      </c>
      <c r="B283" s="112">
        <v>45629.375</v>
      </c>
      <c r="C283" s="112">
        <v>45638.375</v>
      </c>
      <c r="D283" s="113" t="s">
        <v>138</v>
      </c>
      <c r="E283" s="113" t="s">
        <v>295</v>
      </c>
      <c r="F283" s="114">
        <v>6.99</v>
      </c>
      <c r="G283" s="114">
        <v>4.5435</v>
      </c>
      <c r="H283" s="115">
        <v>0.35</v>
      </c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</row>
    <row r="284" ht="15.75" customHeight="1">
      <c r="A284" s="102" t="s">
        <v>78</v>
      </c>
      <c r="B284" s="112">
        <v>45629.375</v>
      </c>
      <c r="C284" s="112">
        <v>45638.375</v>
      </c>
      <c r="D284" s="113" t="s">
        <v>138</v>
      </c>
      <c r="E284" s="113" t="s">
        <v>295</v>
      </c>
      <c r="F284" s="114">
        <v>6.99</v>
      </c>
      <c r="G284" s="114">
        <v>4.5435</v>
      </c>
      <c r="H284" s="115">
        <v>0.35</v>
      </c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</row>
    <row r="285" ht="15.75" customHeight="1">
      <c r="A285" s="102" t="s">
        <v>78</v>
      </c>
      <c r="B285" s="112">
        <v>45629.375</v>
      </c>
      <c r="C285" s="112">
        <v>45638.375</v>
      </c>
      <c r="D285" s="113" t="s">
        <v>618</v>
      </c>
      <c r="E285" s="113" t="s">
        <v>17</v>
      </c>
      <c r="F285" s="114">
        <v>49.99</v>
      </c>
      <c r="G285" s="114">
        <v>24.995</v>
      </c>
      <c r="H285" s="115">
        <v>0.5</v>
      </c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</row>
    <row r="286" ht="15.75" customHeight="1">
      <c r="A286" s="102" t="s">
        <v>78</v>
      </c>
      <c r="B286" s="112">
        <v>45629.375</v>
      </c>
      <c r="C286" s="112">
        <v>45638.375</v>
      </c>
      <c r="D286" s="113" t="s">
        <v>618</v>
      </c>
      <c r="E286" s="113" t="s">
        <v>17</v>
      </c>
      <c r="F286" s="114">
        <v>39.99</v>
      </c>
      <c r="G286" s="114">
        <v>21.994500000000002</v>
      </c>
      <c r="H286" s="115">
        <v>0.45</v>
      </c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</row>
    <row r="287" ht="15.75" customHeight="1">
      <c r="A287" s="102" t="s">
        <v>78</v>
      </c>
      <c r="B287" s="112">
        <v>45639.375</v>
      </c>
      <c r="C287" s="112">
        <v>45293.375</v>
      </c>
      <c r="D287" s="113" t="s">
        <v>106</v>
      </c>
      <c r="E287" s="113" t="s">
        <v>19</v>
      </c>
      <c r="F287" s="114">
        <v>79.99</v>
      </c>
      <c r="G287" s="114">
        <v>39.995</v>
      </c>
      <c r="H287" s="115">
        <v>0.5</v>
      </c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</row>
    <row r="288" ht="15.75" customHeight="1">
      <c r="A288" s="102" t="s">
        <v>78</v>
      </c>
      <c r="B288" s="112">
        <v>45639.375</v>
      </c>
      <c r="C288" s="112">
        <v>45293.375</v>
      </c>
      <c r="D288" s="113" t="s">
        <v>106</v>
      </c>
      <c r="E288" s="113" t="s">
        <v>19</v>
      </c>
      <c r="F288" s="114">
        <v>79.99</v>
      </c>
      <c r="G288" s="114">
        <v>47.99399999999999</v>
      </c>
      <c r="H288" s="115">
        <v>0.4</v>
      </c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</row>
    <row r="289" ht="15.75" customHeight="1">
      <c r="A289" s="102" t="s">
        <v>78</v>
      </c>
      <c r="B289" s="112">
        <v>45643.375</v>
      </c>
      <c r="C289" s="112">
        <v>45649.375</v>
      </c>
      <c r="D289" s="113" t="s">
        <v>92</v>
      </c>
      <c r="E289" s="113" t="s">
        <v>25</v>
      </c>
      <c r="F289" s="114">
        <v>99.99</v>
      </c>
      <c r="G289" s="114">
        <v>49.995</v>
      </c>
      <c r="H289" s="115">
        <v>0.5</v>
      </c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</row>
    <row r="290" ht="15.75" customHeight="1">
      <c r="A290" s="102" t="s">
        <v>78</v>
      </c>
      <c r="B290" s="112">
        <v>45643.375</v>
      </c>
      <c r="C290" s="112">
        <v>45649.375</v>
      </c>
      <c r="D290" s="113" t="s">
        <v>92</v>
      </c>
      <c r="E290" s="113" t="s">
        <v>25</v>
      </c>
      <c r="F290" s="114">
        <v>91.49</v>
      </c>
      <c r="G290" s="114">
        <v>54.894</v>
      </c>
      <c r="H290" s="115">
        <v>0.4</v>
      </c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</row>
    <row r="291" ht="15.75" customHeight="1">
      <c r="A291" s="102" t="s">
        <v>78</v>
      </c>
      <c r="B291" s="112">
        <v>45660.375</v>
      </c>
      <c r="C291" s="112">
        <v>45670.375</v>
      </c>
      <c r="D291" s="113" t="s">
        <v>164</v>
      </c>
      <c r="E291" s="113" t="s">
        <v>18</v>
      </c>
      <c r="F291" s="114">
        <v>24.99</v>
      </c>
      <c r="G291" s="114">
        <v>16.2435</v>
      </c>
      <c r="H291" s="115">
        <v>0.35</v>
      </c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</row>
    <row r="292" ht="15.75" customHeight="1">
      <c r="A292" s="102" t="s">
        <v>78</v>
      </c>
      <c r="B292" s="112">
        <v>45660.375</v>
      </c>
      <c r="C292" s="112">
        <v>45670.375</v>
      </c>
      <c r="D292" s="113" t="s">
        <v>164</v>
      </c>
      <c r="E292" s="113" t="s">
        <v>18</v>
      </c>
      <c r="F292" s="114">
        <v>24.99</v>
      </c>
      <c r="G292" s="114">
        <v>17.493</v>
      </c>
      <c r="H292" s="115">
        <v>0.3</v>
      </c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</row>
    <row r="293" ht="15.75" customHeight="1">
      <c r="A293" s="102" t="s">
        <v>78</v>
      </c>
      <c r="B293" s="112">
        <v>45660.375</v>
      </c>
      <c r="C293" s="112">
        <v>45670.375</v>
      </c>
      <c r="D293" s="113" t="s">
        <v>164</v>
      </c>
      <c r="E293" s="113" t="s">
        <v>32</v>
      </c>
      <c r="F293" s="114">
        <v>24.99</v>
      </c>
      <c r="G293" s="114">
        <v>16.2435</v>
      </c>
      <c r="H293" s="115">
        <v>0.35</v>
      </c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</row>
    <row r="294" ht="15.75" customHeight="1">
      <c r="A294" s="102" t="s">
        <v>78</v>
      </c>
      <c r="B294" s="112">
        <v>45660.375</v>
      </c>
      <c r="C294" s="112">
        <v>45670.375</v>
      </c>
      <c r="D294" s="113" t="s">
        <v>164</v>
      </c>
      <c r="E294" s="113" t="s">
        <v>32</v>
      </c>
      <c r="F294" s="114">
        <v>24.999</v>
      </c>
      <c r="G294" s="114">
        <v>17.499299999999998</v>
      </c>
      <c r="H294" s="115">
        <v>0.3</v>
      </c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</row>
    <row r="295" ht="15.75" customHeight="1">
      <c r="A295" s="102" t="s">
        <v>78</v>
      </c>
      <c r="B295" s="112">
        <v>45660.375</v>
      </c>
      <c r="C295" s="112">
        <v>45670.375</v>
      </c>
      <c r="D295" s="113" t="s">
        <v>164</v>
      </c>
      <c r="E295" s="113" t="s">
        <v>34</v>
      </c>
      <c r="F295" s="114">
        <v>24.99</v>
      </c>
      <c r="G295" s="114">
        <v>18.7425</v>
      </c>
      <c r="H295" s="115">
        <v>0.25</v>
      </c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</row>
    <row r="296" ht="15.75" customHeight="1">
      <c r="A296" s="102" t="s">
        <v>78</v>
      </c>
      <c r="B296" s="112">
        <v>45660.375</v>
      </c>
      <c r="C296" s="112">
        <v>45670.375</v>
      </c>
      <c r="D296" s="113" t="s">
        <v>164</v>
      </c>
      <c r="E296" s="113" t="s">
        <v>34</v>
      </c>
      <c r="F296" s="114">
        <v>24.99</v>
      </c>
      <c r="G296" s="114">
        <v>18.7425</v>
      </c>
      <c r="H296" s="115">
        <v>0.25</v>
      </c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</row>
    <row r="297" ht="15.75" customHeight="1">
      <c r="A297" s="102" t="s">
        <v>78</v>
      </c>
      <c r="B297" s="112">
        <v>45660.375</v>
      </c>
      <c r="C297" s="112">
        <v>45670.375</v>
      </c>
      <c r="D297" s="113" t="s">
        <v>450</v>
      </c>
      <c r="E297" s="113" t="s">
        <v>24</v>
      </c>
      <c r="F297" s="114">
        <v>39.99</v>
      </c>
      <c r="G297" s="114">
        <v>15.996000000000002</v>
      </c>
      <c r="H297" s="115">
        <v>0.6</v>
      </c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</row>
    <row r="298" ht="15.75" customHeight="1">
      <c r="A298" s="102" t="s">
        <v>78</v>
      </c>
      <c r="B298" s="112">
        <v>45660.375</v>
      </c>
      <c r="C298" s="112">
        <v>45670.375</v>
      </c>
      <c r="D298" s="113" t="s">
        <v>450</v>
      </c>
      <c r="E298" s="113" t="s">
        <v>24</v>
      </c>
      <c r="F298" s="114">
        <v>29.99</v>
      </c>
      <c r="G298" s="114">
        <v>14.995</v>
      </c>
      <c r="H298" s="115">
        <v>0.5</v>
      </c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</row>
    <row r="299" ht="15.75" customHeight="1">
      <c r="A299" s="102" t="s">
        <v>78</v>
      </c>
      <c r="B299" s="112">
        <v>45660.375</v>
      </c>
      <c r="C299" s="112">
        <v>45670.375</v>
      </c>
      <c r="D299" s="113" t="s">
        <v>450</v>
      </c>
      <c r="E299" s="113" t="s">
        <v>20</v>
      </c>
      <c r="F299" s="114">
        <v>109.99</v>
      </c>
      <c r="G299" s="114">
        <v>76.993</v>
      </c>
      <c r="H299" s="115">
        <v>0.3</v>
      </c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</row>
    <row r="300" ht="15.75" customHeight="1">
      <c r="A300" s="102" t="s">
        <v>78</v>
      </c>
      <c r="B300" s="112">
        <v>45660.375</v>
      </c>
      <c r="C300" s="112">
        <v>45670.375</v>
      </c>
      <c r="D300" s="113" t="s">
        <v>450</v>
      </c>
      <c r="E300" s="113" t="s">
        <v>20</v>
      </c>
      <c r="F300" s="114">
        <v>104.99</v>
      </c>
      <c r="G300" s="114">
        <v>78.74249999999999</v>
      </c>
      <c r="H300" s="115">
        <v>0.25</v>
      </c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</row>
    <row r="301" ht="15.75" customHeight="1">
      <c r="A301" s="108"/>
      <c r="B301" s="108"/>
      <c r="C301" s="108"/>
      <c r="D301" s="108"/>
      <c r="E301" s="108"/>
      <c r="F301" s="108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</row>
    <row r="302" ht="15.75" customHeight="1">
      <c r="A302" s="108"/>
      <c r="B302" s="108"/>
      <c r="C302" s="108"/>
      <c r="D302" s="108"/>
      <c r="E302" s="108"/>
      <c r="F302" s="108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</row>
    <row r="303" ht="15.75" customHeight="1">
      <c r="A303" s="108"/>
      <c r="B303" s="108"/>
      <c r="C303" s="108"/>
      <c r="D303" s="108"/>
      <c r="E303" s="108"/>
      <c r="F303" s="108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</row>
    <row r="304" ht="15.75" customHeight="1">
      <c r="A304" s="144" t="s">
        <v>107</v>
      </c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</row>
    <row r="305" ht="15.75" customHeight="1">
      <c r="A305" s="108"/>
      <c r="B305" s="108"/>
      <c r="C305" s="108"/>
      <c r="D305" s="108"/>
      <c r="E305" s="108"/>
      <c r="F305" s="108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</row>
    <row r="306" ht="15.75" customHeight="1">
      <c r="A306" s="145" t="s">
        <v>107</v>
      </c>
      <c r="B306" s="12">
        <v>45294.0</v>
      </c>
      <c r="C306" s="12">
        <v>45308.0</v>
      </c>
      <c r="D306" s="1" t="s">
        <v>317</v>
      </c>
      <c r="E306" s="1" t="s">
        <v>630</v>
      </c>
      <c r="F306" s="10">
        <v>49.99</v>
      </c>
      <c r="G306" s="10">
        <f t="shared" ref="G306:G307" si="8">F306*(1-H306)</f>
        <v>24.995</v>
      </c>
      <c r="H306" s="31">
        <v>0.5</v>
      </c>
      <c r="I306" s="94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</row>
    <row r="307" ht="15.75" customHeight="1">
      <c r="A307" s="145" t="s">
        <v>107</v>
      </c>
      <c r="B307" s="12"/>
      <c r="C307" s="12"/>
      <c r="D307" s="1"/>
      <c r="E307" s="1" t="s">
        <v>18</v>
      </c>
      <c r="F307" s="10">
        <v>24.99</v>
      </c>
      <c r="G307" s="10">
        <f t="shared" si="8"/>
        <v>16.7433</v>
      </c>
      <c r="H307" s="31">
        <v>0.33</v>
      </c>
      <c r="I307" s="94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</row>
    <row r="308" ht="15.75" customHeight="1">
      <c r="A308" s="145" t="s">
        <v>107</v>
      </c>
      <c r="B308" s="12"/>
      <c r="C308" s="12"/>
      <c r="D308" s="1"/>
      <c r="E308" s="1" t="s">
        <v>26</v>
      </c>
      <c r="F308" s="10" t="s">
        <v>4</v>
      </c>
      <c r="G308" s="10" t="s">
        <v>4</v>
      </c>
      <c r="H308" s="31">
        <v>0.35</v>
      </c>
      <c r="I308" s="94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</row>
    <row r="309" ht="15.75" customHeight="1">
      <c r="A309" s="145" t="s">
        <v>107</v>
      </c>
      <c r="B309" s="12"/>
      <c r="C309" s="12"/>
      <c r="D309" s="1"/>
      <c r="E309" s="1" t="s">
        <v>635</v>
      </c>
      <c r="F309" s="10" t="s">
        <v>4</v>
      </c>
      <c r="G309" s="10" t="s">
        <v>4</v>
      </c>
      <c r="H309" s="31">
        <v>0.35</v>
      </c>
      <c r="I309" s="94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</row>
    <row r="310" ht="15.75" customHeight="1">
      <c r="A310" s="145" t="s">
        <v>107</v>
      </c>
      <c r="B310" s="12"/>
      <c r="C310" s="12"/>
      <c r="D310" s="1"/>
      <c r="E310" s="1" t="s">
        <v>637</v>
      </c>
      <c r="F310" s="10">
        <v>6.99</v>
      </c>
      <c r="G310" s="10">
        <f t="shared" ref="G310:G320" si="9">F310*(1-H310)</f>
        <v>5.2425</v>
      </c>
      <c r="H310" s="31">
        <v>0.25</v>
      </c>
      <c r="I310" s="94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</row>
    <row r="311" ht="15.75" customHeight="1">
      <c r="A311" s="145" t="s">
        <v>107</v>
      </c>
      <c r="B311" s="12"/>
      <c r="C311" s="12"/>
      <c r="D311" s="1"/>
      <c r="E311" s="1" t="s">
        <v>639</v>
      </c>
      <c r="F311" s="10">
        <v>6.99</v>
      </c>
      <c r="G311" s="10">
        <f t="shared" si="9"/>
        <v>5.592</v>
      </c>
      <c r="H311" s="31">
        <v>0.2</v>
      </c>
      <c r="I311" s="94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</row>
    <row r="312" ht="15.75" customHeight="1">
      <c r="A312" s="145" t="s">
        <v>107</v>
      </c>
      <c r="B312" s="12">
        <v>45308.0</v>
      </c>
      <c r="C312" s="12">
        <v>45322.0</v>
      </c>
      <c r="D312" s="1" t="s">
        <v>520</v>
      </c>
      <c r="E312" s="1" t="s">
        <v>640</v>
      </c>
      <c r="F312" s="149">
        <v>79.99</v>
      </c>
      <c r="G312" s="10">
        <f t="shared" si="9"/>
        <v>39.995</v>
      </c>
      <c r="H312" s="31">
        <v>0.5</v>
      </c>
      <c r="I312" s="94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</row>
    <row r="313" ht="15.75" customHeight="1">
      <c r="A313" s="145" t="s">
        <v>107</v>
      </c>
      <c r="B313" s="12"/>
      <c r="C313" s="12"/>
      <c r="D313" s="1"/>
      <c r="E313" s="1" t="s">
        <v>644</v>
      </c>
      <c r="F313" s="149">
        <v>44.99</v>
      </c>
      <c r="G313" s="10">
        <f t="shared" si="9"/>
        <v>30.1433</v>
      </c>
      <c r="H313" s="31">
        <v>0.33</v>
      </c>
      <c r="I313" s="94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</row>
    <row r="314" ht="15.75" customHeight="1">
      <c r="A314" s="145" t="s">
        <v>107</v>
      </c>
      <c r="B314" s="12"/>
      <c r="C314" s="12"/>
      <c r="D314" s="1"/>
      <c r="E314" s="1" t="s">
        <v>645</v>
      </c>
      <c r="F314" s="149">
        <v>64.99</v>
      </c>
      <c r="G314" s="10">
        <f t="shared" si="9"/>
        <v>43.5433</v>
      </c>
      <c r="H314" s="31">
        <v>0.33</v>
      </c>
      <c r="I314" s="94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</row>
    <row r="315" ht="15.75" customHeight="1">
      <c r="A315" s="145" t="s">
        <v>107</v>
      </c>
      <c r="B315" s="12">
        <v>45322.0</v>
      </c>
      <c r="C315" s="12">
        <v>45336.0</v>
      </c>
      <c r="D315" s="1" t="s">
        <v>476</v>
      </c>
      <c r="E315" s="1" t="s">
        <v>24</v>
      </c>
      <c r="F315" s="10">
        <v>39.99</v>
      </c>
      <c r="G315" s="10">
        <f t="shared" si="9"/>
        <v>19.995</v>
      </c>
      <c r="H315" s="31">
        <v>0.5</v>
      </c>
      <c r="I315" s="94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</row>
    <row r="316" ht="15.75" customHeight="1">
      <c r="A316" s="145" t="s">
        <v>107</v>
      </c>
      <c r="B316" s="12"/>
      <c r="C316" s="12"/>
      <c r="D316" s="1"/>
      <c r="E316" s="1" t="s">
        <v>648</v>
      </c>
      <c r="F316" s="149">
        <v>99.99</v>
      </c>
      <c r="G316" s="10">
        <f t="shared" si="9"/>
        <v>59.994</v>
      </c>
      <c r="H316" s="31">
        <v>0.4</v>
      </c>
      <c r="I316" s="94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</row>
    <row r="317" ht="15.75" customHeight="1">
      <c r="A317" s="145" t="s">
        <v>107</v>
      </c>
      <c r="B317" s="12"/>
      <c r="C317" s="12"/>
      <c r="D317" s="1"/>
      <c r="E317" s="1" t="s">
        <v>32</v>
      </c>
      <c r="F317" s="10">
        <v>24.99</v>
      </c>
      <c r="G317" s="10">
        <f t="shared" si="9"/>
        <v>16.7433</v>
      </c>
      <c r="H317" s="31">
        <v>0.33</v>
      </c>
      <c r="I317" s="94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</row>
    <row r="318" ht="15.75" customHeight="1">
      <c r="A318" s="145" t="s">
        <v>107</v>
      </c>
      <c r="B318" s="12"/>
      <c r="C318" s="12"/>
      <c r="D318" s="1"/>
      <c r="E318" s="1" t="s">
        <v>34</v>
      </c>
      <c r="F318" s="10">
        <v>24.99</v>
      </c>
      <c r="G318" s="10">
        <f t="shared" si="9"/>
        <v>18.7425</v>
      </c>
      <c r="H318" s="31">
        <v>0.25</v>
      </c>
      <c r="I318" s="94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</row>
    <row r="319" ht="15.75" customHeight="1">
      <c r="A319" s="145" t="s">
        <v>107</v>
      </c>
      <c r="B319" s="12">
        <v>45336.0</v>
      </c>
      <c r="C319" s="12">
        <v>45350.0</v>
      </c>
      <c r="D319" s="1" t="s">
        <v>424</v>
      </c>
      <c r="E319" s="1" t="s">
        <v>630</v>
      </c>
      <c r="F319" s="10">
        <v>49.99</v>
      </c>
      <c r="G319" s="10">
        <f t="shared" si="9"/>
        <v>24.995</v>
      </c>
      <c r="H319" s="31">
        <v>0.5</v>
      </c>
      <c r="I319" s="94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</row>
    <row r="320" ht="15.75" customHeight="1">
      <c r="A320" s="145" t="s">
        <v>107</v>
      </c>
      <c r="B320" s="12"/>
      <c r="C320" s="12"/>
      <c r="D320" s="1"/>
      <c r="E320" s="1" t="s">
        <v>18</v>
      </c>
      <c r="F320" s="10">
        <v>24.99</v>
      </c>
      <c r="G320" s="10">
        <f t="shared" si="9"/>
        <v>16.7433</v>
      </c>
      <c r="H320" s="31">
        <v>0.33</v>
      </c>
      <c r="I320" s="94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</row>
    <row r="321" ht="15.75" customHeight="1">
      <c r="A321" s="145" t="s">
        <v>107</v>
      </c>
      <c r="B321" s="12"/>
      <c r="C321" s="12"/>
      <c r="D321" s="1"/>
      <c r="E321" s="1" t="s">
        <v>26</v>
      </c>
      <c r="F321" s="10" t="s">
        <v>4</v>
      </c>
      <c r="G321" s="10" t="s">
        <v>4</v>
      </c>
      <c r="H321" s="31">
        <v>0.35</v>
      </c>
      <c r="I321" s="94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</row>
    <row r="322" ht="15.75" customHeight="1">
      <c r="A322" s="145" t="s">
        <v>107</v>
      </c>
      <c r="B322" s="12"/>
      <c r="C322" s="12"/>
      <c r="D322" s="1"/>
      <c r="E322" s="1" t="s">
        <v>635</v>
      </c>
      <c r="F322" s="10" t="s">
        <v>4</v>
      </c>
      <c r="G322" s="10" t="s">
        <v>4</v>
      </c>
      <c r="H322" s="31">
        <v>0.35</v>
      </c>
      <c r="I322" s="94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</row>
    <row r="323" ht="15.75" customHeight="1">
      <c r="A323" s="145" t="s">
        <v>107</v>
      </c>
      <c r="B323" s="12"/>
      <c r="C323" s="12"/>
      <c r="D323" s="1"/>
      <c r="E323" s="1" t="s">
        <v>637</v>
      </c>
      <c r="F323" s="10">
        <v>6.99</v>
      </c>
      <c r="G323" s="10">
        <f t="shared" ref="G323:G333" si="10">F323*(1-H323)</f>
        <v>4.893</v>
      </c>
      <c r="H323" s="31">
        <v>0.3</v>
      </c>
      <c r="I323" s="94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</row>
    <row r="324" ht="15.75" customHeight="1">
      <c r="A324" s="145" t="s">
        <v>107</v>
      </c>
      <c r="B324" s="12"/>
      <c r="C324" s="12"/>
      <c r="D324" s="1"/>
      <c r="E324" s="1" t="s">
        <v>639</v>
      </c>
      <c r="F324" s="10">
        <v>6.99</v>
      </c>
      <c r="G324" s="10">
        <f t="shared" si="10"/>
        <v>5.2425</v>
      </c>
      <c r="H324" s="31">
        <v>0.25</v>
      </c>
      <c r="I324" s="94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</row>
    <row r="325" ht="15.75" customHeight="1">
      <c r="A325" s="145" t="s">
        <v>107</v>
      </c>
      <c r="B325" s="12">
        <v>45350.0</v>
      </c>
      <c r="C325" s="12">
        <v>45364.0</v>
      </c>
      <c r="D325" s="1" t="s">
        <v>523</v>
      </c>
      <c r="E325" s="1" t="s">
        <v>640</v>
      </c>
      <c r="F325" s="149">
        <v>79.99</v>
      </c>
      <c r="G325" s="10">
        <f t="shared" si="10"/>
        <v>39.995</v>
      </c>
      <c r="H325" s="31">
        <v>0.5</v>
      </c>
      <c r="I325" s="94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</row>
    <row r="326" ht="15.75" customHeight="1">
      <c r="A326" s="145" t="s">
        <v>107</v>
      </c>
      <c r="B326" s="12"/>
      <c r="C326" s="12"/>
      <c r="D326" s="1"/>
      <c r="E326" s="1" t="s">
        <v>644</v>
      </c>
      <c r="F326" s="149">
        <v>44.99</v>
      </c>
      <c r="G326" s="10">
        <f t="shared" si="10"/>
        <v>30.1433</v>
      </c>
      <c r="H326" s="31">
        <v>0.33</v>
      </c>
      <c r="I326" s="94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</row>
    <row r="327" ht="15.75" customHeight="1">
      <c r="A327" s="145" t="s">
        <v>107</v>
      </c>
      <c r="B327" s="12"/>
      <c r="C327" s="12"/>
      <c r="D327" s="1"/>
      <c r="E327" s="1" t="s">
        <v>645</v>
      </c>
      <c r="F327" s="149">
        <v>64.99</v>
      </c>
      <c r="G327" s="10">
        <f t="shared" si="10"/>
        <v>43.5433</v>
      </c>
      <c r="H327" s="31">
        <v>0.33</v>
      </c>
      <c r="I327" s="94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</row>
    <row r="328" ht="15.75" customHeight="1">
      <c r="A328" s="145" t="s">
        <v>107</v>
      </c>
      <c r="B328" s="12">
        <v>45364.0</v>
      </c>
      <c r="C328" s="12">
        <v>45378.0</v>
      </c>
      <c r="D328" s="1" t="s">
        <v>554</v>
      </c>
      <c r="E328" s="1" t="s">
        <v>24</v>
      </c>
      <c r="F328" s="10">
        <v>39.99</v>
      </c>
      <c r="G328" s="10">
        <f t="shared" si="10"/>
        <v>19.995</v>
      </c>
      <c r="H328" s="31">
        <v>0.5</v>
      </c>
      <c r="I328" s="94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</row>
    <row r="329" ht="15.75" customHeight="1">
      <c r="A329" s="145" t="s">
        <v>107</v>
      </c>
      <c r="B329" s="12"/>
      <c r="C329" s="12"/>
      <c r="D329" s="1"/>
      <c r="E329" s="1" t="s">
        <v>648</v>
      </c>
      <c r="F329" s="149">
        <v>99.99</v>
      </c>
      <c r="G329" s="10">
        <f t="shared" si="10"/>
        <v>59.994</v>
      </c>
      <c r="H329" s="31">
        <v>0.4</v>
      </c>
      <c r="I329" s="94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</row>
    <row r="330" ht="15.75" customHeight="1">
      <c r="A330" s="145" t="s">
        <v>107</v>
      </c>
      <c r="B330" s="12"/>
      <c r="C330" s="12"/>
      <c r="D330" s="1"/>
      <c r="E330" s="1" t="s">
        <v>32</v>
      </c>
      <c r="F330" s="10">
        <v>24.99</v>
      </c>
      <c r="G330" s="10">
        <f t="shared" si="10"/>
        <v>16.7433</v>
      </c>
      <c r="H330" s="31">
        <v>0.33</v>
      </c>
      <c r="I330" s="94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</row>
    <row r="331" ht="15.75" customHeight="1">
      <c r="A331" s="145" t="s">
        <v>107</v>
      </c>
      <c r="B331" s="12"/>
      <c r="C331" s="12"/>
      <c r="D331" s="1"/>
      <c r="E331" s="1" t="s">
        <v>34</v>
      </c>
      <c r="F331" s="10">
        <v>24.99</v>
      </c>
      <c r="G331" s="10">
        <f t="shared" si="10"/>
        <v>18.7425</v>
      </c>
      <c r="H331" s="31">
        <v>0.25</v>
      </c>
      <c r="I331" s="94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</row>
    <row r="332" ht="15.75" customHeight="1">
      <c r="A332" s="145" t="s">
        <v>107</v>
      </c>
      <c r="B332" s="12">
        <v>45378.0</v>
      </c>
      <c r="C332" s="12">
        <v>45392.0</v>
      </c>
      <c r="D332" s="1" t="s">
        <v>146</v>
      </c>
      <c r="E332" s="1" t="s">
        <v>630</v>
      </c>
      <c r="F332" s="10">
        <v>49.99</v>
      </c>
      <c r="G332" s="10">
        <f t="shared" si="10"/>
        <v>24.995</v>
      </c>
      <c r="H332" s="31">
        <v>0.5</v>
      </c>
      <c r="I332" s="94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</row>
    <row r="333" ht="15.75" customHeight="1">
      <c r="A333" s="145" t="s">
        <v>107</v>
      </c>
      <c r="B333" s="12"/>
      <c r="C333" s="12"/>
      <c r="D333" s="1"/>
      <c r="E333" s="1" t="s">
        <v>18</v>
      </c>
      <c r="F333" s="10">
        <v>24.99</v>
      </c>
      <c r="G333" s="10">
        <f t="shared" si="10"/>
        <v>16.7433</v>
      </c>
      <c r="H333" s="31">
        <v>0.33</v>
      </c>
      <c r="I333" s="94"/>
      <c r="J333" s="108"/>
      <c r="K333" s="108"/>
      <c r="L333" s="108"/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</row>
    <row r="334" ht="15.75" customHeight="1">
      <c r="A334" s="145" t="s">
        <v>107</v>
      </c>
      <c r="B334" s="12"/>
      <c r="C334" s="12"/>
      <c r="D334" s="1"/>
      <c r="E334" s="1" t="s">
        <v>26</v>
      </c>
      <c r="F334" s="10" t="s">
        <v>4</v>
      </c>
      <c r="G334" s="10" t="s">
        <v>4</v>
      </c>
      <c r="H334" s="31">
        <v>0.35</v>
      </c>
      <c r="I334" s="94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</row>
    <row r="335" ht="15.75" customHeight="1">
      <c r="A335" s="145" t="s">
        <v>107</v>
      </c>
      <c r="B335" s="12"/>
      <c r="C335" s="12"/>
      <c r="D335" s="1"/>
      <c r="E335" s="1" t="s">
        <v>635</v>
      </c>
      <c r="F335" s="10" t="s">
        <v>4</v>
      </c>
      <c r="G335" s="10" t="s">
        <v>4</v>
      </c>
      <c r="H335" s="31">
        <v>0.35</v>
      </c>
      <c r="I335" s="94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</row>
    <row r="336" ht="15.75" customHeight="1">
      <c r="A336" s="145" t="s">
        <v>107</v>
      </c>
      <c r="B336" s="12"/>
      <c r="C336" s="12"/>
      <c r="D336" s="1"/>
      <c r="E336" s="1" t="s">
        <v>637</v>
      </c>
      <c r="F336" s="10">
        <v>6.99</v>
      </c>
      <c r="G336" s="10">
        <f t="shared" ref="G336:G346" si="11">F336*(1-H336)</f>
        <v>4.5435</v>
      </c>
      <c r="H336" s="31">
        <v>0.35</v>
      </c>
      <c r="I336" s="94"/>
      <c r="J336" s="108"/>
      <c r="K336" s="108"/>
      <c r="L336" s="108"/>
      <c r="M336" s="108"/>
      <c r="N336" s="108"/>
      <c r="O336" s="108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</row>
    <row r="337" ht="15.75" customHeight="1">
      <c r="A337" s="145" t="s">
        <v>107</v>
      </c>
      <c r="B337" s="12"/>
      <c r="C337" s="12"/>
      <c r="D337" s="1"/>
      <c r="E337" s="1" t="s">
        <v>639</v>
      </c>
      <c r="F337" s="10">
        <v>6.99</v>
      </c>
      <c r="G337" s="10">
        <f t="shared" si="11"/>
        <v>4.893</v>
      </c>
      <c r="H337" s="31">
        <v>0.3</v>
      </c>
      <c r="I337" s="94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</row>
    <row r="338" ht="15.75" customHeight="1">
      <c r="A338" s="145" t="s">
        <v>107</v>
      </c>
      <c r="B338" s="12">
        <v>45392.0</v>
      </c>
      <c r="C338" s="12">
        <v>45406.0</v>
      </c>
      <c r="D338" s="1" t="s">
        <v>147</v>
      </c>
      <c r="E338" s="1" t="s">
        <v>640</v>
      </c>
      <c r="F338" s="149">
        <v>79.99</v>
      </c>
      <c r="G338" s="10">
        <f t="shared" si="11"/>
        <v>39.995</v>
      </c>
      <c r="H338" s="31">
        <v>0.5</v>
      </c>
      <c r="I338" s="94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</row>
    <row r="339" ht="15.75" customHeight="1">
      <c r="A339" s="145" t="s">
        <v>107</v>
      </c>
      <c r="B339" s="12"/>
      <c r="C339" s="12"/>
      <c r="D339" s="1"/>
      <c r="E339" s="1" t="s">
        <v>644</v>
      </c>
      <c r="F339" s="149">
        <v>6.99</v>
      </c>
      <c r="G339" s="10">
        <f t="shared" si="11"/>
        <v>4.6833</v>
      </c>
      <c r="H339" s="31">
        <v>0.33</v>
      </c>
      <c r="I339" s="94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</row>
    <row r="340" ht="15.75" customHeight="1">
      <c r="A340" s="145" t="s">
        <v>107</v>
      </c>
      <c r="B340" s="12"/>
      <c r="C340" s="12"/>
      <c r="D340" s="1"/>
      <c r="E340" s="1" t="s">
        <v>645</v>
      </c>
      <c r="F340" s="149">
        <v>6.99</v>
      </c>
      <c r="G340" s="10">
        <f t="shared" si="11"/>
        <v>4.6833</v>
      </c>
      <c r="H340" s="31">
        <v>0.33</v>
      </c>
      <c r="I340" s="94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</row>
    <row r="341" ht="15.75" customHeight="1">
      <c r="A341" s="145" t="s">
        <v>107</v>
      </c>
      <c r="B341" s="12">
        <v>45406.375</v>
      </c>
      <c r="C341" s="12">
        <v>45420.375</v>
      </c>
      <c r="D341" s="1" t="s">
        <v>555</v>
      </c>
      <c r="E341" s="1" t="s">
        <v>24</v>
      </c>
      <c r="F341" s="10">
        <v>29.99</v>
      </c>
      <c r="G341" s="10">
        <f t="shared" si="11"/>
        <v>14.995</v>
      </c>
      <c r="H341" s="31">
        <v>0.5</v>
      </c>
      <c r="I341" s="94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</row>
    <row r="342" ht="15.75" customHeight="1">
      <c r="A342" s="145" t="s">
        <v>107</v>
      </c>
      <c r="B342" s="12"/>
      <c r="C342" s="12"/>
      <c r="D342" s="1"/>
      <c r="E342" s="1" t="s">
        <v>25</v>
      </c>
      <c r="F342" s="10">
        <v>79.99</v>
      </c>
      <c r="G342" s="10">
        <f t="shared" si="11"/>
        <v>47.994</v>
      </c>
      <c r="H342" s="31">
        <v>0.4</v>
      </c>
      <c r="I342" s="94"/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</row>
    <row r="343" ht="15.75" customHeight="1">
      <c r="A343" s="145" t="s">
        <v>107</v>
      </c>
      <c r="B343" s="12"/>
      <c r="C343" s="12"/>
      <c r="D343" s="1"/>
      <c r="E343" s="1" t="s">
        <v>32</v>
      </c>
      <c r="F343" s="10">
        <v>24.99</v>
      </c>
      <c r="G343" s="10">
        <f t="shared" si="11"/>
        <v>16.7433</v>
      </c>
      <c r="H343" s="31">
        <v>0.33</v>
      </c>
      <c r="I343" s="94"/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</row>
    <row r="344" ht="15.75" customHeight="1">
      <c r="A344" s="145" t="s">
        <v>107</v>
      </c>
      <c r="B344" s="12"/>
      <c r="C344" s="12"/>
      <c r="D344" s="1"/>
      <c r="E344" s="1" t="s">
        <v>34</v>
      </c>
      <c r="F344" s="10">
        <v>24.99</v>
      </c>
      <c r="G344" s="10">
        <f t="shared" si="11"/>
        <v>18.7425</v>
      </c>
      <c r="H344" s="31">
        <v>0.25</v>
      </c>
      <c r="I344" s="94"/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</row>
    <row r="345" ht="15.75" customHeight="1">
      <c r="A345" s="145" t="s">
        <v>107</v>
      </c>
      <c r="B345" s="12">
        <v>45420.375</v>
      </c>
      <c r="C345" s="12">
        <v>45434.375</v>
      </c>
      <c r="D345" s="1" t="s">
        <v>679</v>
      </c>
      <c r="E345" s="1" t="s">
        <v>17</v>
      </c>
      <c r="F345" s="10">
        <v>39.99</v>
      </c>
      <c r="G345" s="10">
        <f t="shared" si="11"/>
        <v>19.995</v>
      </c>
      <c r="H345" s="31">
        <v>0.5</v>
      </c>
      <c r="I345" s="94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</row>
    <row r="346" ht="15.75" customHeight="1">
      <c r="A346" s="145" t="s">
        <v>107</v>
      </c>
      <c r="B346" s="12"/>
      <c r="C346" s="12"/>
      <c r="D346" s="1"/>
      <c r="E346" s="1" t="s">
        <v>18</v>
      </c>
      <c r="F346" s="10">
        <v>24.99</v>
      </c>
      <c r="G346" s="10">
        <f t="shared" si="11"/>
        <v>16.2435</v>
      </c>
      <c r="H346" s="31">
        <v>0.35</v>
      </c>
      <c r="I346" s="94"/>
      <c r="J346" s="108"/>
      <c r="K346" s="108"/>
      <c r="L346" s="108"/>
      <c r="M346" s="108"/>
      <c r="N346" s="108"/>
      <c r="O346" s="108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</row>
    <row r="347" ht="15.75" customHeight="1">
      <c r="A347" s="145" t="s">
        <v>107</v>
      </c>
      <c r="B347" s="12"/>
      <c r="C347" s="12"/>
      <c r="D347" s="1"/>
      <c r="E347" s="1" t="s">
        <v>26</v>
      </c>
      <c r="F347" s="10" t="s">
        <v>4</v>
      </c>
      <c r="G347" s="10" t="s">
        <v>4</v>
      </c>
      <c r="H347" s="31">
        <v>0.35</v>
      </c>
      <c r="I347" s="94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</row>
    <row r="348" ht="15.75" customHeight="1">
      <c r="A348" s="145" t="s">
        <v>107</v>
      </c>
      <c r="B348" s="12"/>
      <c r="C348" s="12"/>
      <c r="D348" s="1"/>
      <c r="E348" s="1" t="s">
        <v>682</v>
      </c>
      <c r="F348" s="10" t="s">
        <v>4</v>
      </c>
      <c r="G348" s="10" t="s">
        <v>4</v>
      </c>
      <c r="H348" s="31">
        <v>0.35</v>
      </c>
      <c r="I348" s="94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</row>
    <row r="349" ht="15.75" customHeight="1">
      <c r="A349" s="145" t="s">
        <v>107</v>
      </c>
      <c r="B349" s="12"/>
      <c r="C349" s="12"/>
      <c r="D349" s="1"/>
      <c r="E349" s="1" t="s">
        <v>639</v>
      </c>
      <c r="F349" s="10">
        <v>6.99</v>
      </c>
      <c r="G349" s="10">
        <f t="shared" ref="G349:G361" si="12">F349*(1-H349)</f>
        <v>5.2425</v>
      </c>
      <c r="H349" s="31">
        <v>0.25</v>
      </c>
      <c r="I349" s="94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</row>
    <row r="350" ht="15.75" customHeight="1">
      <c r="A350" s="145" t="s">
        <v>107</v>
      </c>
      <c r="B350" s="12"/>
      <c r="C350" s="12"/>
      <c r="D350" s="1"/>
      <c r="E350" s="1" t="s">
        <v>688</v>
      </c>
      <c r="F350" s="10">
        <v>11.99</v>
      </c>
      <c r="G350" s="10">
        <f t="shared" si="12"/>
        <v>9.592</v>
      </c>
      <c r="H350" s="31">
        <v>0.2</v>
      </c>
      <c r="I350" s="94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</row>
    <row r="351" ht="15.75" customHeight="1">
      <c r="A351" s="145" t="s">
        <v>107</v>
      </c>
      <c r="B351" s="12">
        <v>45434.375</v>
      </c>
      <c r="C351" s="12">
        <v>45448.375</v>
      </c>
      <c r="D351" s="1" t="s">
        <v>424</v>
      </c>
      <c r="E351" s="1" t="s">
        <v>19</v>
      </c>
      <c r="F351" s="10">
        <v>69.99</v>
      </c>
      <c r="G351" s="10">
        <f t="shared" si="12"/>
        <v>38.4945</v>
      </c>
      <c r="H351" s="31">
        <v>0.45</v>
      </c>
      <c r="I351" s="94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</row>
    <row r="352" ht="15.75" customHeight="1">
      <c r="A352" s="145" t="s">
        <v>107</v>
      </c>
      <c r="B352" s="12"/>
      <c r="C352" s="12"/>
      <c r="D352" s="1"/>
      <c r="E352" s="1" t="s">
        <v>20</v>
      </c>
      <c r="F352" s="10">
        <v>109.99</v>
      </c>
      <c r="G352" s="10">
        <f t="shared" si="12"/>
        <v>79.1928</v>
      </c>
      <c r="H352" s="31">
        <v>0.28</v>
      </c>
      <c r="I352" s="94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</row>
    <row r="353" ht="15.75" customHeight="1">
      <c r="A353" s="145" t="s">
        <v>107</v>
      </c>
      <c r="B353" s="12"/>
      <c r="C353" s="12"/>
      <c r="D353" s="1"/>
      <c r="E353" s="1" t="s">
        <v>21</v>
      </c>
      <c r="F353" s="10">
        <v>39.99</v>
      </c>
      <c r="G353" s="10">
        <f t="shared" si="12"/>
        <v>26.7933</v>
      </c>
      <c r="H353" s="31">
        <v>0.33</v>
      </c>
      <c r="I353" s="94"/>
      <c r="J353" s="108"/>
      <c r="K353" s="108"/>
      <c r="L353" s="108"/>
      <c r="M353" s="108"/>
      <c r="N353" s="108"/>
      <c r="O353" s="108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</row>
    <row r="354" ht="15.75" customHeight="1">
      <c r="A354" s="145" t="s">
        <v>107</v>
      </c>
      <c r="B354" s="12"/>
      <c r="C354" s="12"/>
      <c r="D354" s="1"/>
      <c r="E354" s="1" t="s">
        <v>22</v>
      </c>
      <c r="F354" s="10">
        <v>59.99</v>
      </c>
      <c r="G354" s="10">
        <f t="shared" si="12"/>
        <v>40.1933</v>
      </c>
      <c r="H354" s="31">
        <v>0.33</v>
      </c>
      <c r="I354" s="94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</row>
    <row r="355" ht="15.75" customHeight="1">
      <c r="A355" s="145" t="s">
        <v>107</v>
      </c>
      <c r="B355" s="12"/>
      <c r="C355" s="12"/>
      <c r="D355" s="1"/>
      <c r="E355" s="1" t="s">
        <v>23</v>
      </c>
      <c r="F355" s="10">
        <v>79.99</v>
      </c>
      <c r="G355" s="10">
        <f t="shared" si="12"/>
        <v>59.9925</v>
      </c>
      <c r="H355" s="31">
        <v>0.25</v>
      </c>
      <c r="I355" s="94"/>
      <c r="J355" s="108"/>
      <c r="K355" s="108"/>
      <c r="L355" s="108"/>
      <c r="M355" s="108"/>
      <c r="N355" s="108"/>
      <c r="O355" s="108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</row>
    <row r="356" ht="15.75" customHeight="1">
      <c r="A356" s="145" t="s">
        <v>107</v>
      </c>
      <c r="B356" s="12">
        <v>45448.375</v>
      </c>
      <c r="C356" s="12">
        <v>45462.375</v>
      </c>
      <c r="D356" s="1" t="s">
        <v>694</v>
      </c>
      <c r="E356" s="1" t="s">
        <v>24</v>
      </c>
      <c r="F356" s="10">
        <v>29.99</v>
      </c>
      <c r="G356" s="10">
        <f t="shared" si="12"/>
        <v>14.995</v>
      </c>
      <c r="H356" s="31">
        <v>0.5</v>
      </c>
      <c r="I356" s="94"/>
      <c r="J356" s="108"/>
      <c r="K356" s="108"/>
      <c r="L356" s="108"/>
      <c r="M356" s="108"/>
      <c r="N356" s="108"/>
      <c r="O356" s="108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</row>
    <row r="357" ht="15.75" customHeight="1">
      <c r="A357" s="145" t="s">
        <v>107</v>
      </c>
      <c r="B357" s="12"/>
      <c r="C357" s="12"/>
      <c r="D357" s="1"/>
      <c r="E357" s="1" t="s">
        <v>25</v>
      </c>
      <c r="F357" s="10">
        <v>79.99</v>
      </c>
      <c r="G357" s="10">
        <f t="shared" si="12"/>
        <v>51.9935</v>
      </c>
      <c r="H357" s="31">
        <v>0.35</v>
      </c>
      <c r="I357" s="94"/>
      <c r="J357" s="108"/>
      <c r="K357" s="108"/>
      <c r="L357" s="108"/>
      <c r="M357" s="108"/>
      <c r="N357" s="108"/>
      <c r="O357" s="108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</row>
    <row r="358" ht="15.75" customHeight="1">
      <c r="A358" s="145" t="s">
        <v>107</v>
      </c>
      <c r="B358" s="12"/>
      <c r="C358" s="12"/>
      <c r="D358" s="1"/>
      <c r="E358" s="1" t="s">
        <v>32</v>
      </c>
      <c r="F358" s="10">
        <v>24.99</v>
      </c>
      <c r="G358" s="10">
        <f t="shared" si="12"/>
        <v>16.7433</v>
      </c>
      <c r="H358" s="31">
        <v>0.33</v>
      </c>
      <c r="I358" s="94"/>
      <c r="J358" s="108"/>
      <c r="K358" s="108"/>
      <c r="L358" s="108"/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</row>
    <row r="359" ht="15.75" customHeight="1">
      <c r="A359" s="145" t="s">
        <v>107</v>
      </c>
      <c r="B359" s="12"/>
      <c r="C359" s="12"/>
      <c r="D359" s="1"/>
      <c r="E359" s="1" t="s">
        <v>34</v>
      </c>
      <c r="F359" s="10">
        <v>24.99</v>
      </c>
      <c r="G359" s="10">
        <f t="shared" si="12"/>
        <v>18.7425</v>
      </c>
      <c r="H359" s="31">
        <v>0.25</v>
      </c>
      <c r="I359" s="94"/>
      <c r="J359" s="108"/>
      <c r="K359" s="108"/>
      <c r="L359" s="108"/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</row>
    <row r="360" ht="15.75" customHeight="1">
      <c r="A360" s="145" t="s">
        <v>107</v>
      </c>
      <c r="B360" s="12">
        <v>45462.375</v>
      </c>
      <c r="C360" s="12">
        <v>45476.375</v>
      </c>
      <c r="D360" s="1" t="s">
        <v>558</v>
      </c>
      <c r="E360" s="1" t="s">
        <v>17</v>
      </c>
      <c r="F360" s="10">
        <v>39.99</v>
      </c>
      <c r="G360" s="10">
        <f t="shared" si="12"/>
        <v>19.995</v>
      </c>
      <c r="H360" s="31">
        <v>0.5</v>
      </c>
      <c r="I360" s="94"/>
      <c r="J360" s="108"/>
      <c r="K360" s="108"/>
      <c r="L360" s="108"/>
      <c r="M360" s="108"/>
      <c r="N360" s="108"/>
      <c r="O360" s="108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</row>
    <row r="361" ht="15.75" customHeight="1">
      <c r="A361" s="145" t="s">
        <v>107</v>
      </c>
      <c r="B361" s="12"/>
      <c r="C361" s="12"/>
      <c r="D361" s="1"/>
      <c r="E361" s="1" t="s">
        <v>18</v>
      </c>
      <c r="F361" s="10">
        <v>24.99</v>
      </c>
      <c r="G361" s="10">
        <f t="shared" si="12"/>
        <v>16.2435</v>
      </c>
      <c r="H361" s="31">
        <v>0.35</v>
      </c>
      <c r="I361" s="94"/>
      <c r="J361" s="108"/>
      <c r="K361" s="108"/>
      <c r="L361" s="108"/>
      <c r="M361" s="108"/>
      <c r="N361" s="108"/>
      <c r="O361" s="108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</row>
    <row r="362" ht="15.75" customHeight="1">
      <c r="A362" s="145" t="s">
        <v>107</v>
      </c>
      <c r="B362" s="12"/>
      <c r="C362" s="12"/>
      <c r="D362" s="1"/>
      <c r="E362" s="1" t="s">
        <v>26</v>
      </c>
      <c r="F362" s="10" t="s">
        <v>4</v>
      </c>
      <c r="G362" s="10" t="s">
        <v>4</v>
      </c>
      <c r="H362" s="31">
        <v>0.35</v>
      </c>
      <c r="I362" s="94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</row>
    <row r="363" ht="15.75" customHeight="1">
      <c r="A363" s="145" t="s">
        <v>107</v>
      </c>
      <c r="B363" s="12"/>
      <c r="C363" s="12"/>
      <c r="D363" s="1"/>
      <c r="E363" s="1" t="s">
        <v>682</v>
      </c>
      <c r="F363" s="10" t="s">
        <v>4</v>
      </c>
      <c r="G363" s="10" t="s">
        <v>4</v>
      </c>
      <c r="H363" s="31">
        <v>0.35</v>
      </c>
      <c r="I363" s="94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</row>
    <row r="364" ht="15.75" customHeight="1">
      <c r="A364" s="145" t="s">
        <v>107</v>
      </c>
      <c r="B364" s="12"/>
      <c r="C364" s="12"/>
      <c r="D364" s="1"/>
      <c r="E364" s="1" t="s">
        <v>639</v>
      </c>
      <c r="F364" s="10">
        <v>6.99</v>
      </c>
      <c r="G364" s="10">
        <f t="shared" ref="G364:G376" si="13">F364*(1-H364)</f>
        <v>5.2425</v>
      </c>
      <c r="H364" s="31">
        <v>0.25</v>
      </c>
      <c r="I364" s="94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</row>
    <row r="365" ht="15.75" customHeight="1">
      <c r="A365" s="145" t="s">
        <v>107</v>
      </c>
      <c r="B365" s="12"/>
      <c r="C365" s="12"/>
      <c r="D365" s="1"/>
      <c r="E365" s="1" t="s">
        <v>688</v>
      </c>
      <c r="F365" s="10">
        <v>11.99</v>
      </c>
      <c r="G365" s="10">
        <f t="shared" si="13"/>
        <v>9.592</v>
      </c>
      <c r="H365" s="31">
        <v>0.2</v>
      </c>
      <c r="I365" s="94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</row>
    <row r="366" ht="15.75" customHeight="1">
      <c r="A366" s="145" t="s">
        <v>107</v>
      </c>
      <c r="B366" s="12">
        <v>45476.375</v>
      </c>
      <c r="C366" s="12">
        <v>45490.375</v>
      </c>
      <c r="D366" s="1" t="s">
        <v>554</v>
      </c>
      <c r="E366" s="1" t="s">
        <v>19</v>
      </c>
      <c r="F366" s="10">
        <v>69.99</v>
      </c>
      <c r="G366" s="10">
        <f t="shared" si="13"/>
        <v>38.4945</v>
      </c>
      <c r="H366" s="31">
        <v>0.45</v>
      </c>
      <c r="I366" s="94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</row>
    <row r="367" ht="15.75" customHeight="1">
      <c r="A367" s="145" t="s">
        <v>107</v>
      </c>
      <c r="B367" s="12"/>
      <c r="C367" s="12"/>
      <c r="D367" s="1"/>
      <c r="E367" s="1" t="s">
        <v>20</v>
      </c>
      <c r="F367" s="10">
        <v>109.99</v>
      </c>
      <c r="G367" s="10">
        <f t="shared" si="13"/>
        <v>79.1928</v>
      </c>
      <c r="H367" s="31">
        <v>0.28</v>
      </c>
      <c r="I367" s="94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</row>
    <row r="368" ht="15.75" customHeight="1">
      <c r="A368" s="145" t="s">
        <v>107</v>
      </c>
      <c r="B368" s="12"/>
      <c r="C368" s="12"/>
      <c r="D368" s="1"/>
      <c r="E368" s="1" t="s">
        <v>21</v>
      </c>
      <c r="F368" s="10">
        <v>39.99</v>
      </c>
      <c r="G368" s="10">
        <f t="shared" si="13"/>
        <v>26.7933</v>
      </c>
      <c r="H368" s="31">
        <v>0.33</v>
      </c>
      <c r="I368" s="94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</row>
    <row r="369" ht="15.75" customHeight="1">
      <c r="A369" s="145" t="s">
        <v>107</v>
      </c>
      <c r="B369" s="12"/>
      <c r="C369" s="12"/>
      <c r="D369" s="1"/>
      <c r="E369" s="1" t="s">
        <v>22</v>
      </c>
      <c r="F369" s="10">
        <v>59.99</v>
      </c>
      <c r="G369" s="10">
        <f t="shared" si="13"/>
        <v>40.1933</v>
      </c>
      <c r="H369" s="31">
        <v>0.33</v>
      </c>
      <c r="I369" s="94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</row>
    <row r="370" ht="15.75" customHeight="1">
      <c r="A370" s="145" t="s">
        <v>107</v>
      </c>
      <c r="B370" s="12"/>
      <c r="C370" s="12"/>
      <c r="D370" s="1"/>
      <c r="E370" s="1" t="s">
        <v>23</v>
      </c>
      <c r="F370" s="10">
        <v>79.99</v>
      </c>
      <c r="G370" s="10">
        <f t="shared" si="13"/>
        <v>59.9925</v>
      </c>
      <c r="H370" s="31">
        <v>0.25</v>
      </c>
      <c r="I370" s="94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</row>
    <row r="371" ht="15.75" customHeight="1">
      <c r="A371" s="145" t="s">
        <v>107</v>
      </c>
      <c r="B371" s="12">
        <v>45490.375</v>
      </c>
      <c r="C371" s="12">
        <v>45504.375</v>
      </c>
      <c r="D371" s="1" t="s">
        <v>419</v>
      </c>
      <c r="E371" s="1" t="s">
        <v>24</v>
      </c>
      <c r="F371" s="10">
        <v>29.99</v>
      </c>
      <c r="G371" s="10">
        <f t="shared" si="13"/>
        <v>14.995</v>
      </c>
      <c r="H371" s="31">
        <v>0.5</v>
      </c>
      <c r="I371" s="94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</row>
    <row r="372" ht="15.75" customHeight="1">
      <c r="A372" s="145" t="s">
        <v>107</v>
      </c>
      <c r="B372" s="12"/>
      <c r="C372" s="12"/>
      <c r="D372" s="1"/>
      <c r="E372" s="1" t="s">
        <v>25</v>
      </c>
      <c r="F372" s="10">
        <v>79.99</v>
      </c>
      <c r="G372" s="10">
        <f t="shared" si="13"/>
        <v>51.9935</v>
      </c>
      <c r="H372" s="31">
        <v>0.35</v>
      </c>
      <c r="I372" s="94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</row>
    <row r="373" ht="15.75" customHeight="1">
      <c r="A373" s="145" t="s">
        <v>107</v>
      </c>
      <c r="B373" s="12"/>
      <c r="C373" s="12"/>
      <c r="D373" s="1"/>
      <c r="E373" s="1" t="s">
        <v>32</v>
      </c>
      <c r="F373" s="10">
        <v>24.99</v>
      </c>
      <c r="G373" s="10">
        <f t="shared" si="13"/>
        <v>16.7433</v>
      </c>
      <c r="H373" s="31">
        <v>0.33</v>
      </c>
      <c r="I373" s="94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</row>
    <row r="374" ht="15.75" customHeight="1">
      <c r="A374" s="145" t="s">
        <v>107</v>
      </c>
      <c r="B374" s="12"/>
      <c r="C374" s="12"/>
      <c r="D374" s="1"/>
      <c r="E374" s="1" t="s">
        <v>34</v>
      </c>
      <c r="F374" s="10">
        <v>24.99</v>
      </c>
      <c r="G374" s="10">
        <f t="shared" si="13"/>
        <v>18.7425</v>
      </c>
      <c r="H374" s="31">
        <v>0.25</v>
      </c>
      <c r="I374" s="94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</row>
    <row r="375" ht="15.75" customHeight="1">
      <c r="A375" s="145" t="s">
        <v>107</v>
      </c>
      <c r="B375" s="12">
        <v>45504.0</v>
      </c>
      <c r="C375" s="12">
        <v>45518.0</v>
      </c>
      <c r="D375" s="1" t="s">
        <v>559</v>
      </c>
      <c r="E375" s="1" t="s">
        <v>17</v>
      </c>
      <c r="F375" s="10">
        <v>39.99</v>
      </c>
      <c r="G375" s="10">
        <f t="shared" si="13"/>
        <v>19.995</v>
      </c>
      <c r="H375" s="31">
        <v>0.5</v>
      </c>
      <c r="I375" s="94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</row>
    <row r="376" ht="15.75" customHeight="1">
      <c r="A376" s="145" t="s">
        <v>107</v>
      </c>
      <c r="B376" s="12"/>
      <c r="C376" s="12"/>
      <c r="D376" s="1"/>
      <c r="E376" s="1" t="s">
        <v>18</v>
      </c>
      <c r="F376" s="10">
        <v>24.99</v>
      </c>
      <c r="G376" s="10">
        <f t="shared" si="13"/>
        <v>16.2435</v>
      </c>
      <c r="H376" s="31">
        <v>0.35</v>
      </c>
      <c r="I376" s="94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</row>
    <row r="377" ht="15.75" customHeight="1">
      <c r="A377" s="145" t="s">
        <v>107</v>
      </c>
      <c r="B377" s="12"/>
      <c r="C377" s="12"/>
      <c r="D377" s="1"/>
      <c r="E377" s="1" t="s">
        <v>26</v>
      </c>
      <c r="F377" s="10" t="s">
        <v>4</v>
      </c>
      <c r="G377" s="10" t="s">
        <v>4</v>
      </c>
      <c r="H377" s="31">
        <v>0.35</v>
      </c>
      <c r="I377" s="94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</row>
    <row r="378" ht="15.75" customHeight="1">
      <c r="A378" s="145" t="s">
        <v>107</v>
      </c>
      <c r="B378" s="12"/>
      <c r="C378" s="12"/>
      <c r="D378" s="1"/>
      <c r="E378" s="1" t="s">
        <v>682</v>
      </c>
      <c r="F378" s="10" t="s">
        <v>4</v>
      </c>
      <c r="G378" s="10" t="s">
        <v>4</v>
      </c>
      <c r="H378" s="31">
        <v>0.35</v>
      </c>
      <c r="I378" s="94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</row>
    <row r="379" ht="15.75" customHeight="1">
      <c r="A379" s="145" t="s">
        <v>107</v>
      </c>
      <c r="B379" s="12"/>
      <c r="C379" s="12"/>
      <c r="D379" s="1"/>
      <c r="E379" s="1" t="s">
        <v>639</v>
      </c>
      <c r="F379" s="10">
        <v>6.99</v>
      </c>
      <c r="G379" s="10">
        <f t="shared" ref="G379:G395" si="14">F379*(1-H379)</f>
        <v>5.2425</v>
      </c>
      <c r="H379" s="31">
        <v>0.25</v>
      </c>
      <c r="I379" s="94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</row>
    <row r="380" ht="15.75" customHeight="1">
      <c r="A380" s="145" t="s">
        <v>107</v>
      </c>
      <c r="B380" s="12"/>
      <c r="C380" s="12"/>
      <c r="D380" s="1"/>
      <c r="E380" s="1" t="s">
        <v>688</v>
      </c>
      <c r="F380" s="10">
        <v>11.99</v>
      </c>
      <c r="G380" s="10">
        <f t="shared" si="14"/>
        <v>9.592</v>
      </c>
      <c r="H380" s="31">
        <v>0.2</v>
      </c>
      <c r="I380" s="94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</row>
    <row r="381" ht="15.75" customHeight="1">
      <c r="A381" s="145" t="s">
        <v>107</v>
      </c>
      <c r="B381" s="12">
        <v>45518.0</v>
      </c>
      <c r="C381" s="12">
        <v>45525.0</v>
      </c>
      <c r="D381" s="1" t="s">
        <v>561</v>
      </c>
      <c r="E381" s="1" t="s">
        <v>24</v>
      </c>
      <c r="F381" s="10">
        <v>29.99</v>
      </c>
      <c r="G381" s="10">
        <f t="shared" si="14"/>
        <v>14.995</v>
      </c>
      <c r="H381" s="31">
        <v>0.5</v>
      </c>
      <c r="I381" s="94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</row>
    <row r="382" ht="15.75" customHeight="1">
      <c r="A382" s="145" t="s">
        <v>107</v>
      </c>
      <c r="B382" s="12"/>
      <c r="C382" s="12"/>
      <c r="D382" s="1"/>
      <c r="E382" s="1" t="s">
        <v>25</v>
      </c>
      <c r="F382" s="10">
        <v>79.99</v>
      </c>
      <c r="G382" s="10">
        <f t="shared" si="14"/>
        <v>51.9935</v>
      </c>
      <c r="H382" s="31">
        <v>0.35</v>
      </c>
      <c r="I382" s="94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</row>
    <row r="383" ht="15.75" customHeight="1">
      <c r="A383" s="145" t="s">
        <v>107</v>
      </c>
      <c r="B383" s="12"/>
      <c r="C383" s="12"/>
      <c r="D383" s="1"/>
      <c r="E383" s="1" t="s">
        <v>32</v>
      </c>
      <c r="F383" s="10">
        <v>24.99</v>
      </c>
      <c r="G383" s="10">
        <f t="shared" si="14"/>
        <v>16.7433</v>
      </c>
      <c r="H383" s="31">
        <v>0.33</v>
      </c>
      <c r="I383" s="94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</row>
    <row r="384" ht="15.75" customHeight="1">
      <c r="A384" s="145" t="s">
        <v>107</v>
      </c>
      <c r="B384" s="12"/>
      <c r="C384" s="12"/>
      <c r="D384" s="1"/>
      <c r="E384" s="1" t="s">
        <v>34</v>
      </c>
      <c r="F384" s="10">
        <v>24.99</v>
      </c>
      <c r="G384" s="10">
        <f t="shared" si="14"/>
        <v>18.7425</v>
      </c>
      <c r="H384" s="31">
        <v>0.25</v>
      </c>
      <c r="I384" s="94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</row>
    <row r="385" ht="15.75" customHeight="1">
      <c r="A385" s="145" t="s">
        <v>107</v>
      </c>
      <c r="B385" s="12">
        <v>45518.0</v>
      </c>
      <c r="C385" s="12">
        <v>45532.0</v>
      </c>
      <c r="D385" s="1" t="s">
        <v>562</v>
      </c>
      <c r="E385" s="1" t="s">
        <v>19</v>
      </c>
      <c r="F385" s="10">
        <v>69.99</v>
      </c>
      <c r="G385" s="10">
        <f t="shared" si="14"/>
        <v>38.4945</v>
      </c>
      <c r="H385" s="31">
        <v>0.45</v>
      </c>
      <c r="I385" s="94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</row>
    <row r="386" ht="15.75" customHeight="1">
      <c r="A386" s="145" t="s">
        <v>107</v>
      </c>
      <c r="B386" s="12"/>
      <c r="C386" s="12"/>
      <c r="D386" s="1"/>
      <c r="E386" s="1" t="s">
        <v>20</v>
      </c>
      <c r="F386" s="10">
        <v>109.99</v>
      </c>
      <c r="G386" s="10">
        <f t="shared" si="14"/>
        <v>79.1928</v>
      </c>
      <c r="H386" s="31">
        <v>0.28</v>
      </c>
      <c r="I386" s="94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</row>
    <row r="387" ht="15.75" customHeight="1">
      <c r="A387" s="145" t="s">
        <v>107</v>
      </c>
      <c r="B387" s="12"/>
      <c r="C387" s="12"/>
      <c r="D387" s="1"/>
      <c r="E387" s="1" t="s">
        <v>21</v>
      </c>
      <c r="F387" s="10">
        <v>39.99</v>
      </c>
      <c r="G387" s="10">
        <f t="shared" si="14"/>
        <v>26.7933</v>
      </c>
      <c r="H387" s="31">
        <v>0.33</v>
      </c>
      <c r="I387" s="94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</row>
    <row r="388" ht="15.75" customHeight="1">
      <c r="A388" s="145" t="s">
        <v>107</v>
      </c>
      <c r="B388" s="12"/>
      <c r="C388" s="12"/>
      <c r="D388" s="1"/>
      <c r="E388" s="1" t="s">
        <v>22</v>
      </c>
      <c r="F388" s="10">
        <v>59.99</v>
      </c>
      <c r="G388" s="10">
        <f t="shared" si="14"/>
        <v>40.1933</v>
      </c>
      <c r="H388" s="31">
        <v>0.33</v>
      </c>
      <c r="I388" s="94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</row>
    <row r="389" ht="15.75" customHeight="1">
      <c r="A389" s="145" t="s">
        <v>107</v>
      </c>
      <c r="B389" s="12"/>
      <c r="C389" s="12"/>
      <c r="D389" s="1"/>
      <c r="E389" s="1" t="s">
        <v>23</v>
      </c>
      <c r="F389" s="10">
        <v>79.99</v>
      </c>
      <c r="G389" s="10">
        <f t="shared" si="14"/>
        <v>59.9925</v>
      </c>
      <c r="H389" s="31">
        <v>0.25</v>
      </c>
      <c r="I389" s="94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</row>
    <row r="390" ht="15.75" customHeight="1">
      <c r="A390" s="145" t="s">
        <v>107</v>
      </c>
      <c r="B390" s="12">
        <v>45532.0</v>
      </c>
      <c r="C390" s="12">
        <v>45546.0</v>
      </c>
      <c r="D390" s="1" t="s">
        <v>144</v>
      </c>
      <c r="E390" s="1" t="s">
        <v>24</v>
      </c>
      <c r="F390" s="10">
        <v>29.99</v>
      </c>
      <c r="G390" s="10">
        <f t="shared" si="14"/>
        <v>14.995</v>
      </c>
      <c r="H390" s="31">
        <v>0.5</v>
      </c>
      <c r="I390" s="94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</row>
    <row r="391" ht="15.75" customHeight="1">
      <c r="A391" s="145" t="s">
        <v>107</v>
      </c>
      <c r="B391" s="12"/>
      <c r="C391" s="12"/>
      <c r="D391" s="1"/>
      <c r="E391" s="1" t="s">
        <v>25</v>
      </c>
      <c r="F391" s="10">
        <v>79.99</v>
      </c>
      <c r="G391" s="10">
        <f t="shared" si="14"/>
        <v>51.9935</v>
      </c>
      <c r="H391" s="31">
        <v>0.35</v>
      </c>
      <c r="I391" s="94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</row>
    <row r="392" ht="15.75" customHeight="1">
      <c r="A392" s="145" t="s">
        <v>107</v>
      </c>
      <c r="B392" s="12"/>
      <c r="C392" s="12"/>
      <c r="D392" s="1"/>
      <c r="E392" s="1" t="s">
        <v>32</v>
      </c>
      <c r="F392" s="10">
        <v>24.99</v>
      </c>
      <c r="G392" s="10">
        <f t="shared" si="14"/>
        <v>16.7433</v>
      </c>
      <c r="H392" s="31">
        <v>0.33</v>
      </c>
      <c r="I392" s="94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</row>
    <row r="393" ht="15.75" customHeight="1">
      <c r="A393" s="145" t="s">
        <v>107</v>
      </c>
      <c r="B393" s="12"/>
      <c r="C393" s="12"/>
      <c r="D393" s="1"/>
      <c r="E393" s="1" t="s">
        <v>34</v>
      </c>
      <c r="F393" s="10">
        <v>24.99</v>
      </c>
      <c r="G393" s="10">
        <f t="shared" si="14"/>
        <v>18.7425</v>
      </c>
      <c r="H393" s="31">
        <v>0.25</v>
      </c>
      <c r="I393" s="94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</row>
    <row r="394" ht="15.75" customHeight="1">
      <c r="A394" s="145" t="s">
        <v>107</v>
      </c>
      <c r="B394" s="12">
        <v>45546.0</v>
      </c>
      <c r="C394" s="12">
        <v>45560.0</v>
      </c>
      <c r="D394" s="1" t="s">
        <v>424</v>
      </c>
      <c r="E394" s="1" t="s">
        <v>17</v>
      </c>
      <c r="F394" s="10">
        <v>39.99</v>
      </c>
      <c r="G394" s="10">
        <f t="shared" si="14"/>
        <v>19.995</v>
      </c>
      <c r="H394" s="31">
        <v>0.5</v>
      </c>
      <c r="I394" s="94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</row>
    <row r="395" ht="15.75" customHeight="1">
      <c r="A395" s="145" t="s">
        <v>107</v>
      </c>
      <c r="B395" s="12"/>
      <c r="C395" s="12"/>
      <c r="D395" s="1"/>
      <c r="E395" s="1" t="s">
        <v>18</v>
      </c>
      <c r="F395" s="10">
        <v>24.99</v>
      </c>
      <c r="G395" s="10">
        <f t="shared" si="14"/>
        <v>16.2435</v>
      </c>
      <c r="H395" s="31">
        <v>0.35</v>
      </c>
      <c r="I395" s="94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</row>
    <row r="396" ht="15.75" customHeight="1">
      <c r="A396" s="145" t="s">
        <v>107</v>
      </c>
      <c r="B396" s="12"/>
      <c r="C396" s="12"/>
      <c r="D396" s="1"/>
      <c r="E396" s="1" t="s">
        <v>26</v>
      </c>
      <c r="F396" s="10" t="s">
        <v>4</v>
      </c>
      <c r="G396" s="10" t="s">
        <v>4</v>
      </c>
      <c r="H396" s="31">
        <v>0.35</v>
      </c>
      <c r="I396" s="94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</row>
    <row r="397" ht="15.75" customHeight="1">
      <c r="A397" s="145" t="s">
        <v>107</v>
      </c>
      <c r="B397" s="12"/>
      <c r="C397" s="12"/>
      <c r="D397" s="1"/>
      <c r="E397" s="1" t="s">
        <v>682</v>
      </c>
      <c r="F397" s="10" t="s">
        <v>4</v>
      </c>
      <c r="G397" s="10" t="s">
        <v>4</v>
      </c>
      <c r="H397" s="31">
        <v>0.35</v>
      </c>
      <c r="I397" s="94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</row>
    <row r="398" ht="15.75" customHeight="1">
      <c r="A398" s="145" t="s">
        <v>107</v>
      </c>
      <c r="B398" s="12"/>
      <c r="C398" s="12"/>
      <c r="D398" s="1"/>
      <c r="E398" s="1" t="s">
        <v>639</v>
      </c>
      <c r="F398" s="10">
        <v>6.99</v>
      </c>
      <c r="G398" s="10">
        <f t="shared" ref="G398:G410" si="15">F398*(1-H398)</f>
        <v>5.2425</v>
      </c>
      <c r="H398" s="31">
        <v>0.25</v>
      </c>
      <c r="I398" s="94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</row>
    <row r="399" ht="15.75" customHeight="1">
      <c r="A399" s="145" t="s">
        <v>107</v>
      </c>
      <c r="B399" s="12"/>
      <c r="C399" s="12"/>
      <c r="D399" s="1"/>
      <c r="E399" s="1" t="s">
        <v>688</v>
      </c>
      <c r="F399" s="10">
        <v>11.99</v>
      </c>
      <c r="G399" s="10">
        <f t="shared" si="15"/>
        <v>9.592</v>
      </c>
      <c r="H399" s="31">
        <v>0.2</v>
      </c>
      <c r="I399" s="94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</row>
    <row r="400" ht="15.75" customHeight="1">
      <c r="A400" s="145" t="s">
        <v>107</v>
      </c>
      <c r="B400" s="12">
        <v>45560.0</v>
      </c>
      <c r="C400" s="12">
        <v>45574.0</v>
      </c>
      <c r="D400" s="1" t="s">
        <v>525</v>
      </c>
      <c r="E400" s="1" t="s">
        <v>19</v>
      </c>
      <c r="F400" s="10">
        <v>69.99</v>
      </c>
      <c r="G400" s="10">
        <f t="shared" si="15"/>
        <v>38.4945</v>
      </c>
      <c r="H400" s="31">
        <v>0.45</v>
      </c>
      <c r="I400" s="94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</row>
    <row r="401" ht="15.75" customHeight="1">
      <c r="A401" s="145" t="s">
        <v>107</v>
      </c>
      <c r="B401" s="12"/>
      <c r="C401" s="12"/>
      <c r="D401" s="1"/>
      <c r="E401" s="1" t="s">
        <v>20</v>
      </c>
      <c r="F401" s="10">
        <v>109.99</v>
      </c>
      <c r="G401" s="10">
        <f t="shared" si="15"/>
        <v>79.1928</v>
      </c>
      <c r="H401" s="31">
        <v>0.28</v>
      </c>
      <c r="I401" s="94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</row>
    <row r="402" ht="15.75" customHeight="1">
      <c r="A402" s="145" t="s">
        <v>107</v>
      </c>
      <c r="B402" s="12"/>
      <c r="C402" s="12"/>
      <c r="D402" s="1"/>
      <c r="E402" s="1" t="s">
        <v>21</v>
      </c>
      <c r="F402" s="10">
        <v>39.99</v>
      </c>
      <c r="G402" s="10">
        <f t="shared" si="15"/>
        <v>26.7933</v>
      </c>
      <c r="H402" s="31">
        <v>0.33</v>
      </c>
      <c r="I402" s="94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</row>
    <row r="403" ht="15.75" customHeight="1">
      <c r="A403" s="145" t="s">
        <v>107</v>
      </c>
      <c r="B403" s="12"/>
      <c r="C403" s="12"/>
      <c r="D403" s="1"/>
      <c r="E403" s="1" t="s">
        <v>22</v>
      </c>
      <c r="F403" s="10">
        <v>59.99</v>
      </c>
      <c r="G403" s="10">
        <f t="shared" si="15"/>
        <v>40.1933</v>
      </c>
      <c r="H403" s="31">
        <v>0.33</v>
      </c>
      <c r="I403" s="94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</row>
    <row r="404" ht="15.75" customHeight="1">
      <c r="A404" s="145" t="s">
        <v>107</v>
      </c>
      <c r="B404" s="12"/>
      <c r="C404" s="12"/>
      <c r="D404" s="1"/>
      <c r="E404" s="1" t="s">
        <v>23</v>
      </c>
      <c r="F404" s="10">
        <v>79.99</v>
      </c>
      <c r="G404" s="10">
        <f t="shared" si="15"/>
        <v>59.9925</v>
      </c>
      <c r="H404" s="31">
        <v>0.25</v>
      </c>
      <c r="I404" s="94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</row>
    <row r="405" ht="15.75" customHeight="1">
      <c r="A405" s="145" t="s">
        <v>107</v>
      </c>
      <c r="B405" s="12">
        <v>45574.0</v>
      </c>
      <c r="C405" s="12">
        <v>45588.0</v>
      </c>
      <c r="D405" s="1" t="s">
        <v>564</v>
      </c>
      <c r="E405" s="1" t="s">
        <v>24</v>
      </c>
      <c r="F405" s="10">
        <v>29.99</v>
      </c>
      <c r="G405" s="10">
        <f t="shared" si="15"/>
        <v>14.995</v>
      </c>
      <c r="H405" s="31">
        <v>0.5</v>
      </c>
      <c r="I405" s="94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</row>
    <row r="406" ht="15.75" customHeight="1">
      <c r="A406" s="145" t="s">
        <v>107</v>
      </c>
      <c r="B406" s="12"/>
      <c r="C406" s="12"/>
      <c r="D406" s="1"/>
      <c r="E406" s="1" t="s">
        <v>25</v>
      </c>
      <c r="F406" s="10">
        <v>79.99</v>
      </c>
      <c r="G406" s="10">
        <f t="shared" si="15"/>
        <v>51.9935</v>
      </c>
      <c r="H406" s="31">
        <v>0.35</v>
      </c>
      <c r="I406" s="94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</row>
    <row r="407" ht="15.75" customHeight="1">
      <c r="A407" s="145" t="s">
        <v>107</v>
      </c>
      <c r="B407" s="12"/>
      <c r="C407" s="12"/>
      <c r="D407" s="1"/>
      <c r="E407" s="1" t="s">
        <v>32</v>
      </c>
      <c r="F407" s="10">
        <v>24.99</v>
      </c>
      <c r="G407" s="10">
        <f t="shared" si="15"/>
        <v>16.7433</v>
      </c>
      <c r="H407" s="31">
        <v>0.33</v>
      </c>
      <c r="I407" s="94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</row>
    <row r="408" ht="15.75" customHeight="1">
      <c r="A408" s="145" t="s">
        <v>107</v>
      </c>
      <c r="B408" s="12"/>
      <c r="C408" s="12"/>
      <c r="D408" s="1"/>
      <c r="E408" s="1" t="s">
        <v>34</v>
      </c>
      <c r="F408" s="10">
        <v>24.99</v>
      </c>
      <c r="G408" s="10">
        <f t="shared" si="15"/>
        <v>18.7425</v>
      </c>
      <c r="H408" s="31">
        <v>0.25</v>
      </c>
      <c r="I408" s="94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</row>
    <row r="409" ht="15.75" customHeight="1">
      <c r="A409" s="145" t="s">
        <v>107</v>
      </c>
      <c r="B409" s="12">
        <v>45588.0</v>
      </c>
      <c r="C409" s="12">
        <v>45602.0</v>
      </c>
      <c r="D409" s="1" t="s">
        <v>554</v>
      </c>
      <c r="E409" s="1" t="s">
        <v>17</v>
      </c>
      <c r="F409" s="10">
        <v>39.99</v>
      </c>
      <c r="G409" s="10">
        <f t="shared" si="15"/>
        <v>19.995</v>
      </c>
      <c r="H409" s="31">
        <v>0.5</v>
      </c>
      <c r="I409" s="94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</row>
    <row r="410" ht="15.75" customHeight="1">
      <c r="A410" s="145" t="s">
        <v>107</v>
      </c>
      <c r="B410" s="12"/>
      <c r="C410" s="12"/>
      <c r="D410" s="1"/>
      <c r="E410" s="1" t="s">
        <v>18</v>
      </c>
      <c r="F410" s="10">
        <v>24.99</v>
      </c>
      <c r="G410" s="10">
        <f t="shared" si="15"/>
        <v>16.2435</v>
      </c>
      <c r="H410" s="31">
        <v>0.35</v>
      </c>
      <c r="I410" s="94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</row>
    <row r="411" ht="15.75" customHeight="1">
      <c r="A411" s="145" t="s">
        <v>107</v>
      </c>
      <c r="B411" s="12"/>
      <c r="C411" s="12"/>
      <c r="D411" s="1"/>
      <c r="E411" s="1" t="s">
        <v>26</v>
      </c>
      <c r="F411" s="10" t="s">
        <v>4</v>
      </c>
      <c r="G411" s="10" t="s">
        <v>4</v>
      </c>
      <c r="H411" s="31">
        <v>0.35</v>
      </c>
      <c r="I411" s="94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</row>
    <row r="412" ht="15.75" customHeight="1">
      <c r="A412" s="145" t="s">
        <v>107</v>
      </c>
      <c r="B412" s="12"/>
      <c r="C412" s="12"/>
      <c r="D412" s="1"/>
      <c r="E412" s="1" t="s">
        <v>682</v>
      </c>
      <c r="F412" s="10" t="s">
        <v>4</v>
      </c>
      <c r="G412" s="10" t="s">
        <v>4</v>
      </c>
      <c r="H412" s="31">
        <v>0.35</v>
      </c>
      <c r="I412" s="94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</row>
    <row r="413" ht="15.75" customHeight="1">
      <c r="A413" s="145" t="s">
        <v>107</v>
      </c>
      <c r="B413" s="12"/>
      <c r="C413" s="12"/>
      <c r="D413" s="1"/>
      <c r="E413" s="1" t="s">
        <v>639</v>
      </c>
      <c r="F413" s="10">
        <v>6.99</v>
      </c>
      <c r="G413" s="10">
        <f t="shared" ref="G413:G430" si="16">F413*(1-H413)</f>
        <v>4.893</v>
      </c>
      <c r="H413" s="31">
        <v>0.3</v>
      </c>
      <c r="I413" s="94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</row>
    <row r="414" ht="15.75" customHeight="1">
      <c r="A414" s="145" t="s">
        <v>107</v>
      </c>
      <c r="B414" s="12"/>
      <c r="C414" s="12"/>
      <c r="D414" s="1"/>
      <c r="E414" s="1" t="s">
        <v>688</v>
      </c>
      <c r="F414" s="10">
        <v>11.99</v>
      </c>
      <c r="G414" s="10">
        <f t="shared" si="16"/>
        <v>8.9925</v>
      </c>
      <c r="H414" s="31">
        <v>0.25</v>
      </c>
      <c r="I414" s="94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</row>
    <row r="415" ht="15.75" customHeight="1">
      <c r="A415" s="145" t="s">
        <v>107</v>
      </c>
      <c r="B415" s="12"/>
      <c r="C415" s="12"/>
      <c r="D415" s="1"/>
      <c r="E415" s="1" t="s">
        <v>730</v>
      </c>
      <c r="F415" s="10">
        <v>6.99</v>
      </c>
      <c r="G415" s="10">
        <f t="shared" si="16"/>
        <v>5.592</v>
      </c>
      <c r="H415" s="31">
        <v>0.2</v>
      </c>
      <c r="I415" s="94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</row>
    <row r="416" ht="15.75" customHeight="1">
      <c r="A416" s="145" t="s">
        <v>107</v>
      </c>
      <c r="B416" s="12">
        <v>45602.0</v>
      </c>
      <c r="C416" s="12">
        <v>45618.0</v>
      </c>
      <c r="D416" s="1" t="s">
        <v>619</v>
      </c>
      <c r="E416" s="1" t="s">
        <v>19</v>
      </c>
      <c r="F416" s="10">
        <v>69.99</v>
      </c>
      <c r="G416" s="10">
        <f t="shared" si="16"/>
        <v>38.4945</v>
      </c>
      <c r="H416" s="31">
        <v>0.45</v>
      </c>
      <c r="I416" s="94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</row>
    <row r="417" ht="15.75" customHeight="1">
      <c r="A417" s="145" t="s">
        <v>107</v>
      </c>
      <c r="B417" s="12"/>
      <c r="C417" s="12"/>
      <c r="D417" s="1"/>
      <c r="E417" s="1" t="s">
        <v>20</v>
      </c>
      <c r="F417" s="10">
        <v>109.99</v>
      </c>
      <c r="G417" s="10">
        <f t="shared" si="16"/>
        <v>79.1928</v>
      </c>
      <c r="H417" s="31">
        <v>0.28</v>
      </c>
      <c r="I417" s="94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</row>
    <row r="418" ht="15.75" customHeight="1">
      <c r="A418" s="145" t="s">
        <v>107</v>
      </c>
      <c r="B418" s="12"/>
      <c r="C418" s="12"/>
      <c r="D418" s="1"/>
      <c r="E418" s="1" t="s">
        <v>21</v>
      </c>
      <c r="F418" s="10">
        <v>39.99</v>
      </c>
      <c r="G418" s="10">
        <f t="shared" si="16"/>
        <v>26.7933</v>
      </c>
      <c r="H418" s="31">
        <v>0.33</v>
      </c>
      <c r="I418" s="94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</row>
    <row r="419" ht="15.75" customHeight="1">
      <c r="A419" s="145" t="s">
        <v>107</v>
      </c>
      <c r="B419" s="12"/>
      <c r="C419" s="12"/>
      <c r="D419" s="1"/>
      <c r="E419" s="1" t="s">
        <v>22</v>
      </c>
      <c r="F419" s="10">
        <v>59.99</v>
      </c>
      <c r="G419" s="10">
        <f t="shared" si="16"/>
        <v>40.1933</v>
      </c>
      <c r="H419" s="31">
        <v>0.33</v>
      </c>
      <c r="I419" s="94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</row>
    <row r="420" ht="15.75" customHeight="1">
      <c r="A420" s="145" t="s">
        <v>107</v>
      </c>
      <c r="B420" s="12"/>
      <c r="C420" s="12"/>
      <c r="D420" s="1"/>
      <c r="E420" s="1" t="s">
        <v>23</v>
      </c>
      <c r="F420" s="10">
        <v>79.99</v>
      </c>
      <c r="G420" s="10">
        <f t="shared" si="16"/>
        <v>59.9925</v>
      </c>
      <c r="H420" s="31">
        <v>0.25</v>
      </c>
      <c r="I420" s="94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</row>
    <row r="421" ht="15.75" customHeight="1">
      <c r="A421" s="145" t="s">
        <v>107</v>
      </c>
      <c r="B421" s="100">
        <v>45602.0</v>
      </c>
      <c r="C421" s="100">
        <v>45603.0</v>
      </c>
      <c r="D421" s="1" t="s">
        <v>567</v>
      </c>
      <c r="E421" s="1" t="s">
        <v>24</v>
      </c>
      <c r="F421" s="10">
        <v>29.99</v>
      </c>
      <c r="G421" s="10">
        <f t="shared" si="16"/>
        <v>14.995</v>
      </c>
      <c r="H421" s="31">
        <v>0.5</v>
      </c>
      <c r="I421" s="94" t="s">
        <v>568</v>
      </c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</row>
    <row r="422" ht="15.75" customHeight="1">
      <c r="A422" s="145" t="s">
        <v>107</v>
      </c>
      <c r="B422" s="12"/>
      <c r="C422" s="12"/>
      <c r="D422" s="1"/>
      <c r="E422" s="1" t="s">
        <v>25</v>
      </c>
      <c r="F422" s="10">
        <v>79.99</v>
      </c>
      <c r="G422" s="10">
        <f t="shared" si="16"/>
        <v>51.9935</v>
      </c>
      <c r="H422" s="31">
        <v>0.35</v>
      </c>
      <c r="I422" s="94" t="s">
        <v>568</v>
      </c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</row>
    <row r="423" ht="15.75" customHeight="1">
      <c r="A423" s="145" t="s">
        <v>107</v>
      </c>
      <c r="B423" s="12"/>
      <c r="C423" s="12"/>
      <c r="D423" s="1"/>
      <c r="E423" s="1" t="s">
        <v>32</v>
      </c>
      <c r="F423" s="10">
        <v>24.99</v>
      </c>
      <c r="G423" s="10">
        <f t="shared" si="16"/>
        <v>16.7433</v>
      </c>
      <c r="H423" s="31">
        <v>0.33</v>
      </c>
      <c r="I423" s="94" t="s">
        <v>568</v>
      </c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</row>
    <row r="424" ht="15.75" customHeight="1">
      <c r="A424" s="145" t="s">
        <v>107</v>
      </c>
      <c r="B424" s="12"/>
      <c r="C424" s="12"/>
      <c r="D424" s="1"/>
      <c r="E424" s="1" t="s">
        <v>34</v>
      </c>
      <c r="F424" s="10">
        <v>24.99</v>
      </c>
      <c r="G424" s="10">
        <f t="shared" si="16"/>
        <v>18.7425</v>
      </c>
      <c r="H424" s="31">
        <v>0.25</v>
      </c>
      <c r="I424" s="94" t="s">
        <v>568</v>
      </c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</row>
    <row r="425" ht="15.75" customHeight="1">
      <c r="A425" s="145" t="s">
        <v>107</v>
      </c>
      <c r="B425" s="12">
        <v>45618.0</v>
      </c>
      <c r="C425" s="12">
        <v>45628.0</v>
      </c>
      <c r="D425" s="1" t="s">
        <v>425</v>
      </c>
      <c r="E425" s="1" t="s">
        <v>24</v>
      </c>
      <c r="F425" s="10">
        <v>29.99</v>
      </c>
      <c r="G425" s="10">
        <f t="shared" si="16"/>
        <v>14.995</v>
      </c>
      <c r="H425" s="180">
        <v>0.5</v>
      </c>
      <c r="I425" s="94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</row>
    <row r="426" ht="15.75" customHeight="1">
      <c r="A426" s="145" t="s">
        <v>107</v>
      </c>
      <c r="B426" s="12"/>
      <c r="C426" s="12"/>
      <c r="D426" s="1"/>
      <c r="E426" s="1" t="s">
        <v>25</v>
      </c>
      <c r="F426" s="10">
        <v>79.99</v>
      </c>
      <c r="G426" s="10">
        <f t="shared" si="16"/>
        <v>47.994</v>
      </c>
      <c r="H426" s="23">
        <v>0.4</v>
      </c>
      <c r="I426" s="94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</row>
    <row r="427" ht="15.75" customHeight="1">
      <c r="A427" s="145" t="s">
        <v>107</v>
      </c>
      <c r="B427" s="12"/>
      <c r="C427" s="12"/>
      <c r="D427" s="1"/>
      <c r="E427" s="1" t="s">
        <v>32</v>
      </c>
      <c r="F427" s="10">
        <v>24.99</v>
      </c>
      <c r="G427" s="10">
        <f t="shared" si="16"/>
        <v>16.7433</v>
      </c>
      <c r="H427" s="31">
        <v>0.33</v>
      </c>
      <c r="I427" s="94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</row>
    <row r="428" ht="15.75" customHeight="1">
      <c r="A428" s="145" t="s">
        <v>107</v>
      </c>
      <c r="B428" s="12"/>
      <c r="C428" s="12"/>
      <c r="D428" s="1"/>
      <c r="E428" s="1" t="s">
        <v>34</v>
      </c>
      <c r="F428" s="10">
        <v>24.99</v>
      </c>
      <c r="G428" s="10">
        <f t="shared" si="16"/>
        <v>18.7425</v>
      </c>
      <c r="H428" s="31">
        <v>0.25</v>
      </c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</row>
    <row r="429" ht="15.75" customHeight="1">
      <c r="A429" s="145" t="s">
        <v>107</v>
      </c>
      <c r="B429" s="12">
        <v>45628.0</v>
      </c>
      <c r="C429" s="12">
        <v>45646.0</v>
      </c>
      <c r="D429" s="1" t="s">
        <v>571</v>
      </c>
      <c r="E429" s="1" t="s">
        <v>17</v>
      </c>
      <c r="F429" s="10">
        <v>39.99</v>
      </c>
      <c r="G429" s="10">
        <f t="shared" si="16"/>
        <v>19.995</v>
      </c>
      <c r="H429" s="180">
        <v>0.5</v>
      </c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</row>
    <row r="430" ht="15.75" customHeight="1">
      <c r="A430" s="145" t="s">
        <v>107</v>
      </c>
      <c r="B430" s="12"/>
      <c r="C430" s="12"/>
      <c r="D430" s="1"/>
      <c r="E430" s="1" t="s">
        <v>18</v>
      </c>
      <c r="F430" s="10">
        <v>24.99</v>
      </c>
      <c r="G430" s="10">
        <f t="shared" si="16"/>
        <v>16.2435</v>
      </c>
      <c r="H430" s="31">
        <v>0.35</v>
      </c>
      <c r="N430" s="108"/>
      <c r="O430" s="108"/>
      <c r="Q430" s="181" t="s">
        <v>24</v>
      </c>
      <c r="R430" s="182">
        <v>29.99</v>
      </c>
      <c r="S430" s="182">
        <f t="shared" ref="S430:S434" si="17">R430*(1-T430)</f>
        <v>14.995</v>
      </c>
      <c r="T430" s="183">
        <v>0.5</v>
      </c>
      <c r="U430" s="108"/>
      <c r="V430" s="108"/>
      <c r="W430" s="108"/>
      <c r="X430" s="108"/>
      <c r="Y430" s="108"/>
      <c r="Z430" s="108"/>
    </row>
    <row r="431" ht="15.75" customHeight="1">
      <c r="A431" s="145" t="s">
        <v>107</v>
      </c>
      <c r="B431" s="12"/>
      <c r="C431" s="12"/>
      <c r="D431" s="1"/>
      <c r="E431" s="1" t="s">
        <v>26</v>
      </c>
      <c r="F431" s="10" t="s">
        <v>4</v>
      </c>
      <c r="G431" s="10" t="s">
        <v>4</v>
      </c>
      <c r="H431" s="31">
        <v>0.35</v>
      </c>
      <c r="N431" s="108"/>
      <c r="O431" s="108"/>
      <c r="P431" s="94"/>
      <c r="Q431" s="181" t="s">
        <v>17</v>
      </c>
      <c r="R431" s="182">
        <v>39.99</v>
      </c>
      <c r="S431" s="182">
        <f t="shared" si="17"/>
        <v>19.995</v>
      </c>
      <c r="T431" s="183">
        <v>0.5</v>
      </c>
      <c r="U431" s="108"/>
      <c r="V431" s="108"/>
      <c r="W431" s="108"/>
      <c r="X431" s="108"/>
      <c r="Y431" s="108"/>
      <c r="Z431" s="108"/>
    </row>
    <row r="432" ht="15.75" customHeight="1">
      <c r="A432" s="145" t="s">
        <v>107</v>
      </c>
      <c r="B432" s="12"/>
      <c r="C432" s="12"/>
      <c r="D432" s="1"/>
      <c r="E432" s="1" t="s">
        <v>682</v>
      </c>
      <c r="F432" s="10" t="s">
        <v>4</v>
      </c>
      <c r="G432" s="10" t="s">
        <v>4</v>
      </c>
      <c r="H432" s="31">
        <v>0.35</v>
      </c>
      <c r="N432" s="108"/>
      <c r="O432" s="108"/>
      <c r="P432" s="94"/>
      <c r="Q432" s="181" t="s">
        <v>19</v>
      </c>
      <c r="R432" s="182">
        <v>69.99</v>
      </c>
      <c r="S432" s="182">
        <f t="shared" si="17"/>
        <v>38.4945</v>
      </c>
      <c r="T432" s="183">
        <v>0.45</v>
      </c>
      <c r="U432" s="108"/>
      <c r="V432" s="108"/>
      <c r="W432" s="108"/>
      <c r="X432" s="108"/>
      <c r="Y432" s="108"/>
      <c r="Z432" s="108"/>
    </row>
    <row r="433" ht="15.75" customHeight="1">
      <c r="A433" s="145" t="s">
        <v>107</v>
      </c>
      <c r="B433" s="12"/>
      <c r="C433" s="12"/>
      <c r="D433" s="1"/>
      <c r="E433" s="1" t="s">
        <v>639</v>
      </c>
      <c r="F433" s="10">
        <v>6.99</v>
      </c>
      <c r="G433" s="10">
        <f t="shared" ref="G433:G442" si="18">F433*(1-H433)</f>
        <v>4.893</v>
      </c>
      <c r="H433" s="31">
        <v>0.3</v>
      </c>
      <c r="N433" s="108"/>
      <c r="O433" s="108"/>
      <c r="P433" s="94"/>
      <c r="Q433" s="181" t="s">
        <v>25</v>
      </c>
      <c r="R433" s="182">
        <v>79.99</v>
      </c>
      <c r="S433" s="182">
        <f t="shared" si="17"/>
        <v>51.9935</v>
      </c>
      <c r="T433" s="183">
        <v>0.35</v>
      </c>
      <c r="U433" s="108"/>
      <c r="V433" s="108"/>
      <c r="W433" s="108"/>
      <c r="X433" s="108"/>
      <c r="Y433" s="108"/>
      <c r="Z433" s="108"/>
    </row>
    <row r="434" ht="15.75" customHeight="1">
      <c r="A434" s="145" t="s">
        <v>107</v>
      </c>
      <c r="B434" s="12"/>
      <c r="C434" s="12"/>
      <c r="D434" s="1"/>
      <c r="E434" s="1" t="s">
        <v>688</v>
      </c>
      <c r="F434" s="10">
        <v>11.99</v>
      </c>
      <c r="G434" s="10">
        <f t="shared" si="18"/>
        <v>8.9925</v>
      </c>
      <c r="H434" s="31">
        <v>0.25</v>
      </c>
      <c r="N434" s="108"/>
      <c r="O434" s="108"/>
      <c r="P434" s="94"/>
      <c r="Q434" s="181" t="s">
        <v>20</v>
      </c>
      <c r="R434" s="182">
        <v>109.99</v>
      </c>
      <c r="S434" s="182">
        <f t="shared" si="17"/>
        <v>79.1928</v>
      </c>
      <c r="T434" s="183">
        <v>0.28</v>
      </c>
      <c r="U434" s="108"/>
      <c r="V434" s="108"/>
      <c r="W434" s="108"/>
      <c r="X434" s="108"/>
      <c r="Y434" s="108"/>
      <c r="Z434" s="108"/>
    </row>
    <row r="435" ht="15.75" customHeight="1">
      <c r="A435" s="145" t="s">
        <v>107</v>
      </c>
      <c r="B435" s="12"/>
      <c r="C435" s="12"/>
      <c r="D435" s="1"/>
      <c r="E435" s="1" t="s">
        <v>730</v>
      </c>
      <c r="F435" s="10">
        <v>6.99</v>
      </c>
      <c r="G435" s="10">
        <f t="shared" si="18"/>
        <v>5.592</v>
      </c>
      <c r="H435" s="31">
        <v>0.2</v>
      </c>
      <c r="N435" s="108"/>
      <c r="O435" s="108"/>
      <c r="P435" s="94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</row>
    <row r="436" ht="15.75" customHeight="1">
      <c r="A436" s="145" t="s">
        <v>107</v>
      </c>
      <c r="B436" s="12">
        <v>45646.0</v>
      </c>
      <c r="C436" s="12">
        <v>45657.0</v>
      </c>
      <c r="D436" s="1" t="s">
        <v>316</v>
      </c>
      <c r="E436" s="1" t="s">
        <v>19</v>
      </c>
      <c r="F436" s="10">
        <v>69.99</v>
      </c>
      <c r="G436" s="10">
        <f t="shared" si="18"/>
        <v>34.995</v>
      </c>
      <c r="H436" s="23">
        <v>0.5</v>
      </c>
      <c r="N436" s="108"/>
      <c r="O436" s="108"/>
      <c r="P436" s="94"/>
      <c r="Q436" s="1" t="s">
        <v>24</v>
      </c>
      <c r="R436" s="10">
        <v>29.99</v>
      </c>
      <c r="S436" s="10">
        <f t="shared" ref="S436:S440" si="19">R436*(1-T436)</f>
        <v>11.996</v>
      </c>
      <c r="T436" s="23">
        <v>0.6</v>
      </c>
      <c r="U436" s="108"/>
      <c r="V436" s="108"/>
      <c r="W436" s="108"/>
      <c r="X436" s="108"/>
      <c r="Y436" s="108"/>
      <c r="Z436" s="108"/>
    </row>
    <row r="437" ht="15.75" customHeight="1">
      <c r="A437" s="145" t="s">
        <v>107</v>
      </c>
      <c r="B437" s="12"/>
      <c r="C437" s="12"/>
      <c r="D437" s="1"/>
      <c r="E437" s="1" t="s">
        <v>20</v>
      </c>
      <c r="F437" s="10">
        <v>109.99</v>
      </c>
      <c r="G437" s="10">
        <f t="shared" si="18"/>
        <v>76.993</v>
      </c>
      <c r="H437" s="23">
        <v>0.3</v>
      </c>
      <c r="N437" s="108"/>
      <c r="O437" s="108"/>
      <c r="P437" s="187"/>
      <c r="Q437" s="181" t="s">
        <v>17</v>
      </c>
      <c r="R437" s="182">
        <v>39.99</v>
      </c>
      <c r="S437" s="182">
        <f t="shared" si="19"/>
        <v>15.996</v>
      </c>
      <c r="T437" s="189">
        <v>0.6</v>
      </c>
      <c r="U437" s="108"/>
      <c r="V437" s="108"/>
      <c r="W437" s="108"/>
      <c r="X437" s="108"/>
      <c r="Y437" s="108"/>
      <c r="Z437" s="108"/>
    </row>
    <row r="438" ht="15.75" customHeight="1">
      <c r="A438" s="145" t="s">
        <v>107</v>
      </c>
      <c r="B438" s="12"/>
      <c r="C438" s="12"/>
      <c r="D438" s="1"/>
      <c r="E438" s="1" t="s">
        <v>21</v>
      </c>
      <c r="F438" s="10">
        <v>39.99</v>
      </c>
      <c r="G438" s="10">
        <f t="shared" si="18"/>
        <v>26.7933</v>
      </c>
      <c r="H438" s="31">
        <v>0.33</v>
      </c>
      <c r="N438" s="108"/>
      <c r="O438" s="108"/>
      <c r="P438" s="187"/>
      <c r="Q438" s="181" t="s">
        <v>19</v>
      </c>
      <c r="R438" s="182">
        <v>69.99</v>
      </c>
      <c r="S438" s="182">
        <f t="shared" si="19"/>
        <v>34.995</v>
      </c>
      <c r="T438" s="189">
        <v>0.5</v>
      </c>
      <c r="U438" s="108"/>
      <c r="V438" s="108"/>
      <c r="W438" s="108"/>
      <c r="X438" s="108"/>
      <c r="Y438" s="108"/>
      <c r="Z438" s="108"/>
    </row>
    <row r="439" ht="15.75" customHeight="1">
      <c r="A439" s="145" t="s">
        <v>107</v>
      </c>
      <c r="B439" s="12"/>
      <c r="C439" s="12"/>
      <c r="D439" s="1"/>
      <c r="E439" s="1" t="s">
        <v>22</v>
      </c>
      <c r="F439" s="10">
        <v>59.99</v>
      </c>
      <c r="G439" s="10">
        <f t="shared" si="18"/>
        <v>40.1933</v>
      </c>
      <c r="H439" s="31">
        <v>0.33</v>
      </c>
      <c r="N439" s="108"/>
      <c r="O439" s="108"/>
      <c r="P439" s="94"/>
      <c r="Q439" s="190" t="s">
        <v>25</v>
      </c>
      <c r="R439" s="10">
        <v>79.99</v>
      </c>
      <c r="S439" s="10">
        <f t="shared" si="19"/>
        <v>47.994</v>
      </c>
      <c r="T439" s="23">
        <v>0.4</v>
      </c>
      <c r="U439" s="108"/>
      <c r="V439" s="108"/>
      <c r="W439" s="108"/>
      <c r="X439" s="108"/>
      <c r="Y439" s="108"/>
      <c r="Z439" s="108"/>
    </row>
    <row r="440" ht="15.75" customHeight="1">
      <c r="A440" s="145" t="s">
        <v>107</v>
      </c>
      <c r="B440" s="12"/>
      <c r="C440" s="12"/>
      <c r="D440" s="1"/>
      <c r="E440" s="1" t="s">
        <v>23</v>
      </c>
      <c r="F440" s="10">
        <v>79.99</v>
      </c>
      <c r="G440" s="10">
        <f t="shared" si="18"/>
        <v>59.9925</v>
      </c>
      <c r="H440" s="31">
        <v>0.25</v>
      </c>
      <c r="N440" s="108"/>
      <c r="O440" s="108"/>
      <c r="P440" s="94"/>
      <c r="Q440" s="191" t="s">
        <v>20</v>
      </c>
      <c r="R440" s="10">
        <v>109.99</v>
      </c>
      <c r="S440" s="10">
        <f t="shared" si="19"/>
        <v>76.993</v>
      </c>
      <c r="T440" s="23">
        <v>0.3</v>
      </c>
      <c r="U440" s="108"/>
      <c r="V440" s="108"/>
      <c r="W440" s="108"/>
      <c r="X440" s="108"/>
      <c r="Y440" s="108"/>
      <c r="Z440" s="108"/>
    </row>
    <row r="441" ht="15.75" customHeight="1">
      <c r="A441" s="145" t="s">
        <v>107</v>
      </c>
      <c r="B441" s="12">
        <v>45292.0</v>
      </c>
      <c r="C441" s="12">
        <v>45305.0</v>
      </c>
      <c r="D441" s="1" t="s">
        <v>317</v>
      </c>
      <c r="E441" s="1" t="s">
        <v>24</v>
      </c>
      <c r="F441" s="10">
        <v>29.99</v>
      </c>
      <c r="G441" s="10">
        <f t="shared" si="18"/>
        <v>14.995</v>
      </c>
      <c r="H441" s="180">
        <v>0.5</v>
      </c>
      <c r="I441" s="94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</row>
    <row r="442" ht="15.75" customHeight="1">
      <c r="A442" s="145" t="s">
        <v>107</v>
      </c>
      <c r="B442" s="12"/>
      <c r="C442" s="12"/>
      <c r="D442" s="1"/>
      <c r="E442" s="1" t="s">
        <v>25</v>
      </c>
      <c r="F442" s="10">
        <v>79.99</v>
      </c>
      <c r="G442" s="10">
        <f t="shared" si="18"/>
        <v>47.994</v>
      </c>
      <c r="H442" s="23">
        <v>0.4</v>
      </c>
      <c r="I442" s="94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</row>
    <row r="443" ht="15.75" customHeight="1">
      <c r="A443" s="145" t="s">
        <v>107</v>
      </c>
      <c r="B443" s="12"/>
      <c r="C443" s="12"/>
      <c r="D443" s="1"/>
      <c r="E443" s="1" t="s">
        <v>26</v>
      </c>
      <c r="F443" s="10" t="s">
        <v>4</v>
      </c>
      <c r="G443" s="10" t="s">
        <v>4</v>
      </c>
      <c r="H443" s="31">
        <v>0.35</v>
      </c>
      <c r="I443" s="94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</row>
    <row r="444" ht="15.75" customHeight="1">
      <c r="A444" s="145" t="s">
        <v>107</v>
      </c>
      <c r="B444" s="12"/>
      <c r="C444" s="12"/>
      <c r="D444" s="1"/>
      <c r="E444" s="1" t="s">
        <v>682</v>
      </c>
      <c r="F444" s="10" t="s">
        <v>4</v>
      </c>
      <c r="G444" s="10" t="s">
        <v>4</v>
      </c>
      <c r="H444" s="31">
        <v>0.35</v>
      </c>
      <c r="I444" s="94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</row>
    <row r="445" ht="15.75" customHeight="1">
      <c r="A445" s="145" t="s">
        <v>107</v>
      </c>
      <c r="B445" s="12"/>
      <c r="C445" s="12"/>
      <c r="D445" s="1"/>
      <c r="E445" s="1" t="s">
        <v>639</v>
      </c>
      <c r="F445" s="10">
        <v>6.99</v>
      </c>
      <c r="G445" s="10">
        <f t="shared" ref="G445:G449" si="20">F445*(1-H445)</f>
        <v>4.893</v>
      </c>
      <c r="H445" s="31">
        <v>0.3</v>
      </c>
      <c r="I445" s="94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</row>
    <row r="446" ht="15.75" customHeight="1">
      <c r="A446" s="145" t="s">
        <v>107</v>
      </c>
      <c r="B446" s="12"/>
      <c r="C446" s="12"/>
      <c r="D446" s="1"/>
      <c r="E446" s="1" t="s">
        <v>688</v>
      </c>
      <c r="F446" s="10">
        <v>11.99</v>
      </c>
      <c r="G446" s="10">
        <f t="shared" si="20"/>
        <v>8.9925</v>
      </c>
      <c r="H446" s="31">
        <v>0.25</v>
      </c>
      <c r="I446" s="94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</row>
    <row r="447" ht="15.75" customHeight="1">
      <c r="A447" s="145" t="s">
        <v>107</v>
      </c>
      <c r="B447" s="12"/>
      <c r="C447" s="12"/>
      <c r="D447" s="1"/>
      <c r="E447" s="1" t="s">
        <v>730</v>
      </c>
      <c r="F447" s="10">
        <v>6.99</v>
      </c>
      <c r="G447" s="10">
        <f t="shared" si="20"/>
        <v>5.592</v>
      </c>
      <c r="H447" s="31">
        <v>0.2</v>
      </c>
      <c r="I447" s="94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</row>
    <row r="448" ht="15.75" customHeight="1">
      <c r="A448" s="145" t="s">
        <v>107</v>
      </c>
      <c r="B448" s="12"/>
      <c r="C448" s="12"/>
      <c r="D448" s="1"/>
      <c r="E448" s="1" t="s">
        <v>32</v>
      </c>
      <c r="F448" s="10">
        <v>24.99</v>
      </c>
      <c r="G448" s="10">
        <f t="shared" si="20"/>
        <v>16.7433</v>
      </c>
      <c r="H448" s="31">
        <v>0.33</v>
      </c>
      <c r="I448" s="94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</row>
    <row r="449" ht="15.75" customHeight="1">
      <c r="A449" s="145" t="s">
        <v>107</v>
      </c>
      <c r="B449" s="12"/>
      <c r="C449" s="12"/>
      <c r="D449" s="1"/>
      <c r="E449" s="1" t="s">
        <v>34</v>
      </c>
      <c r="F449" s="10">
        <v>24.99</v>
      </c>
      <c r="G449" s="10">
        <f t="shared" si="20"/>
        <v>18.7425</v>
      </c>
      <c r="H449" s="31">
        <v>0.25</v>
      </c>
      <c r="I449" s="94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</row>
    <row r="450" ht="15.75" customHeight="1">
      <c r="A450" s="145" t="s">
        <v>107</v>
      </c>
      <c r="B450" s="12"/>
      <c r="C450" s="12"/>
      <c r="D450" s="1"/>
      <c r="E450" s="1"/>
      <c r="F450" s="10"/>
      <c r="G450" s="10"/>
      <c r="H450" s="31"/>
      <c r="I450" s="94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</row>
    <row r="451" ht="15.75" customHeight="1">
      <c r="A451" s="108"/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</row>
    <row r="452" ht="15.75" customHeight="1">
      <c r="A452" s="108"/>
      <c r="B452" s="108"/>
      <c r="C452" s="108"/>
      <c r="D452" s="108"/>
      <c r="E452" s="108"/>
      <c r="F452" s="108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</row>
    <row r="453" ht="15.75" customHeight="1">
      <c r="A453" s="108"/>
      <c r="B453" s="108"/>
      <c r="C453" s="108"/>
      <c r="D453" s="108"/>
      <c r="E453" s="108"/>
      <c r="F453" s="108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</row>
    <row r="454" ht="15.75" customHeight="1">
      <c r="A454" s="108"/>
      <c r="B454" s="108"/>
      <c r="C454" s="108"/>
      <c r="D454" s="108"/>
      <c r="E454" s="108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</row>
    <row r="455" ht="15.75" customHeight="1">
      <c r="A455" s="108"/>
      <c r="B455" s="108"/>
      <c r="C455" s="108"/>
      <c r="D455" s="108"/>
      <c r="E455" s="108"/>
      <c r="F455" s="108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</row>
    <row r="456" ht="15.75" customHeight="1">
      <c r="A456" s="108"/>
      <c r="B456" s="108"/>
      <c r="C456" s="108"/>
      <c r="D456" s="108"/>
      <c r="E456" s="108"/>
      <c r="F456" s="108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</row>
    <row r="457" ht="15.75" customHeight="1">
      <c r="A457" s="108"/>
      <c r="B457" s="108"/>
      <c r="C457" s="108"/>
      <c r="D457" s="108"/>
      <c r="E457" s="108"/>
      <c r="F457" s="108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</row>
    <row r="458" ht="15.75" customHeight="1">
      <c r="A458" s="108"/>
      <c r="B458" s="108"/>
      <c r="C458" s="108"/>
      <c r="D458" s="108"/>
      <c r="E458" s="108"/>
      <c r="F458" s="108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</row>
    <row r="459" ht="15.75" customHeight="1">
      <c r="A459" s="108"/>
      <c r="B459" s="108"/>
      <c r="C459" s="108"/>
      <c r="D459" s="108"/>
      <c r="E459" s="108"/>
      <c r="F459" s="108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</row>
    <row r="460" ht="15.75" customHeight="1">
      <c r="A460" s="108"/>
      <c r="B460" s="108"/>
      <c r="C460" s="108"/>
      <c r="D460" s="108"/>
      <c r="E460" s="108"/>
      <c r="F460" s="108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</row>
    <row r="461" ht="15.75" customHeight="1">
      <c r="A461" s="108"/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</row>
    <row r="462" ht="15.75" customHeight="1">
      <c r="A462" s="108"/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</row>
    <row r="463" ht="15.75" customHeight="1">
      <c r="A463" s="108"/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</row>
    <row r="464" ht="15.75" customHeight="1">
      <c r="A464" s="108"/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</row>
    <row r="465" ht="15.75" customHeight="1">
      <c r="A465" s="108"/>
      <c r="B465" s="108"/>
      <c r="C465" s="108"/>
      <c r="D465" s="108"/>
      <c r="E465" s="108"/>
      <c r="F465" s="108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</row>
    <row r="466" ht="15.75" customHeight="1">
      <c r="A466" s="108"/>
      <c r="B466" s="108"/>
      <c r="C466" s="108"/>
      <c r="D466" s="108"/>
      <c r="E466" s="108"/>
      <c r="F466" s="108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</row>
    <row r="467" ht="15.75" customHeight="1">
      <c r="A467" s="108"/>
      <c r="B467" s="108"/>
      <c r="C467" s="108"/>
      <c r="D467" s="108"/>
      <c r="E467" s="108"/>
      <c r="F467" s="108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</row>
    <row r="468" ht="15.75" customHeight="1">
      <c r="A468" s="108"/>
      <c r="B468" s="108"/>
      <c r="C468" s="108"/>
      <c r="D468" s="108"/>
      <c r="E468" s="108"/>
      <c r="F468" s="108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</row>
    <row r="469" ht="15.75" customHeight="1">
      <c r="A469" s="108"/>
      <c r="B469" s="108"/>
      <c r="C469" s="108"/>
      <c r="D469" s="108"/>
      <c r="E469" s="108"/>
      <c r="F469" s="108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</row>
    <row r="470" ht="15.75" customHeight="1">
      <c r="A470" s="108"/>
      <c r="B470" s="108"/>
      <c r="C470" s="108"/>
      <c r="D470" s="108"/>
      <c r="E470" s="108"/>
      <c r="F470" s="108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</row>
    <row r="471" ht="15.75" customHeight="1">
      <c r="A471" s="108"/>
      <c r="B471" s="108"/>
      <c r="C471" s="108"/>
      <c r="D471" s="108"/>
      <c r="E471" s="108"/>
      <c r="F471" s="108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</row>
    <row r="472" ht="15.75" customHeight="1">
      <c r="A472" s="108"/>
      <c r="B472" s="108"/>
      <c r="C472" s="108"/>
      <c r="D472" s="108"/>
      <c r="E472" s="108"/>
      <c r="F472" s="108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</row>
    <row r="473" ht="15.75" customHeight="1">
      <c r="A473" s="108"/>
      <c r="B473" s="108"/>
      <c r="C473" s="108"/>
      <c r="D473" s="108"/>
      <c r="E473" s="108"/>
      <c r="F473" s="108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</row>
    <row r="474" ht="15.75" customHeight="1">
      <c r="A474" s="108"/>
      <c r="B474" s="108"/>
      <c r="C474" s="108"/>
      <c r="D474" s="108"/>
      <c r="E474" s="108"/>
      <c r="F474" s="108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</row>
    <row r="475" ht="15.75" customHeight="1">
      <c r="A475" s="108"/>
      <c r="B475" s="108"/>
      <c r="C475" s="108"/>
      <c r="D475" s="108"/>
      <c r="E475" s="108"/>
      <c r="F475" s="108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</row>
    <row r="476" ht="15.75" customHeight="1">
      <c r="A476" s="108"/>
      <c r="B476" s="108"/>
      <c r="C476" s="108"/>
      <c r="D476" s="108"/>
      <c r="E476" s="108"/>
      <c r="F476" s="108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</row>
    <row r="477" ht="15.75" customHeight="1">
      <c r="A477" s="108"/>
      <c r="B477" s="108"/>
      <c r="C477" s="108"/>
      <c r="D477" s="108"/>
      <c r="E477" s="108"/>
      <c r="F477" s="108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</row>
    <row r="478" ht="15.75" customHeight="1">
      <c r="A478" s="108"/>
      <c r="B478" s="108"/>
      <c r="C478" s="108"/>
      <c r="D478" s="108"/>
      <c r="E478" s="108"/>
      <c r="F478" s="108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</row>
    <row r="479" ht="15.75" customHeight="1">
      <c r="A479" s="108"/>
      <c r="B479" s="108"/>
      <c r="C479" s="108"/>
      <c r="D479" s="108"/>
      <c r="E479" s="108"/>
      <c r="F479" s="108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</row>
    <row r="480" ht="15.75" customHeight="1">
      <c r="A480" s="108"/>
      <c r="B480" s="108"/>
      <c r="C480" s="108"/>
      <c r="D480" s="108"/>
      <c r="E480" s="108"/>
      <c r="F480" s="108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</row>
    <row r="481" ht="15.75" customHeight="1">
      <c r="A481" s="108"/>
      <c r="B481" s="108"/>
      <c r="C481" s="108"/>
      <c r="D481" s="108"/>
      <c r="E481" s="108"/>
      <c r="F481" s="108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</row>
    <row r="482" ht="15.75" customHeight="1">
      <c r="A482" s="108"/>
      <c r="B482" s="108"/>
      <c r="C482" s="108"/>
      <c r="D482" s="108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</row>
    <row r="483" ht="15.75" customHeight="1">
      <c r="A483" s="108"/>
      <c r="B483" s="108"/>
      <c r="C483" s="108"/>
      <c r="D483" s="108"/>
      <c r="E483" s="108"/>
      <c r="F483" s="108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</row>
    <row r="484" ht="15.75" customHeight="1">
      <c r="A484" s="108"/>
      <c r="B484" s="108"/>
      <c r="C484" s="108"/>
      <c r="D484" s="108"/>
      <c r="E484" s="108"/>
      <c r="F484" s="108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</row>
    <row r="485" ht="15.75" customHeight="1">
      <c r="A485" s="108"/>
      <c r="B485" s="108"/>
      <c r="C485" s="108"/>
      <c r="D485" s="108"/>
      <c r="E485" s="108"/>
      <c r="F485" s="108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</row>
    <row r="486" ht="15.75" customHeight="1">
      <c r="A486" s="108"/>
      <c r="B486" s="108"/>
      <c r="C486" s="108"/>
      <c r="D486" s="108"/>
      <c r="E486" s="108"/>
      <c r="F486" s="108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</row>
    <row r="487" ht="15.75" customHeight="1">
      <c r="A487" s="108"/>
      <c r="B487" s="108"/>
      <c r="C487" s="108"/>
      <c r="D487" s="108"/>
      <c r="E487" s="108"/>
      <c r="F487" s="108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</row>
    <row r="488" ht="15.75" customHeight="1">
      <c r="A488" s="108"/>
      <c r="B488" s="108"/>
      <c r="C488" s="108"/>
      <c r="D488" s="108"/>
      <c r="E488" s="108"/>
      <c r="F488" s="108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</row>
    <row r="489" ht="15.75" customHeight="1">
      <c r="A489" s="108"/>
      <c r="B489" s="108"/>
      <c r="C489" s="108"/>
      <c r="D489" s="108"/>
      <c r="E489" s="108"/>
      <c r="F489" s="108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</row>
    <row r="490" ht="15.75" customHeight="1">
      <c r="A490" s="108"/>
      <c r="B490" s="108"/>
      <c r="C490" s="108"/>
      <c r="D490" s="108"/>
      <c r="E490" s="108"/>
      <c r="F490" s="108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</row>
    <row r="491" ht="15.75" customHeight="1">
      <c r="A491" s="108"/>
      <c r="B491" s="108"/>
      <c r="C491" s="108"/>
      <c r="D491" s="108"/>
      <c r="E491" s="108"/>
      <c r="F491" s="108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</row>
    <row r="492" ht="15.75" customHeight="1">
      <c r="A492" s="108"/>
      <c r="B492" s="108"/>
      <c r="C492" s="108"/>
      <c r="D492" s="108"/>
      <c r="E492" s="108"/>
      <c r="F492" s="108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</row>
    <row r="493" ht="15.75" customHeight="1">
      <c r="A493" s="108"/>
      <c r="B493" s="108"/>
      <c r="C493" s="108"/>
      <c r="D493" s="108"/>
      <c r="E493" s="108"/>
      <c r="F493" s="108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</row>
    <row r="494" ht="15.75" customHeight="1">
      <c r="A494" s="108"/>
      <c r="B494" s="108"/>
      <c r="C494" s="108"/>
      <c r="D494" s="108"/>
      <c r="E494" s="108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</row>
    <row r="495" ht="15.75" customHeight="1">
      <c r="A495" s="108"/>
      <c r="B495" s="108"/>
      <c r="C495" s="108"/>
      <c r="D495" s="108"/>
      <c r="E495" s="108"/>
      <c r="F495" s="108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</row>
    <row r="496" ht="15.75" customHeight="1">
      <c r="A496" s="108"/>
      <c r="B496" s="108"/>
      <c r="C496" s="108"/>
      <c r="D496" s="108"/>
      <c r="E496" s="108"/>
      <c r="F496" s="108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</row>
    <row r="497" ht="15.75" customHeight="1">
      <c r="A497" s="108"/>
      <c r="B497" s="108"/>
      <c r="C497" s="108"/>
      <c r="D497" s="108"/>
      <c r="E497" s="108"/>
      <c r="F497" s="108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</row>
    <row r="498" ht="15.75" customHeight="1">
      <c r="A498" s="108"/>
      <c r="B498" s="108"/>
      <c r="C498" s="108"/>
      <c r="D498" s="108"/>
      <c r="E498" s="108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</row>
    <row r="499" ht="15.75" customHeight="1">
      <c r="A499" s="108"/>
      <c r="B499" s="108"/>
      <c r="C499" s="108"/>
      <c r="D499" s="108"/>
      <c r="E499" s="108"/>
      <c r="F499" s="108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</row>
    <row r="500" ht="15.75" customHeight="1">
      <c r="A500" s="108"/>
      <c r="B500" s="108"/>
      <c r="C500" s="108"/>
      <c r="D500" s="108"/>
      <c r="E500" s="108"/>
      <c r="F500" s="108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</row>
    <row r="501" ht="15.75" customHeight="1">
      <c r="A501" s="108"/>
      <c r="B501" s="108"/>
      <c r="C501" s="108"/>
      <c r="D501" s="108"/>
      <c r="E501" s="108"/>
      <c r="F501" s="108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</row>
    <row r="502" ht="15.75" customHeight="1">
      <c r="A502" s="108"/>
      <c r="B502" s="108"/>
      <c r="C502" s="108"/>
      <c r="D502" s="108"/>
      <c r="E502" s="108"/>
      <c r="F502" s="108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</row>
    <row r="503" ht="15.75" customHeight="1">
      <c r="A503" s="108"/>
      <c r="B503" s="108"/>
      <c r="C503" s="108"/>
      <c r="D503" s="108"/>
      <c r="E503" s="108"/>
      <c r="F503" s="108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</row>
    <row r="504" ht="15.75" customHeight="1">
      <c r="A504" s="108"/>
      <c r="B504" s="108"/>
      <c r="C504" s="108"/>
      <c r="D504" s="108"/>
      <c r="E504" s="108"/>
      <c r="F504" s="108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</row>
    <row r="505" ht="15.75" customHeight="1">
      <c r="A505" s="108"/>
      <c r="B505" s="108"/>
      <c r="C505" s="108"/>
      <c r="D505" s="108"/>
      <c r="E505" s="108"/>
      <c r="F505" s="108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</row>
    <row r="506" ht="15.75" customHeight="1">
      <c r="A506" s="108"/>
      <c r="B506" s="108"/>
      <c r="C506" s="108"/>
      <c r="D506" s="108"/>
      <c r="E506" s="108"/>
      <c r="F506" s="108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</row>
    <row r="507" ht="15.75" customHeight="1">
      <c r="A507" s="108"/>
      <c r="B507" s="108"/>
      <c r="C507" s="108"/>
      <c r="D507" s="108"/>
      <c r="E507" s="108"/>
      <c r="F507" s="108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</row>
    <row r="508" ht="15.75" customHeight="1">
      <c r="A508" s="108"/>
      <c r="B508" s="108"/>
      <c r="C508" s="108"/>
      <c r="D508" s="108"/>
      <c r="E508" s="108"/>
      <c r="F508" s="108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</row>
    <row r="509" ht="15.75" customHeight="1">
      <c r="A509" s="108"/>
      <c r="B509" s="108"/>
      <c r="C509" s="108"/>
      <c r="D509" s="108"/>
      <c r="E509" s="108"/>
      <c r="F509" s="108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</row>
    <row r="510" ht="15.75" customHeight="1">
      <c r="A510" s="108"/>
      <c r="B510" s="108"/>
      <c r="C510" s="108"/>
      <c r="D510" s="108"/>
      <c r="E510" s="108"/>
      <c r="F510" s="108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</row>
    <row r="511" ht="15.75" customHeight="1">
      <c r="A511" s="108"/>
      <c r="B511" s="108"/>
      <c r="C511" s="108"/>
      <c r="D511" s="108"/>
      <c r="E511" s="108"/>
      <c r="F511" s="108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</row>
    <row r="512" ht="15.75" customHeight="1">
      <c r="A512" s="108"/>
      <c r="B512" s="108"/>
      <c r="C512" s="108"/>
      <c r="D512" s="108"/>
      <c r="E512" s="108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</row>
    <row r="513" ht="15.75" customHeight="1">
      <c r="A513" s="108"/>
      <c r="B513" s="108"/>
      <c r="C513" s="108"/>
      <c r="D513" s="108"/>
      <c r="E513" s="108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</row>
    <row r="514" ht="15.75" customHeight="1">
      <c r="A514" s="108"/>
      <c r="B514" s="108"/>
      <c r="C514" s="108"/>
      <c r="D514" s="108"/>
      <c r="E514" s="108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</row>
    <row r="515" ht="15.75" customHeight="1">
      <c r="A515" s="108"/>
      <c r="B515" s="108"/>
      <c r="C515" s="108"/>
      <c r="D515" s="108"/>
      <c r="E515" s="108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</row>
    <row r="516" ht="15.75" customHeight="1">
      <c r="A516" s="108"/>
      <c r="B516" s="108"/>
      <c r="C516" s="108"/>
      <c r="D516" s="108"/>
      <c r="E516" s="108"/>
      <c r="F516" s="108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</row>
    <row r="517" ht="15.75" customHeight="1">
      <c r="A517" s="108"/>
      <c r="B517" s="108"/>
      <c r="C517" s="108"/>
      <c r="D517" s="108"/>
      <c r="E517" s="108"/>
      <c r="F517" s="108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</row>
    <row r="518" ht="15.75" customHeight="1">
      <c r="A518" s="108"/>
      <c r="B518" s="108"/>
      <c r="C518" s="108"/>
      <c r="D518" s="108"/>
      <c r="E518" s="108"/>
      <c r="F518" s="108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</row>
    <row r="519" ht="15.75" customHeight="1">
      <c r="A519" s="108"/>
      <c r="B519" s="108"/>
      <c r="C519" s="108"/>
      <c r="D519" s="108"/>
      <c r="E519" s="108"/>
      <c r="F519" s="108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</row>
    <row r="520" ht="15.75" customHeight="1">
      <c r="A520" s="108"/>
      <c r="B520" s="108"/>
      <c r="C520" s="108"/>
      <c r="D520" s="108"/>
      <c r="E520" s="108"/>
      <c r="F520" s="108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</row>
    <row r="521" ht="15.75" customHeight="1">
      <c r="A521" s="108"/>
      <c r="B521" s="108"/>
      <c r="C521" s="108"/>
      <c r="D521" s="108"/>
      <c r="E521" s="108"/>
      <c r="F521" s="108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</row>
    <row r="522" ht="15.75" customHeight="1">
      <c r="A522" s="108"/>
      <c r="B522" s="108"/>
      <c r="C522" s="108"/>
      <c r="D522" s="108"/>
      <c r="E522" s="108"/>
      <c r="F522" s="108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</row>
    <row r="523" ht="15.75" customHeight="1">
      <c r="A523" s="108"/>
      <c r="B523" s="108"/>
      <c r="C523" s="108"/>
      <c r="D523" s="108"/>
      <c r="E523" s="108"/>
      <c r="F523" s="108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</row>
    <row r="524" ht="15.75" customHeight="1">
      <c r="A524" s="108"/>
      <c r="B524" s="108"/>
      <c r="C524" s="108"/>
      <c r="D524" s="108"/>
      <c r="E524" s="108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</row>
    <row r="525" ht="15.75" customHeight="1">
      <c r="A525" s="108"/>
      <c r="B525" s="108"/>
      <c r="C525" s="108"/>
      <c r="D525" s="108"/>
      <c r="E525" s="108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</row>
    <row r="526" ht="15.75" customHeight="1">
      <c r="A526" s="108"/>
      <c r="B526" s="108"/>
      <c r="C526" s="108"/>
      <c r="D526" s="108"/>
      <c r="E526" s="108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</row>
    <row r="527" ht="15.75" customHeight="1">
      <c r="A527" s="108"/>
      <c r="B527" s="108"/>
      <c r="C527" s="108"/>
      <c r="D527" s="108"/>
      <c r="E527" s="108"/>
      <c r="F527" s="108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</row>
    <row r="528" ht="15.75" customHeight="1">
      <c r="A528" s="108"/>
      <c r="B528" s="108"/>
      <c r="C528" s="108"/>
      <c r="D528" s="108"/>
      <c r="E528" s="108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</row>
    <row r="529" ht="15.75" customHeight="1">
      <c r="A529" s="108"/>
      <c r="B529" s="108"/>
      <c r="C529" s="108"/>
      <c r="D529" s="108"/>
      <c r="E529" s="108"/>
      <c r="F529" s="108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</row>
    <row r="530" ht="15.75" customHeight="1">
      <c r="A530" s="108"/>
      <c r="B530" s="108"/>
      <c r="C530" s="108"/>
      <c r="D530" s="108"/>
      <c r="E530" s="108"/>
      <c r="F530" s="108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</row>
    <row r="531" ht="15.75" customHeight="1">
      <c r="A531" s="108"/>
      <c r="B531" s="108"/>
      <c r="C531" s="108"/>
      <c r="D531" s="108"/>
      <c r="E531" s="108"/>
      <c r="F531" s="108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</row>
    <row r="532" ht="15.75" customHeight="1">
      <c r="A532" s="108"/>
      <c r="B532" s="108"/>
      <c r="C532" s="108"/>
      <c r="D532" s="108"/>
      <c r="E532" s="108"/>
      <c r="F532" s="108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</row>
    <row r="533" ht="15.75" customHeight="1">
      <c r="A533" s="108"/>
      <c r="B533" s="108"/>
      <c r="C533" s="108"/>
      <c r="D533" s="108"/>
      <c r="E533" s="108"/>
      <c r="F533" s="108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</row>
    <row r="534" ht="15.75" customHeight="1">
      <c r="A534" s="108"/>
      <c r="B534" s="108"/>
      <c r="C534" s="108"/>
      <c r="D534" s="108"/>
      <c r="E534" s="108"/>
      <c r="F534" s="108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</row>
    <row r="535" ht="15.75" customHeight="1">
      <c r="A535" s="108"/>
      <c r="B535" s="108"/>
      <c r="C535" s="108"/>
      <c r="D535" s="108"/>
      <c r="E535" s="108"/>
      <c r="F535" s="108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</row>
    <row r="536" ht="15.75" customHeight="1">
      <c r="A536" s="108"/>
      <c r="B536" s="108"/>
      <c r="C536" s="108"/>
      <c r="D536" s="108"/>
      <c r="E536" s="108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</row>
    <row r="537" ht="15.75" customHeight="1">
      <c r="A537" s="108"/>
      <c r="B537" s="108"/>
      <c r="C537" s="108"/>
      <c r="D537" s="108"/>
      <c r="E537" s="108"/>
      <c r="F537" s="108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</row>
    <row r="538" ht="15.75" customHeight="1">
      <c r="A538" s="108"/>
      <c r="B538" s="108"/>
      <c r="C538" s="108"/>
      <c r="D538" s="108"/>
      <c r="E538" s="108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</row>
    <row r="539" ht="15.75" customHeight="1">
      <c r="A539" s="108"/>
      <c r="B539" s="108"/>
      <c r="C539" s="108"/>
      <c r="D539" s="108"/>
      <c r="E539" s="108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</row>
    <row r="540" ht="15.75" customHeight="1">
      <c r="A540" s="108"/>
      <c r="B540" s="108"/>
      <c r="C540" s="108"/>
      <c r="D540" s="108"/>
      <c r="E540" s="108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</row>
    <row r="541" ht="15.75" customHeight="1">
      <c r="A541" s="108"/>
      <c r="B541" s="108"/>
      <c r="C541" s="108"/>
      <c r="D541" s="108"/>
      <c r="E541" s="108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</row>
    <row r="542" ht="15.75" customHeight="1">
      <c r="A542" s="108"/>
      <c r="B542" s="108"/>
      <c r="C542" s="108"/>
      <c r="D542" s="108"/>
      <c r="E542" s="108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</row>
    <row r="543" ht="15.75" customHeight="1">
      <c r="A543" s="108"/>
      <c r="B543" s="108"/>
      <c r="C543" s="108"/>
      <c r="D543" s="108"/>
      <c r="E543" s="108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</row>
    <row r="544" ht="15.75" customHeight="1">
      <c r="A544" s="108"/>
      <c r="B544" s="108"/>
      <c r="C544" s="108"/>
      <c r="D544" s="108"/>
      <c r="E544" s="108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</row>
    <row r="545" ht="15.75" customHeight="1">
      <c r="A545" s="108"/>
      <c r="B545" s="108"/>
      <c r="C545" s="108"/>
      <c r="D545" s="108"/>
      <c r="E545" s="108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</row>
    <row r="546" ht="15.75" customHeight="1">
      <c r="A546" s="108"/>
      <c r="B546" s="108"/>
      <c r="C546" s="108"/>
      <c r="D546" s="108"/>
      <c r="E546" s="108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</row>
    <row r="547" ht="15.75" customHeight="1">
      <c r="A547" s="108"/>
      <c r="B547" s="108"/>
      <c r="C547" s="108"/>
      <c r="D547" s="108"/>
      <c r="E547" s="10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</row>
    <row r="548" ht="15.75" customHeight="1">
      <c r="A548" s="108"/>
      <c r="B548" s="108"/>
      <c r="C548" s="108"/>
      <c r="D548" s="108"/>
      <c r="E548" s="10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</row>
    <row r="549" ht="15.75" customHeight="1">
      <c r="A549" s="108"/>
      <c r="B549" s="108"/>
      <c r="C549" s="108"/>
      <c r="D549" s="108"/>
      <c r="E549" s="10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</row>
    <row r="550" ht="15.75" customHeight="1">
      <c r="A550" s="108"/>
      <c r="B550" s="108"/>
      <c r="C550" s="108"/>
      <c r="D550" s="108"/>
      <c r="E550" s="108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</row>
    <row r="551" ht="15.75" customHeight="1">
      <c r="A551" s="108"/>
      <c r="B551" s="108"/>
      <c r="C551" s="108"/>
      <c r="D551" s="108"/>
      <c r="E551" s="108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</row>
    <row r="552" ht="15.75" customHeight="1">
      <c r="A552" s="108"/>
      <c r="B552" s="108"/>
      <c r="C552" s="108"/>
      <c r="D552" s="108"/>
      <c r="E552" s="108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</row>
    <row r="553" ht="15.75" customHeight="1">
      <c r="A553" s="108"/>
      <c r="B553" s="108"/>
      <c r="C553" s="108"/>
      <c r="D553" s="108"/>
      <c r="E553" s="108"/>
      <c r="F553" s="108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</row>
    <row r="554" ht="15.75" customHeight="1">
      <c r="A554" s="108"/>
      <c r="B554" s="108"/>
      <c r="C554" s="108"/>
      <c r="D554" s="108"/>
      <c r="E554" s="108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</row>
    <row r="555" ht="15.75" customHeight="1">
      <c r="A555" s="108"/>
      <c r="B555" s="108"/>
      <c r="C555" s="108"/>
      <c r="D555" s="108"/>
      <c r="E555" s="108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</row>
    <row r="556" ht="15.75" customHeight="1">
      <c r="A556" s="108"/>
      <c r="B556" s="108"/>
      <c r="C556" s="108"/>
      <c r="D556" s="108"/>
      <c r="E556" s="108"/>
      <c r="F556" s="108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</row>
    <row r="557" ht="15.75" customHeight="1">
      <c r="A557" s="108"/>
      <c r="B557" s="108"/>
      <c r="C557" s="108"/>
      <c r="D557" s="108"/>
      <c r="E557" s="108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</row>
    <row r="558" ht="15.75" customHeight="1">
      <c r="A558" s="108"/>
      <c r="B558" s="108"/>
      <c r="C558" s="108"/>
      <c r="D558" s="108"/>
      <c r="E558" s="108"/>
      <c r="F558" s="108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</row>
    <row r="559" ht="15.75" customHeight="1">
      <c r="A559" s="108"/>
      <c r="B559" s="108"/>
      <c r="C559" s="108"/>
      <c r="D559" s="108"/>
      <c r="E559" s="108"/>
      <c r="F559" s="108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</row>
    <row r="560" ht="15.75" customHeight="1">
      <c r="A560" s="108"/>
      <c r="B560" s="108"/>
      <c r="C560" s="108"/>
      <c r="D560" s="108"/>
      <c r="E560" s="108"/>
      <c r="F560" s="108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</row>
    <row r="561" ht="15.75" customHeight="1">
      <c r="A561" s="108"/>
      <c r="B561" s="108"/>
      <c r="C561" s="108"/>
      <c r="D561" s="108"/>
      <c r="E561" s="108"/>
      <c r="F561" s="108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</row>
    <row r="562" ht="15.75" customHeight="1">
      <c r="A562" s="108"/>
      <c r="B562" s="108"/>
      <c r="C562" s="108"/>
      <c r="D562" s="108"/>
      <c r="E562" s="108"/>
      <c r="F562" s="108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</row>
    <row r="563" ht="15.75" customHeight="1">
      <c r="A563" s="108"/>
      <c r="B563" s="108"/>
      <c r="C563" s="108"/>
      <c r="D563" s="108"/>
      <c r="E563" s="108"/>
      <c r="F563" s="108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</row>
    <row r="564" ht="15.75" customHeight="1">
      <c r="A564" s="108"/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</row>
    <row r="565" ht="15.75" customHeight="1">
      <c r="A565" s="108"/>
      <c r="B565" s="108"/>
      <c r="C565" s="108"/>
      <c r="D565" s="108"/>
      <c r="E565" s="108"/>
      <c r="F565" s="108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</row>
    <row r="566" ht="15.75" customHeight="1">
      <c r="A566" s="108"/>
      <c r="B566" s="108"/>
      <c r="C566" s="108"/>
      <c r="D566" s="108"/>
      <c r="E566" s="108"/>
      <c r="F566" s="108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</row>
    <row r="567" ht="15.75" customHeight="1">
      <c r="A567" s="108"/>
      <c r="B567" s="108"/>
      <c r="C567" s="108"/>
      <c r="D567" s="108"/>
      <c r="E567" s="108"/>
      <c r="F567" s="108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</row>
    <row r="568" ht="15.75" customHeight="1">
      <c r="A568" s="108"/>
      <c r="B568" s="108"/>
      <c r="C568" s="108"/>
      <c r="D568" s="108"/>
      <c r="E568" s="108"/>
      <c r="F568" s="108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</row>
    <row r="569" ht="15.75" customHeight="1">
      <c r="A569" s="108"/>
      <c r="B569" s="108"/>
      <c r="C569" s="108"/>
      <c r="D569" s="108"/>
      <c r="E569" s="108"/>
      <c r="F569" s="108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</row>
    <row r="570" ht="15.75" customHeight="1">
      <c r="A570" s="108"/>
      <c r="B570" s="108"/>
      <c r="C570" s="108"/>
      <c r="D570" s="108"/>
      <c r="E570" s="108"/>
      <c r="F570" s="108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</row>
    <row r="571" ht="15.75" customHeight="1">
      <c r="A571" s="108"/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</row>
    <row r="572" ht="15.75" customHeight="1">
      <c r="A572" s="108"/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</row>
    <row r="573" ht="15.75" customHeight="1">
      <c r="A573" s="108"/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</row>
    <row r="574" ht="15.75" customHeight="1">
      <c r="A574" s="108"/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</row>
    <row r="575" ht="15.75" customHeight="1">
      <c r="A575" s="108"/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</row>
    <row r="576" ht="15.75" customHeight="1">
      <c r="A576" s="108"/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</row>
    <row r="577" ht="15.75" customHeight="1">
      <c r="A577" s="108"/>
      <c r="B577" s="108"/>
      <c r="C577" s="108"/>
      <c r="D577" s="108"/>
      <c r="E577" s="108"/>
      <c r="F577" s="108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</row>
    <row r="578" ht="15.75" customHeight="1">
      <c r="A578" s="108"/>
      <c r="B578" s="108"/>
      <c r="C578" s="108"/>
      <c r="D578" s="108"/>
      <c r="E578" s="108"/>
      <c r="F578" s="108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</row>
    <row r="579" ht="15.75" customHeight="1">
      <c r="A579" s="108"/>
      <c r="B579" s="108"/>
      <c r="C579" s="108"/>
      <c r="D579" s="108"/>
      <c r="E579" s="108"/>
      <c r="F579" s="108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</row>
    <row r="580" ht="15.75" customHeight="1">
      <c r="A580" s="108"/>
      <c r="B580" s="108"/>
      <c r="C580" s="108"/>
      <c r="D580" s="108"/>
      <c r="E580" s="108"/>
      <c r="F580" s="108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</row>
    <row r="581" ht="15.75" customHeight="1">
      <c r="A581" s="108"/>
      <c r="B581" s="108"/>
      <c r="C581" s="108"/>
      <c r="D581" s="108"/>
      <c r="E581" s="108"/>
      <c r="F581" s="108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</row>
    <row r="582" ht="15.75" customHeight="1">
      <c r="A582" s="108"/>
      <c r="B582" s="108"/>
      <c r="C582" s="108"/>
      <c r="D582" s="108"/>
      <c r="E582" s="108"/>
      <c r="F582" s="108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</row>
    <row r="583" ht="15.75" customHeight="1">
      <c r="A583" s="108"/>
      <c r="B583" s="108"/>
      <c r="C583" s="108"/>
      <c r="D583" s="108"/>
      <c r="E583" s="108"/>
      <c r="F583" s="108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</row>
    <row r="584" ht="15.75" customHeight="1">
      <c r="A584" s="108"/>
      <c r="B584" s="108"/>
      <c r="C584" s="108"/>
      <c r="D584" s="108"/>
      <c r="E584" s="108"/>
      <c r="F584" s="108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</row>
    <row r="585" ht="15.75" customHeight="1">
      <c r="A585" s="108"/>
      <c r="B585" s="108"/>
      <c r="C585" s="108"/>
      <c r="D585" s="108"/>
      <c r="E585" s="108"/>
      <c r="F585" s="108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</row>
    <row r="586" ht="15.75" customHeight="1">
      <c r="A586" s="108"/>
      <c r="B586" s="108"/>
      <c r="C586" s="108"/>
      <c r="D586" s="108"/>
      <c r="E586" s="108"/>
      <c r="F586" s="108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</row>
    <row r="587" ht="15.75" customHeight="1">
      <c r="A587" s="108"/>
      <c r="B587" s="108"/>
      <c r="C587" s="108"/>
      <c r="D587" s="108"/>
      <c r="E587" s="108"/>
      <c r="F587" s="108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</row>
    <row r="588" ht="15.75" customHeight="1">
      <c r="A588" s="108"/>
      <c r="B588" s="108"/>
      <c r="C588" s="108"/>
      <c r="D588" s="108"/>
      <c r="E588" s="108"/>
      <c r="F588" s="108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</row>
    <row r="589" ht="15.75" customHeight="1">
      <c r="A589" s="108"/>
      <c r="B589" s="108"/>
      <c r="C589" s="108"/>
      <c r="D589" s="108"/>
      <c r="E589" s="108"/>
      <c r="F589" s="108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</row>
    <row r="590" ht="15.75" customHeight="1">
      <c r="A590" s="108"/>
      <c r="B590" s="108"/>
      <c r="C590" s="108"/>
      <c r="D590" s="108"/>
      <c r="E590" s="108"/>
      <c r="F590" s="108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</row>
    <row r="591" ht="15.75" customHeight="1">
      <c r="A591" s="108"/>
      <c r="B591" s="108"/>
      <c r="C591" s="108"/>
      <c r="D591" s="108"/>
      <c r="E591" s="108"/>
      <c r="F591" s="108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</row>
    <row r="592" ht="15.75" customHeight="1">
      <c r="A592" s="108"/>
      <c r="B592" s="108"/>
      <c r="C592" s="108"/>
      <c r="D592" s="108"/>
      <c r="E592" s="108"/>
      <c r="F592" s="108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</row>
    <row r="593" ht="15.75" customHeight="1">
      <c r="A593" s="108"/>
      <c r="B593" s="108"/>
      <c r="C593" s="108"/>
      <c r="D593" s="108"/>
      <c r="E593" s="108"/>
      <c r="F593" s="108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</row>
    <row r="594" ht="15.75" customHeight="1">
      <c r="A594" s="108"/>
      <c r="B594" s="108"/>
      <c r="C594" s="108"/>
      <c r="D594" s="108"/>
      <c r="E594" s="108"/>
      <c r="F594" s="108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</row>
    <row r="595" ht="15.75" customHeight="1">
      <c r="A595" s="108"/>
      <c r="B595" s="108"/>
      <c r="C595" s="108"/>
      <c r="D595" s="108"/>
      <c r="E595" s="108"/>
      <c r="F595" s="108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</row>
    <row r="596" ht="15.75" customHeight="1">
      <c r="A596" s="108"/>
      <c r="B596" s="108"/>
      <c r="C596" s="108"/>
      <c r="D596" s="108"/>
      <c r="E596" s="108"/>
      <c r="F596" s="108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</row>
    <row r="597" ht="15.75" customHeight="1">
      <c r="A597" s="108"/>
      <c r="B597" s="108"/>
      <c r="C597" s="108"/>
      <c r="D597" s="108"/>
      <c r="E597" s="108"/>
      <c r="F597" s="108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</row>
    <row r="598" ht="15.75" customHeight="1">
      <c r="A598" s="108"/>
      <c r="B598" s="108"/>
      <c r="C598" s="108"/>
      <c r="D598" s="108"/>
      <c r="E598" s="108"/>
      <c r="F598" s="108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</row>
    <row r="599" ht="15.75" customHeight="1">
      <c r="A599" s="108"/>
      <c r="B599" s="108"/>
      <c r="C599" s="108"/>
      <c r="D599" s="108"/>
      <c r="E599" s="108"/>
      <c r="F599" s="108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</row>
    <row r="600" ht="15.75" customHeight="1">
      <c r="A600" s="108"/>
      <c r="B600" s="108"/>
      <c r="C600" s="108"/>
      <c r="D600" s="108"/>
      <c r="E600" s="108"/>
      <c r="F600" s="108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</row>
    <row r="601" ht="15.75" customHeight="1">
      <c r="A601" s="108"/>
      <c r="B601" s="108"/>
      <c r="C601" s="108"/>
      <c r="D601" s="108"/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</row>
    <row r="602" ht="15.75" customHeight="1">
      <c r="A602" s="108"/>
      <c r="B602" s="108"/>
      <c r="C602" s="108"/>
      <c r="D602" s="108"/>
      <c r="E602" s="108"/>
      <c r="F602" s="108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</row>
    <row r="603" ht="15.75" customHeight="1">
      <c r="A603" s="108"/>
      <c r="B603" s="108"/>
      <c r="C603" s="108"/>
      <c r="D603" s="108"/>
      <c r="E603" s="108"/>
      <c r="F603" s="108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</row>
    <row r="604" ht="15.75" customHeight="1">
      <c r="A604" s="108"/>
      <c r="B604" s="108"/>
      <c r="C604" s="108"/>
      <c r="D604" s="108"/>
      <c r="E604" s="108"/>
      <c r="F604" s="108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</row>
    <row r="605" ht="15.75" customHeight="1">
      <c r="A605" s="108"/>
      <c r="B605" s="108"/>
      <c r="C605" s="108"/>
      <c r="D605" s="108"/>
      <c r="E605" s="108"/>
      <c r="F605" s="108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</row>
    <row r="606" ht="15.75" customHeight="1">
      <c r="A606" s="108"/>
      <c r="B606" s="108"/>
      <c r="C606" s="108"/>
      <c r="D606" s="108"/>
      <c r="E606" s="108"/>
      <c r="F606" s="108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</row>
    <row r="607" ht="15.75" customHeight="1">
      <c r="A607" s="108"/>
      <c r="B607" s="108"/>
      <c r="C607" s="108"/>
      <c r="D607" s="108"/>
      <c r="E607" s="108"/>
      <c r="F607" s="108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</row>
    <row r="608" ht="15.75" customHeight="1">
      <c r="A608" s="108"/>
      <c r="B608" s="108"/>
      <c r="C608" s="108"/>
      <c r="D608" s="108"/>
      <c r="E608" s="108"/>
      <c r="F608" s="108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</row>
    <row r="609" ht="15.75" customHeight="1">
      <c r="A609" s="108"/>
      <c r="B609" s="108"/>
      <c r="C609" s="108"/>
      <c r="D609" s="108"/>
      <c r="E609" s="108"/>
      <c r="F609" s="108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</row>
    <row r="610" ht="15.75" customHeight="1">
      <c r="A610" s="108"/>
      <c r="B610" s="108"/>
      <c r="C610" s="108"/>
      <c r="D610" s="108"/>
      <c r="E610" s="108"/>
      <c r="F610" s="108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</row>
    <row r="611" ht="15.75" customHeight="1">
      <c r="A611" s="108"/>
      <c r="B611" s="108"/>
      <c r="C611" s="108"/>
      <c r="D611" s="108"/>
      <c r="E611" s="108"/>
      <c r="F611" s="108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</row>
    <row r="612" ht="15.75" customHeight="1">
      <c r="A612" s="108"/>
      <c r="B612" s="108"/>
      <c r="C612" s="108"/>
      <c r="D612" s="108"/>
      <c r="E612" s="108"/>
      <c r="F612" s="108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</row>
    <row r="613" ht="15.75" customHeight="1">
      <c r="A613" s="108"/>
      <c r="B613" s="108"/>
      <c r="C613" s="108"/>
      <c r="D613" s="108"/>
      <c r="E613" s="108"/>
      <c r="F613" s="108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</row>
    <row r="614" ht="15.75" customHeight="1">
      <c r="A614" s="108"/>
      <c r="B614" s="108"/>
      <c r="C614" s="108"/>
      <c r="D614" s="108"/>
      <c r="E614" s="108"/>
      <c r="F614" s="108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</row>
    <row r="615" ht="15.75" customHeight="1">
      <c r="A615" s="108"/>
      <c r="B615" s="108"/>
      <c r="C615" s="108"/>
      <c r="D615" s="108"/>
      <c r="E615" s="108"/>
      <c r="F615" s="108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</row>
    <row r="616" ht="15.75" customHeight="1">
      <c r="A616" s="108"/>
      <c r="B616" s="108"/>
      <c r="C616" s="108"/>
      <c r="D616" s="108"/>
      <c r="E616" s="108"/>
      <c r="F616" s="108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</row>
    <row r="617" ht="15.75" customHeight="1">
      <c r="A617" s="108"/>
      <c r="B617" s="108"/>
      <c r="C617" s="108"/>
      <c r="D617" s="108"/>
      <c r="E617" s="108"/>
      <c r="F617" s="108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</row>
    <row r="618" ht="15.75" customHeight="1">
      <c r="A618" s="108"/>
      <c r="B618" s="108"/>
      <c r="C618" s="108"/>
      <c r="D618" s="108"/>
      <c r="E618" s="108"/>
      <c r="F618" s="108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</row>
    <row r="619" ht="15.75" customHeight="1">
      <c r="A619" s="108"/>
      <c r="B619" s="108"/>
      <c r="C619" s="108"/>
      <c r="D619" s="108"/>
      <c r="E619" s="108"/>
      <c r="F619" s="108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</row>
    <row r="620" ht="15.75" customHeight="1">
      <c r="A620" s="108"/>
      <c r="B620" s="108"/>
      <c r="C620" s="108"/>
      <c r="D620" s="108"/>
      <c r="E620" s="108"/>
      <c r="F620" s="108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</row>
    <row r="621" ht="15.75" customHeight="1">
      <c r="A621" s="108"/>
      <c r="B621" s="108"/>
      <c r="C621" s="108"/>
      <c r="D621" s="108"/>
      <c r="E621" s="108"/>
      <c r="F621" s="108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</row>
    <row r="622" ht="15.75" customHeight="1">
      <c r="A622" s="108"/>
      <c r="B622" s="108"/>
      <c r="C622" s="108"/>
      <c r="D622" s="108"/>
      <c r="E622" s="108"/>
      <c r="F622" s="108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</row>
    <row r="623" ht="15.75" customHeight="1">
      <c r="A623" s="108"/>
      <c r="B623" s="108"/>
      <c r="C623" s="108"/>
      <c r="D623" s="108"/>
      <c r="E623" s="108"/>
      <c r="F623" s="108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</row>
    <row r="624" ht="15.75" customHeight="1">
      <c r="A624" s="108"/>
      <c r="B624" s="108"/>
      <c r="C624" s="108"/>
      <c r="D624" s="108"/>
      <c r="E624" s="108"/>
      <c r="F624" s="108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</row>
    <row r="625" ht="15.75" customHeight="1">
      <c r="A625" s="108"/>
      <c r="B625" s="108"/>
      <c r="C625" s="108"/>
      <c r="D625" s="108"/>
      <c r="E625" s="108"/>
      <c r="F625" s="108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</row>
    <row r="626" ht="15.75" customHeight="1">
      <c r="A626" s="108"/>
      <c r="B626" s="108"/>
      <c r="C626" s="108"/>
      <c r="D626" s="108"/>
      <c r="E626" s="108"/>
      <c r="F626" s="108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</row>
    <row r="627" ht="15.75" customHeight="1">
      <c r="A627" s="108"/>
      <c r="B627" s="108"/>
      <c r="C627" s="108"/>
      <c r="D627" s="108"/>
      <c r="E627" s="108"/>
      <c r="F627" s="108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</row>
    <row r="628" ht="15.75" customHeight="1">
      <c r="A628" s="108"/>
      <c r="B628" s="108"/>
      <c r="C628" s="108"/>
      <c r="D628" s="108"/>
      <c r="E628" s="108"/>
      <c r="F628" s="108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</row>
    <row r="629" ht="15.75" customHeight="1">
      <c r="A629" s="108"/>
      <c r="B629" s="108"/>
      <c r="C629" s="108"/>
      <c r="D629" s="108"/>
      <c r="E629" s="108"/>
      <c r="F629" s="108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</row>
    <row r="630" ht="15.75" customHeight="1">
      <c r="A630" s="108"/>
      <c r="B630" s="108"/>
      <c r="C630" s="108"/>
      <c r="D630" s="108"/>
      <c r="E630" s="108"/>
      <c r="F630" s="108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</row>
    <row r="631" ht="15.75" customHeight="1">
      <c r="A631" s="108"/>
      <c r="B631" s="108"/>
      <c r="C631" s="108"/>
      <c r="D631" s="108"/>
      <c r="E631" s="108"/>
      <c r="F631" s="108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</row>
    <row r="632" ht="15.75" customHeight="1">
      <c r="A632" s="108"/>
      <c r="B632" s="108"/>
      <c r="C632" s="108"/>
      <c r="D632" s="108"/>
      <c r="E632" s="108"/>
      <c r="F632" s="108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</row>
    <row r="633" ht="15.75" customHeight="1">
      <c r="A633" s="108"/>
      <c r="B633" s="108"/>
      <c r="C633" s="108"/>
      <c r="D633" s="108"/>
      <c r="E633" s="108"/>
      <c r="F633" s="108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</row>
    <row r="634" ht="15.75" customHeight="1">
      <c r="A634" s="108"/>
      <c r="B634" s="108"/>
      <c r="C634" s="108"/>
      <c r="D634" s="108"/>
      <c r="E634" s="108"/>
      <c r="F634" s="108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</row>
    <row r="635" ht="15.75" customHeight="1">
      <c r="A635" s="108"/>
      <c r="B635" s="108"/>
      <c r="C635" s="108"/>
      <c r="D635" s="108"/>
      <c r="E635" s="108"/>
      <c r="F635" s="108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</row>
    <row r="636" ht="15.75" customHeight="1">
      <c r="A636" s="108"/>
      <c r="B636" s="108"/>
      <c r="C636" s="108"/>
      <c r="D636" s="108"/>
      <c r="E636" s="108"/>
      <c r="F636" s="108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</row>
    <row r="637" ht="15.75" customHeight="1">
      <c r="A637" s="108"/>
      <c r="B637" s="108"/>
      <c r="C637" s="108"/>
      <c r="D637" s="108"/>
      <c r="E637" s="108"/>
      <c r="F637" s="108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</row>
    <row r="638" ht="15.75" customHeight="1">
      <c r="A638" s="108"/>
      <c r="B638" s="108"/>
      <c r="C638" s="108"/>
      <c r="D638" s="108"/>
      <c r="E638" s="108"/>
      <c r="F638" s="108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</row>
    <row r="639" ht="15.75" customHeight="1">
      <c r="A639" s="108"/>
      <c r="B639" s="108"/>
      <c r="C639" s="108"/>
      <c r="D639" s="108"/>
      <c r="E639" s="108"/>
      <c r="F639" s="108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</row>
    <row r="640" ht="15.75" customHeight="1">
      <c r="A640" s="108"/>
      <c r="B640" s="108"/>
      <c r="C640" s="108"/>
      <c r="D640" s="108"/>
      <c r="E640" s="108"/>
      <c r="F640" s="108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</row>
    <row r="641" ht="15.75" customHeight="1">
      <c r="A641" s="108"/>
      <c r="B641" s="108"/>
      <c r="C641" s="108"/>
      <c r="D641" s="108"/>
      <c r="E641" s="108"/>
      <c r="F641" s="108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</row>
    <row r="642" ht="15.75" customHeight="1">
      <c r="A642" s="108"/>
      <c r="B642" s="108"/>
      <c r="C642" s="108"/>
      <c r="D642" s="108"/>
      <c r="E642" s="108"/>
      <c r="F642" s="108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</row>
    <row r="643" ht="15.75" customHeight="1">
      <c r="A643" s="108"/>
      <c r="B643" s="108"/>
      <c r="C643" s="108"/>
      <c r="D643" s="108"/>
      <c r="E643" s="108"/>
      <c r="F643" s="108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</row>
    <row r="644" ht="15.75" customHeight="1">
      <c r="A644" s="108"/>
      <c r="B644" s="108"/>
      <c r="C644" s="108"/>
      <c r="D644" s="108"/>
      <c r="E644" s="108"/>
      <c r="F644" s="108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</row>
    <row r="645" ht="15.75" customHeight="1">
      <c r="A645" s="108"/>
      <c r="B645" s="108"/>
      <c r="C645" s="108"/>
      <c r="D645" s="108"/>
      <c r="E645" s="108"/>
      <c r="F645" s="108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</row>
    <row r="646" ht="15.75" customHeight="1">
      <c r="A646" s="108"/>
      <c r="B646" s="108"/>
      <c r="C646" s="108"/>
      <c r="D646" s="108"/>
      <c r="E646" s="108"/>
      <c r="F646" s="108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</row>
    <row r="647" ht="15.75" customHeight="1">
      <c r="A647" s="108"/>
      <c r="B647" s="108"/>
      <c r="C647" s="108"/>
      <c r="D647" s="108"/>
      <c r="E647" s="108"/>
      <c r="F647" s="108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</row>
    <row r="648" ht="15.75" customHeight="1">
      <c r="A648" s="108"/>
      <c r="B648" s="108"/>
      <c r="C648" s="108"/>
      <c r="D648" s="108"/>
      <c r="E648" s="108"/>
      <c r="F648" s="108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</row>
    <row r="649" ht="15.75" customHeight="1">
      <c r="A649" s="108"/>
      <c r="B649" s="108"/>
      <c r="C649" s="108"/>
      <c r="D649" s="108"/>
      <c r="E649" s="108"/>
      <c r="F649" s="108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</row>
    <row r="650" ht="15.75" customHeight="1">
      <c r="A650" s="108"/>
      <c r="B650" s="108"/>
      <c r="C650" s="108"/>
      <c r="D650" s="108"/>
      <c r="E650" s="108"/>
      <c r="F650" s="108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</row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I90:I102"/>
    <mergeCell ref="A106:H106"/>
    <mergeCell ref="A304:H304"/>
    <mergeCell ref="A1:H1"/>
    <mergeCell ref="A3:H3"/>
    <mergeCell ref="I17:I30"/>
    <mergeCell ref="I32:I46"/>
    <mergeCell ref="I48:I60"/>
    <mergeCell ref="I62:I74"/>
    <mergeCell ref="I76:I88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8.63"/>
    <col customWidth="1" min="3" max="3" width="7.88"/>
    <col customWidth="1" min="4" max="4" width="36.63"/>
    <col customWidth="1" min="5" max="5" width="37.38"/>
    <col customWidth="1" min="6" max="6" width="15.75"/>
    <col customWidth="1" min="7" max="7" width="15.0"/>
    <col customWidth="1" min="8" max="8" width="9.38"/>
    <col customWidth="1" min="9" max="9" width="17.38"/>
  </cols>
  <sheetData>
    <row r="1" ht="15.75" customHeight="1">
      <c r="A1" s="2">
        <v>2024.0</v>
      </c>
    </row>
    <row r="2" ht="15.75" customHeight="1">
      <c r="A2" s="4" t="s">
        <v>506</v>
      </c>
      <c r="B2" s="4" t="s">
        <v>2</v>
      </c>
      <c r="C2" s="4" t="s">
        <v>6</v>
      </c>
      <c r="D2" s="4" t="s">
        <v>7</v>
      </c>
      <c r="E2" s="4" t="s">
        <v>8</v>
      </c>
      <c r="F2" s="7" t="s">
        <v>9</v>
      </c>
      <c r="G2" s="7" t="s">
        <v>10</v>
      </c>
      <c r="H2" s="7" t="s">
        <v>11</v>
      </c>
    </row>
    <row r="3" ht="15.75" customHeight="1">
      <c r="A3" s="9" t="s">
        <v>45</v>
      </c>
    </row>
    <row r="4" ht="15.75" customHeight="1">
      <c r="A4" s="44" t="s">
        <v>509</v>
      </c>
      <c r="B4" s="43">
        <v>45404.0</v>
      </c>
      <c r="C4" s="43">
        <v>45411.0</v>
      </c>
      <c r="D4" s="44" t="s">
        <v>586</v>
      </c>
      <c r="E4" s="13" t="s">
        <v>35</v>
      </c>
      <c r="F4" s="8">
        <v>39.99</v>
      </c>
      <c r="G4" s="8">
        <f t="shared" ref="G4:G10" si="1">F4*(1-H4)</f>
        <v>31.992</v>
      </c>
      <c r="H4" s="46">
        <v>0.2</v>
      </c>
    </row>
    <row r="5" ht="15.75" customHeight="1">
      <c r="A5" s="44" t="s">
        <v>509</v>
      </c>
      <c r="B5" s="43">
        <v>45404.0</v>
      </c>
      <c r="C5" s="43">
        <v>45411.0</v>
      </c>
      <c r="D5" s="44" t="s">
        <v>586</v>
      </c>
      <c r="E5" s="13" t="s">
        <v>37</v>
      </c>
      <c r="F5" s="8">
        <v>59.99</v>
      </c>
      <c r="G5" s="8">
        <f t="shared" si="1"/>
        <v>47.992</v>
      </c>
      <c r="H5" s="46">
        <v>0.2</v>
      </c>
    </row>
    <row r="6" ht="15.75" customHeight="1">
      <c r="A6" s="44" t="s">
        <v>509</v>
      </c>
      <c r="B6" s="43">
        <v>45404.0</v>
      </c>
      <c r="C6" s="43">
        <v>45411.0</v>
      </c>
      <c r="D6" s="44" t="s">
        <v>586</v>
      </c>
      <c r="E6" s="13" t="s">
        <v>36</v>
      </c>
      <c r="F6" s="8">
        <v>69.99</v>
      </c>
      <c r="G6" s="8">
        <f t="shared" si="1"/>
        <v>55.992</v>
      </c>
      <c r="H6" s="46">
        <v>0.2</v>
      </c>
    </row>
    <row r="7" ht="15.75" customHeight="1">
      <c r="A7" s="44" t="s">
        <v>509</v>
      </c>
      <c r="B7" s="43">
        <v>45404.0</v>
      </c>
      <c r="C7" s="43">
        <v>45411.0</v>
      </c>
      <c r="D7" s="44" t="s">
        <v>586</v>
      </c>
      <c r="E7" s="13" t="s">
        <v>212</v>
      </c>
      <c r="F7" s="8">
        <v>29.99</v>
      </c>
      <c r="G7" s="8">
        <f t="shared" si="1"/>
        <v>29.99</v>
      </c>
      <c r="H7" s="46">
        <v>0.0</v>
      </c>
    </row>
    <row r="8" ht="15.75" customHeight="1">
      <c r="A8" s="44" t="s">
        <v>509</v>
      </c>
      <c r="B8" s="43">
        <v>45404.0</v>
      </c>
      <c r="C8" s="43">
        <v>45411.0</v>
      </c>
      <c r="D8" s="44" t="s">
        <v>586</v>
      </c>
      <c r="E8" s="13" t="s">
        <v>216</v>
      </c>
      <c r="F8" s="8">
        <v>11.99</v>
      </c>
      <c r="G8" s="8">
        <f t="shared" si="1"/>
        <v>9.592</v>
      </c>
      <c r="H8" s="46">
        <v>0.2</v>
      </c>
    </row>
    <row r="9" ht="15.75" customHeight="1">
      <c r="A9" s="44" t="s">
        <v>509</v>
      </c>
      <c r="B9" s="43">
        <v>45404.0</v>
      </c>
      <c r="C9" s="43">
        <v>45411.0</v>
      </c>
      <c r="D9" s="44" t="s">
        <v>586</v>
      </c>
      <c r="E9" s="6" t="s">
        <v>219</v>
      </c>
      <c r="F9" s="8">
        <v>2.99</v>
      </c>
      <c r="G9" s="8">
        <f t="shared" si="1"/>
        <v>2.392</v>
      </c>
      <c r="H9" s="46">
        <v>0.2</v>
      </c>
    </row>
    <row r="10" ht="15.75" customHeight="1">
      <c r="A10" s="44" t="s">
        <v>509</v>
      </c>
      <c r="B10" s="43">
        <v>45404.0</v>
      </c>
      <c r="C10" s="43">
        <v>45411.0</v>
      </c>
      <c r="D10" s="44" t="s">
        <v>586</v>
      </c>
      <c r="E10" s="6" t="s">
        <v>222</v>
      </c>
      <c r="F10" s="8">
        <v>2.99</v>
      </c>
      <c r="G10" s="8">
        <f t="shared" si="1"/>
        <v>2.392</v>
      </c>
      <c r="H10" s="46">
        <v>0.2</v>
      </c>
    </row>
    <row r="11" ht="15.75" customHeight="1"/>
    <row r="12" ht="15.75" customHeight="1">
      <c r="A12" s="44" t="s">
        <v>509</v>
      </c>
      <c r="B12" s="43">
        <v>45442.0</v>
      </c>
      <c r="C12" s="127">
        <v>45453.0</v>
      </c>
      <c r="D12" s="44" t="s">
        <v>586</v>
      </c>
      <c r="E12" s="13" t="s">
        <v>35</v>
      </c>
      <c r="F12" s="8">
        <v>39.99</v>
      </c>
      <c r="G12" s="8">
        <f t="shared" ref="G12:G18" si="2">F12*(1-H12)</f>
        <v>31.992</v>
      </c>
      <c r="H12" s="46">
        <v>0.2</v>
      </c>
      <c r="I12" s="53" t="s">
        <v>588</v>
      </c>
    </row>
    <row r="13" ht="15.75" customHeight="1">
      <c r="A13" s="44" t="s">
        <v>509</v>
      </c>
      <c r="B13" s="43">
        <v>45442.0</v>
      </c>
      <c r="C13" s="127">
        <v>45453.0</v>
      </c>
      <c r="D13" s="44" t="s">
        <v>586</v>
      </c>
      <c r="E13" s="13" t="s">
        <v>37</v>
      </c>
      <c r="F13" s="8">
        <v>59.99</v>
      </c>
      <c r="G13" s="8">
        <f t="shared" si="2"/>
        <v>47.992</v>
      </c>
      <c r="H13" s="46">
        <v>0.2</v>
      </c>
      <c r="I13" s="53" t="s">
        <v>588</v>
      </c>
    </row>
    <row r="14" ht="15.75" customHeight="1">
      <c r="A14" s="44" t="s">
        <v>509</v>
      </c>
      <c r="B14" s="43">
        <v>45442.0</v>
      </c>
      <c r="C14" s="127">
        <v>45453.0</v>
      </c>
      <c r="D14" s="44" t="s">
        <v>586</v>
      </c>
      <c r="E14" s="13" t="s">
        <v>36</v>
      </c>
      <c r="F14" s="8">
        <v>69.99</v>
      </c>
      <c r="G14" s="8">
        <f t="shared" si="2"/>
        <v>55.992</v>
      </c>
      <c r="H14" s="46">
        <v>0.2</v>
      </c>
    </row>
    <row r="15" ht="15.75" customHeight="1">
      <c r="A15" s="44" t="s">
        <v>509</v>
      </c>
      <c r="B15" s="43">
        <v>45442.0</v>
      </c>
      <c r="C15" s="127">
        <v>45453.0</v>
      </c>
      <c r="D15" s="44" t="s">
        <v>586</v>
      </c>
      <c r="E15" s="13" t="s">
        <v>212</v>
      </c>
      <c r="F15" s="8">
        <v>29.99</v>
      </c>
      <c r="G15" s="8">
        <f t="shared" si="2"/>
        <v>29.99</v>
      </c>
      <c r="H15" s="46">
        <v>0.0</v>
      </c>
    </row>
    <row r="16" ht="15.75" customHeight="1">
      <c r="A16" s="44" t="s">
        <v>509</v>
      </c>
      <c r="B16" s="43">
        <v>45442.0</v>
      </c>
      <c r="C16" s="127">
        <v>45453.0</v>
      </c>
      <c r="D16" s="44" t="s">
        <v>586</v>
      </c>
      <c r="E16" s="13" t="s">
        <v>216</v>
      </c>
      <c r="F16" s="8">
        <v>11.99</v>
      </c>
      <c r="G16" s="8">
        <f t="shared" si="2"/>
        <v>11.99</v>
      </c>
      <c r="H16" s="46">
        <v>0.0</v>
      </c>
    </row>
    <row r="17" ht="15.75" customHeight="1">
      <c r="A17" s="44" t="s">
        <v>509</v>
      </c>
      <c r="B17" s="43">
        <v>45442.0</v>
      </c>
      <c r="C17" s="127">
        <v>45453.0</v>
      </c>
      <c r="D17" s="44" t="s">
        <v>586</v>
      </c>
      <c r="E17" s="6" t="s">
        <v>219</v>
      </c>
      <c r="F17" s="8">
        <v>2.99</v>
      </c>
      <c r="G17" s="8">
        <f t="shared" si="2"/>
        <v>2.99</v>
      </c>
      <c r="H17" s="46">
        <v>0.0</v>
      </c>
    </row>
    <row r="18" ht="15.75" customHeight="1">
      <c r="A18" s="44" t="s">
        <v>509</v>
      </c>
      <c r="B18" s="43">
        <v>45442.0</v>
      </c>
      <c r="C18" s="127">
        <v>45453.0</v>
      </c>
      <c r="D18" s="44" t="s">
        <v>586</v>
      </c>
      <c r="E18" s="6" t="s">
        <v>222</v>
      </c>
      <c r="F18" s="8">
        <v>2.99</v>
      </c>
      <c r="G18" s="8">
        <f t="shared" si="2"/>
        <v>2.99</v>
      </c>
      <c r="H18" s="46">
        <v>0.0</v>
      </c>
    </row>
    <row r="19" ht="15.75" customHeight="1"/>
    <row r="20" ht="15.75" customHeight="1">
      <c r="A20" s="44" t="s">
        <v>509</v>
      </c>
      <c r="B20" s="43">
        <v>45491.0</v>
      </c>
      <c r="C20" s="43">
        <v>45505.0</v>
      </c>
      <c r="D20" s="44" t="s">
        <v>504</v>
      </c>
      <c r="E20" s="13" t="s">
        <v>35</v>
      </c>
      <c r="F20" s="8">
        <v>39.99</v>
      </c>
      <c r="G20" s="8">
        <f t="shared" ref="G20:G26" si="3">F20*(1-H20)</f>
        <v>29.9925</v>
      </c>
      <c r="H20" s="32">
        <v>0.25</v>
      </c>
    </row>
    <row r="21" ht="15.75" customHeight="1">
      <c r="A21" s="44" t="s">
        <v>509</v>
      </c>
      <c r="B21" s="43">
        <v>45491.0</v>
      </c>
      <c r="C21" s="43">
        <v>45505.0</v>
      </c>
      <c r="D21" s="44" t="s">
        <v>504</v>
      </c>
      <c r="E21" s="13" t="s">
        <v>37</v>
      </c>
      <c r="F21" s="8">
        <v>59.99</v>
      </c>
      <c r="G21" s="8">
        <f t="shared" si="3"/>
        <v>44.9925</v>
      </c>
      <c r="H21" s="32">
        <v>0.25</v>
      </c>
    </row>
    <row r="22" ht="15.75" customHeight="1">
      <c r="A22" s="44" t="s">
        <v>509</v>
      </c>
      <c r="B22" s="43">
        <v>45491.0</v>
      </c>
      <c r="C22" s="43">
        <v>45505.0</v>
      </c>
      <c r="D22" s="44" t="s">
        <v>504</v>
      </c>
      <c r="E22" s="13" t="s">
        <v>36</v>
      </c>
      <c r="F22" s="8">
        <v>69.99</v>
      </c>
      <c r="G22" s="8">
        <f t="shared" si="3"/>
        <v>49.6929</v>
      </c>
      <c r="H22" s="32">
        <v>0.29</v>
      </c>
    </row>
    <row r="23" ht="15.75" customHeight="1">
      <c r="A23" s="44" t="s">
        <v>509</v>
      </c>
      <c r="B23" s="43">
        <v>45491.0</v>
      </c>
      <c r="C23" s="43">
        <v>45505.0</v>
      </c>
      <c r="D23" s="44" t="s">
        <v>504</v>
      </c>
      <c r="E23" s="13" t="s">
        <v>212</v>
      </c>
      <c r="F23" s="8">
        <v>29.99</v>
      </c>
      <c r="G23" s="8">
        <f t="shared" si="3"/>
        <v>29.99</v>
      </c>
      <c r="H23" s="46">
        <v>0.0</v>
      </c>
    </row>
    <row r="24" ht="15.75" customHeight="1">
      <c r="A24" s="44" t="s">
        <v>509</v>
      </c>
      <c r="B24" s="43">
        <v>45491.0</v>
      </c>
      <c r="C24" s="43">
        <v>45505.0</v>
      </c>
      <c r="D24" s="44" t="s">
        <v>504</v>
      </c>
      <c r="E24" s="13" t="s">
        <v>216</v>
      </c>
      <c r="F24" s="8">
        <v>11.99</v>
      </c>
      <c r="G24" s="8">
        <f t="shared" si="3"/>
        <v>9.592</v>
      </c>
      <c r="H24" s="32">
        <v>0.2</v>
      </c>
    </row>
    <row r="25" ht="15.75" customHeight="1">
      <c r="A25" s="44" t="s">
        <v>509</v>
      </c>
      <c r="B25" s="43">
        <v>45491.0</v>
      </c>
      <c r="C25" s="43">
        <v>45505.0</v>
      </c>
      <c r="D25" s="44" t="s">
        <v>504</v>
      </c>
      <c r="E25" s="6" t="s">
        <v>219</v>
      </c>
      <c r="F25" s="8">
        <v>2.99</v>
      </c>
      <c r="G25" s="8">
        <f t="shared" si="3"/>
        <v>2.392</v>
      </c>
      <c r="H25" s="32">
        <v>0.2</v>
      </c>
    </row>
    <row r="26" ht="15.75" customHeight="1">
      <c r="A26" s="44" t="s">
        <v>509</v>
      </c>
      <c r="B26" s="43">
        <v>45491.0</v>
      </c>
      <c r="C26" s="43">
        <v>45505.0</v>
      </c>
      <c r="D26" s="44" t="s">
        <v>504</v>
      </c>
      <c r="E26" s="6" t="s">
        <v>222</v>
      </c>
      <c r="F26" s="8">
        <v>2.99</v>
      </c>
      <c r="G26" s="8">
        <f t="shared" si="3"/>
        <v>2.392</v>
      </c>
      <c r="H26" s="32">
        <v>0.2</v>
      </c>
    </row>
    <row r="27" ht="15.75" customHeight="1"/>
    <row r="28" ht="15.75" customHeight="1">
      <c r="A28" s="39" t="s">
        <v>78</v>
      </c>
    </row>
    <row r="29" ht="15.75" customHeight="1">
      <c r="A29" s="44" t="s">
        <v>589</v>
      </c>
      <c r="B29" s="43">
        <v>45412.0</v>
      </c>
      <c r="C29" s="43">
        <v>45418.0</v>
      </c>
      <c r="D29" s="44" t="s">
        <v>92</v>
      </c>
      <c r="E29" s="6" t="s">
        <v>322</v>
      </c>
      <c r="F29" s="8">
        <v>49.99</v>
      </c>
      <c r="G29" s="8">
        <f t="shared" ref="G29:G40" si="4">F29*(1-H29)</f>
        <v>39.992</v>
      </c>
      <c r="H29" s="46">
        <v>0.2</v>
      </c>
    </row>
    <row r="30" ht="15.75" customHeight="1">
      <c r="A30" s="44" t="s">
        <v>589</v>
      </c>
      <c r="B30" s="43">
        <v>45412.0</v>
      </c>
      <c r="C30" s="43">
        <v>45418.0</v>
      </c>
      <c r="D30" s="44" t="s">
        <v>92</v>
      </c>
      <c r="E30" s="6" t="s">
        <v>321</v>
      </c>
      <c r="F30" s="8">
        <v>79.99</v>
      </c>
      <c r="G30" s="8">
        <f t="shared" si="4"/>
        <v>63.992</v>
      </c>
      <c r="H30" s="46">
        <v>0.2</v>
      </c>
    </row>
    <row r="31" ht="15.75" customHeight="1">
      <c r="A31" s="44" t="s">
        <v>589</v>
      </c>
      <c r="B31" s="43">
        <v>45419.0</v>
      </c>
      <c r="C31" s="43">
        <v>45425.0</v>
      </c>
      <c r="D31" s="44" t="s">
        <v>92</v>
      </c>
      <c r="E31" s="6" t="s">
        <v>352</v>
      </c>
      <c r="F31" s="8">
        <v>69.99</v>
      </c>
      <c r="G31" s="8">
        <f t="shared" si="4"/>
        <v>55.992</v>
      </c>
      <c r="H31" s="46">
        <v>0.2</v>
      </c>
    </row>
    <row r="32" ht="15.75" customHeight="1">
      <c r="A32" s="44" t="s">
        <v>589</v>
      </c>
      <c r="B32" s="43">
        <v>45454.0</v>
      </c>
      <c r="C32" s="43">
        <v>45460.0</v>
      </c>
      <c r="D32" s="44" t="s">
        <v>92</v>
      </c>
      <c r="E32" s="6" t="s">
        <v>322</v>
      </c>
      <c r="F32" s="8">
        <v>49.99</v>
      </c>
      <c r="G32" s="8">
        <f t="shared" si="4"/>
        <v>39.992</v>
      </c>
      <c r="H32" s="46">
        <v>0.2</v>
      </c>
    </row>
    <row r="33" ht="15.75" customHeight="1">
      <c r="A33" s="44" t="s">
        <v>589</v>
      </c>
      <c r="B33" s="43">
        <v>45454.0</v>
      </c>
      <c r="C33" s="43">
        <v>45460.0</v>
      </c>
      <c r="D33" s="44" t="s">
        <v>92</v>
      </c>
      <c r="E33" s="6" t="s">
        <v>321</v>
      </c>
      <c r="F33" s="8">
        <v>79.99</v>
      </c>
      <c r="G33" s="8">
        <f t="shared" si="4"/>
        <v>63.992</v>
      </c>
      <c r="H33" s="46">
        <v>0.2</v>
      </c>
    </row>
    <row r="34" ht="15.75" customHeight="1">
      <c r="A34" s="44" t="s">
        <v>589</v>
      </c>
      <c r="B34" s="43">
        <v>45461.0</v>
      </c>
      <c r="C34" s="43">
        <v>45467.0</v>
      </c>
      <c r="D34" s="44" t="s">
        <v>590</v>
      </c>
      <c r="E34" s="6" t="s">
        <v>352</v>
      </c>
      <c r="F34" s="8">
        <v>69.99</v>
      </c>
      <c r="G34" s="8">
        <f t="shared" si="4"/>
        <v>55.992</v>
      </c>
      <c r="H34" s="46">
        <v>0.2</v>
      </c>
    </row>
    <row r="35" ht="15.75" customHeight="1">
      <c r="A35" s="44" t="s">
        <v>589</v>
      </c>
      <c r="B35" s="43">
        <v>45491.0</v>
      </c>
      <c r="C35" s="43">
        <v>45504.0</v>
      </c>
      <c r="D35" s="44" t="s">
        <v>543</v>
      </c>
      <c r="E35" s="6" t="s">
        <v>322</v>
      </c>
      <c r="F35" s="8">
        <v>49.99</v>
      </c>
      <c r="G35" s="8">
        <f t="shared" si="4"/>
        <v>37.4925</v>
      </c>
      <c r="H35" s="46">
        <v>0.25</v>
      </c>
    </row>
    <row r="36" ht="15.75" customHeight="1">
      <c r="A36" s="44" t="s">
        <v>589</v>
      </c>
      <c r="B36" s="43">
        <v>45503.0</v>
      </c>
      <c r="C36" s="43">
        <v>45509.0</v>
      </c>
      <c r="D36" s="44" t="s">
        <v>92</v>
      </c>
      <c r="E36" s="6" t="s">
        <v>352</v>
      </c>
      <c r="F36" s="8">
        <v>69.99</v>
      </c>
      <c r="G36" s="8">
        <f t="shared" si="4"/>
        <v>52.4925</v>
      </c>
      <c r="H36" s="46">
        <v>0.25</v>
      </c>
    </row>
    <row r="37" ht="15.75" customHeight="1">
      <c r="A37" s="44" t="s">
        <v>589</v>
      </c>
      <c r="B37" s="43">
        <v>45510.0</v>
      </c>
      <c r="C37" s="43">
        <v>45516.0</v>
      </c>
      <c r="D37" s="44" t="s">
        <v>92</v>
      </c>
      <c r="E37" s="6" t="s">
        <v>321</v>
      </c>
      <c r="F37" s="8">
        <v>79.99</v>
      </c>
      <c r="G37" s="8">
        <f t="shared" si="4"/>
        <v>59.9925</v>
      </c>
      <c r="H37" s="46">
        <v>0.25</v>
      </c>
    </row>
    <row r="38" ht="15.75" customHeight="1">
      <c r="A38" s="44" t="s">
        <v>589</v>
      </c>
      <c r="B38" s="43">
        <v>45491.0</v>
      </c>
      <c r="C38" s="43">
        <v>45504.0</v>
      </c>
      <c r="D38" s="44" t="s">
        <v>114</v>
      </c>
      <c r="E38" s="6" t="s">
        <v>322</v>
      </c>
      <c r="F38" s="8">
        <v>49.99</v>
      </c>
      <c r="G38" s="8">
        <f t="shared" si="4"/>
        <v>33.4933</v>
      </c>
      <c r="H38" s="46">
        <v>0.33</v>
      </c>
    </row>
    <row r="39" ht="15.75" customHeight="1">
      <c r="A39" s="44" t="s">
        <v>589</v>
      </c>
      <c r="B39" s="43">
        <v>45552.0</v>
      </c>
      <c r="C39" s="43">
        <v>45558.0</v>
      </c>
      <c r="D39" s="44" t="s">
        <v>92</v>
      </c>
      <c r="E39" s="6" t="s">
        <v>352</v>
      </c>
      <c r="F39" s="8">
        <v>69.99</v>
      </c>
      <c r="G39" s="8">
        <f t="shared" si="4"/>
        <v>52.4925</v>
      </c>
      <c r="H39" s="46">
        <v>0.25</v>
      </c>
    </row>
    <row r="40" ht="15.75" customHeight="1">
      <c r="A40" s="44" t="s">
        <v>589</v>
      </c>
      <c r="B40" s="43">
        <v>45559.0</v>
      </c>
      <c r="C40" s="43">
        <v>45565.0</v>
      </c>
      <c r="D40" s="44" t="s">
        <v>92</v>
      </c>
      <c r="E40" s="6" t="s">
        <v>321</v>
      </c>
      <c r="F40" s="8">
        <v>79.99</v>
      </c>
      <c r="G40" s="8">
        <f t="shared" si="4"/>
        <v>59.9925</v>
      </c>
      <c r="H40" s="46">
        <v>0.25</v>
      </c>
    </row>
    <row r="41" ht="15.75" customHeight="1"/>
    <row r="42" ht="15.75" customHeight="1">
      <c r="A42" s="42" t="s">
        <v>107</v>
      </c>
    </row>
    <row r="43" ht="15.75" customHeight="1">
      <c r="A43" s="44" t="s">
        <v>591</v>
      </c>
      <c r="B43" s="43">
        <v>45406.0</v>
      </c>
      <c r="C43" s="43">
        <v>45420.0</v>
      </c>
      <c r="D43" s="44" t="s">
        <v>555</v>
      </c>
      <c r="E43" s="13" t="s">
        <v>35</v>
      </c>
      <c r="F43" s="8">
        <v>49.99</v>
      </c>
      <c r="G43" s="8">
        <f t="shared" ref="G43:G73" si="5">F43*(1-H43)</f>
        <v>39.992</v>
      </c>
      <c r="H43" s="46">
        <v>0.2</v>
      </c>
    </row>
    <row r="44" ht="15.75" customHeight="1">
      <c r="A44" s="44" t="s">
        <v>591</v>
      </c>
      <c r="B44" s="43"/>
      <c r="C44" s="43"/>
      <c r="D44" s="44"/>
      <c r="E44" s="13" t="s">
        <v>36</v>
      </c>
      <c r="F44" s="8">
        <v>79.99</v>
      </c>
      <c r="G44" s="8">
        <f t="shared" si="5"/>
        <v>63.992</v>
      </c>
      <c r="H44" s="46">
        <v>0.2</v>
      </c>
    </row>
    <row r="45" ht="15.75" customHeight="1">
      <c r="A45" s="44" t="s">
        <v>591</v>
      </c>
      <c r="B45" s="43">
        <v>45420.0</v>
      </c>
      <c r="C45" s="43">
        <v>45434.0</v>
      </c>
      <c r="D45" s="44" t="s">
        <v>525</v>
      </c>
      <c r="E45" s="13" t="s">
        <v>37</v>
      </c>
      <c r="F45" s="8">
        <v>69.99</v>
      </c>
      <c r="G45" s="8">
        <f t="shared" si="5"/>
        <v>55.992</v>
      </c>
      <c r="H45" s="46">
        <v>0.2</v>
      </c>
    </row>
    <row r="46" ht="15.75" customHeight="1">
      <c r="A46" s="44" t="s">
        <v>591</v>
      </c>
      <c r="B46" s="43">
        <v>45441.0</v>
      </c>
      <c r="C46" s="43">
        <v>45455.0</v>
      </c>
      <c r="D46" s="44" t="s">
        <v>151</v>
      </c>
      <c r="E46" s="13" t="s">
        <v>35</v>
      </c>
      <c r="F46" s="8">
        <v>49.99</v>
      </c>
      <c r="G46" s="8">
        <f t="shared" si="5"/>
        <v>37.4925</v>
      </c>
      <c r="H46" s="46">
        <v>0.25</v>
      </c>
    </row>
    <row r="47" ht="15.75" customHeight="1">
      <c r="A47" s="44" t="s">
        <v>591</v>
      </c>
      <c r="B47" s="99"/>
      <c r="C47" s="99"/>
      <c r="D47" s="44"/>
      <c r="E47" s="13" t="s">
        <v>36</v>
      </c>
      <c r="F47" s="8">
        <v>79.99</v>
      </c>
      <c r="G47" s="8">
        <f t="shared" si="5"/>
        <v>59.9925</v>
      </c>
      <c r="H47" s="46">
        <v>0.25</v>
      </c>
    </row>
    <row r="48" ht="15.75" customHeight="1">
      <c r="A48" s="44" t="s">
        <v>591</v>
      </c>
      <c r="B48" s="43">
        <v>45455.0</v>
      </c>
      <c r="C48" s="43">
        <v>45469.0</v>
      </c>
      <c r="D48" s="44" t="s">
        <v>592</v>
      </c>
      <c r="E48" s="13" t="s">
        <v>37</v>
      </c>
      <c r="F48" s="8">
        <v>69.99</v>
      </c>
      <c r="G48" s="8">
        <f t="shared" si="5"/>
        <v>52.4925</v>
      </c>
      <c r="H48" s="46">
        <v>0.25</v>
      </c>
    </row>
    <row r="49" ht="15.75" customHeight="1">
      <c r="A49" s="44" t="s">
        <v>591</v>
      </c>
      <c r="B49" s="43">
        <v>45471.0</v>
      </c>
      <c r="C49" s="43">
        <v>45474.0</v>
      </c>
      <c r="D49" s="44" t="s">
        <v>477</v>
      </c>
      <c r="E49" s="13" t="s">
        <v>35</v>
      </c>
      <c r="F49" s="8">
        <v>49.99</v>
      </c>
      <c r="G49" s="8">
        <f t="shared" si="5"/>
        <v>34.993</v>
      </c>
      <c r="H49" s="46">
        <v>0.3</v>
      </c>
    </row>
    <row r="50" ht="15.75" customHeight="1">
      <c r="A50" s="44" t="s">
        <v>591</v>
      </c>
      <c r="B50" s="99"/>
      <c r="C50" s="99"/>
      <c r="D50" s="44"/>
      <c r="E50" s="13" t="s">
        <v>36</v>
      </c>
      <c r="F50" s="8">
        <v>79.99</v>
      </c>
      <c r="G50" s="8">
        <f t="shared" si="5"/>
        <v>55.993</v>
      </c>
      <c r="H50" s="46">
        <v>0.3</v>
      </c>
    </row>
    <row r="51" ht="15.75" customHeight="1">
      <c r="A51" s="44" t="s">
        <v>591</v>
      </c>
      <c r="B51" s="43">
        <v>45490.0</v>
      </c>
      <c r="C51" s="43">
        <v>45504.0</v>
      </c>
      <c r="D51" s="44" t="s">
        <v>593</v>
      </c>
      <c r="E51" s="13" t="s">
        <v>35</v>
      </c>
      <c r="F51" s="8">
        <v>49.99</v>
      </c>
      <c r="G51" s="8">
        <f t="shared" si="5"/>
        <v>34.993</v>
      </c>
      <c r="H51" s="46">
        <v>0.3</v>
      </c>
    </row>
    <row r="52" ht="15.75" customHeight="1">
      <c r="A52" s="44" t="s">
        <v>591</v>
      </c>
      <c r="B52" s="43"/>
      <c r="C52" s="43"/>
      <c r="D52" s="44"/>
      <c r="E52" s="13" t="s">
        <v>36</v>
      </c>
      <c r="F52" s="8">
        <v>79.99</v>
      </c>
      <c r="G52" s="8">
        <f t="shared" si="5"/>
        <v>55.993</v>
      </c>
      <c r="H52" s="46">
        <v>0.3</v>
      </c>
    </row>
    <row r="53" ht="15.75" customHeight="1">
      <c r="A53" s="44" t="s">
        <v>591</v>
      </c>
      <c r="B53" s="43">
        <v>45504.0</v>
      </c>
      <c r="C53" s="43">
        <v>45518.0</v>
      </c>
      <c r="D53" s="44" t="s">
        <v>594</v>
      </c>
      <c r="E53" s="13" t="s">
        <v>37</v>
      </c>
      <c r="F53" s="8">
        <v>69.99</v>
      </c>
      <c r="G53" s="8">
        <f t="shared" si="5"/>
        <v>48.993</v>
      </c>
      <c r="H53" s="46">
        <v>0.3</v>
      </c>
    </row>
    <row r="54" ht="15.75" customHeight="1">
      <c r="A54" s="44" t="s">
        <v>591</v>
      </c>
      <c r="B54" s="43">
        <v>45518.0</v>
      </c>
      <c r="C54" s="43">
        <v>45532.0</v>
      </c>
      <c r="D54" s="44" t="s">
        <v>561</v>
      </c>
      <c r="E54" s="13" t="s">
        <v>35</v>
      </c>
      <c r="F54" s="8">
        <v>49.99</v>
      </c>
      <c r="G54" s="8">
        <f t="shared" si="5"/>
        <v>34.993</v>
      </c>
      <c r="H54" s="46">
        <v>0.3</v>
      </c>
    </row>
    <row r="55" ht="15.75" customHeight="1">
      <c r="A55" s="44" t="s">
        <v>591</v>
      </c>
      <c r="B55" s="43"/>
      <c r="C55" s="43"/>
      <c r="D55" s="44"/>
      <c r="E55" s="13" t="s">
        <v>36</v>
      </c>
      <c r="F55" s="8">
        <v>79.99</v>
      </c>
      <c r="G55" s="8">
        <f t="shared" si="5"/>
        <v>55.993</v>
      </c>
      <c r="H55" s="46">
        <v>0.3</v>
      </c>
    </row>
    <row r="56" ht="15.75" customHeight="1">
      <c r="A56" s="44" t="s">
        <v>591</v>
      </c>
      <c r="B56" s="43">
        <v>45532.0</v>
      </c>
      <c r="C56" s="43">
        <v>45546.0</v>
      </c>
      <c r="D56" s="44" t="s">
        <v>144</v>
      </c>
      <c r="E56" s="13" t="s">
        <v>35</v>
      </c>
      <c r="F56" s="8">
        <v>49.99</v>
      </c>
      <c r="G56" s="8">
        <f t="shared" si="5"/>
        <v>34.993</v>
      </c>
      <c r="H56" s="46">
        <v>0.3</v>
      </c>
    </row>
    <row r="57" ht="15.75" customHeight="1">
      <c r="A57" s="44" t="s">
        <v>591</v>
      </c>
      <c r="B57" s="43"/>
      <c r="C57" s="43"/>
      <c r="D57" s="44"/>
      <c r="E57" s="13" t="s">
        <v>36</v>
      </c>
      <c r="F57" s="8">
        <v>79.99</v>
      </c>
      <c r="G57" s="8">
        <f t="shared" si="5"/>
        <v>55.993</v>
      </c>
      <c r="H57" s="46">
        <v>0.3</v>
      </c>
    </row>
    <row r="58" ht="15.75" customHeight="1">
      <c r="A58" s="44" t="s">
        <v>591</v>
      </c>
      <c r="B58" s="43">
        <v>45546.0</v>
      </c>
      <c r="C58" s="43">
        <v>45560.0</v>
      </c>
      <c r="D58" s="44" t="s">
        <v>424</v>
      </c>
      <c r="E58" s="13" t="s">
        <v>37</v>
      </c>
      <c r="F58" s="8">
        <v>69.99</v>
      </c>
      <c r="G58" s="8">
        <f t="shared" si="5"/>
        <v>48.993</v>
      </c>
      <c r="H58" s="46">
        <v>0.3</v>
      </c>
    </row>
    <row r="59" ht="15.75" customHeight="1">
      <c r="A59" s="44" t="s">
        <v>591</v>
      </c>
      <c r="B59" s="43">
        <v>45574.0</v>
      </c>
      <c r="C59" s="43">
        <v>45588.0</v>
      </c>
      <c r="D59" s="44" t="s">
        <v>564</v>
      </c>
      <c r="E59" s="13" t="s">
        <v>35</v>
      </c>
      <c r="F59" s="8">
        <v>49.99</v>
      </c>
      <c r="G59" s="8">
        <f t="shared" si="5"/>
        <v>34.993</v>
      </c>
      <c r="H59" s="46">
        <v>0.3</v>
      </c>
    </row>
    <row r="60" ht="15.75" customHeight="1">
      <c r="A60" s="44" t="s">
        <v>591</v>
      </c>
      <c r="B60" s="43"/>
      <c r="C60" s="43"/>
      <c r="D60" s="44"/>
      <c r="E60" s="13" t="s">
        <v>36</v>
      </c>
      <c r="F60" s="8">
        <v>79.99</v>
      </c>
      <c r="G60" s="8">
        <f t="shared" si="5"/>
        <v>55.993</v>
      </c>
      <c r="H60" s="46">
        <v>0.3</v>
      </c>
    </row>
    <row r="61" ht="15.75" customHeight="1">
      <c r="A61" s="44" t="s">
        <v>591</v>
      </c>
      <c r="B61" s="43">
        <v>45588.0</v>
      </c>
      <c r="C61" s="43">
        <v>45602.0</v>
      </c>
      <c r="D61" s="44" t="s">
        <v>554</v>
      </c>
      <c r="E61" s="13" t="s">
        <v>37</v>
      </c>
      <c r="F61" s="8">
        <v>69.99</v>
      </c>
      <c r="G61" s="8">
        <f t="shared" si="5"/>
        <v>48.993</v>
      </c>
      <c r="H61" s="46">
        <v>0.3</v>
      </c>
    </row>
    <row r="62" ht="15.75" customHeight="1">
      <c r="A62" s="44" t="s">
        <v>591</v>
      </c>
      <c r="B62" s="43">
        <v>45602.0</v>
      </c>
      <c r="C62" s="43">
        <v>45603.0</v>
      </c>
      <c r="D62" s="44" t="s">
        <v>567</v>
      </c>
      <c r="E62" s="13" t="s">
        <v>35</v>
      </c>
      <c r="F62" s="8">
        <v>49.99</v>
      </c>
      <c r="G62" s="8">
        <f t="shared" si="5"/>
        <v>32.4935</v>
      </c>
      <c r="H62" s="46">
        <v>0.35</v>
      </c>
    </row>
    <row r="63" ht="15.75" customHeight="1">
      <c r="A63" s="44" t="s">
        <v>591</v>
      </c>
      <c r="B63" s="43"/>
      <c r="C63" s="43"/>
      <c r="D63" s="44"/>
      <c r="E63" s="13" t="s">
        <v>36</v>
      </c>
      <c r="F63" s="8">
        <v>79.99</v>
      </c>
      <c r="G63" s="8">
        <f t="shared" si="5"/>
        <v>51.9935</v>
      </c>
      <c r="H63" s="46">
        <v>0.35</v>
      </c>
    </row>
    <row r="64" ht="15.75" customHeight="1">
      <c r="A64" s="44" t="s">
        <v>591</v>
      </c>
      <c r="B64" s="43">
        <v>45618.0</v>
      </c>
      <c r="C64" s="43">
        <v>45628.0</v>
      </c>
      <c r="D64" s="44" t="s">
        <v>425</v>
      </c>
      <c r="E64" s="13" t="s">
        <v>35</v>
      </c>
      <c r="F64" s="8">
        <v>49.99</v>
      </c>
      <c r="G64" s="8">
        <f t="shared" si="5"/>
        <v>32.4935</v>
      </c>
      <c r="H64" s="46">
        <v>0.35</v>
      </c>
    </row>
    <row r="65" ht="15.75" customHeight="1">
      <c r="A65" s="44" t="s">
        <v>591</v>
      </c>
      <c r="B65" s="43"/>
      <c r="C65" s="43"/>
      <c r="D65" s="44"/>
      <c r="E65" s="13" t="s">
        <v>36</v>
      </c>
      <c r="F65" s="8">
        <v>79.99</v>
      </c>
      <c r="G65" s="8">
        <f t="shared" si="5"/>
        <v>51.9935</v>
      </c>
      <c r="H65" s="46">
        <v>0.35</v>
      </c>
    </row>
    <row r="66" ht="15.75" customHeight="1">
      <c r="A66" s="44" t="s">
        <v>591</v>
      </c>
      <c r="B66" s="43">
        <v>45628.0</v>
      </c>
      <c r="C66" s="43">
        <v>45646.0</v>
      </c>
      <c r="D66" s="44" t="s">
        <v>571</v>
      </c>
      <c r="E66" s="13" t="s">
        <v>37</v>
      </c>
      <c r="F66" s="8">
        <v>69.99</v>
      </c>
      <c r="G66" s="8">
        <f t="shared" si="5"/>
        <v>45.4935</v>
      </c>
      <c r="H66" s="46">
        <v>0.35</v>
      </c>
    </row>
    <row r="67" ht="15.75" customHeight="1">
      <c r="A67" s="44" t="s">
        <v>591</v>
      </c>
      <c r="B67" s="43">
        <v>45642.0</v>
      </c>
      <c r="C67" s="43">
        <v>45645.0</v>
      </c>
      <c r="D67" s="44" t="s">
        <v>596</v>
      </c>
      <c r="E67" s="13" t="s">
        <v>35</v>
      </c>
      <c r="F67" s="8">
        <v>49.99</v>
      </c>
      <c r="G67" s="8">
        <f t="shared" si="5"/>
        <v>32.4935</v>
      </c>
      <c r="H67" s="46">
        <v>0.35</v>
      </c>
    </row>
    <row r="68" ht="15.75" customHeight="1">
      <c r="A68" s="44" t="s">
        <v>591</v>
      </c>
      <c r="B68" s="43"/>
      <c r="C68" s="43"/>
      <c r="D68" s="44"/>
      <c r="E68" s="13" t="s">
        <v>36</v>
      </c>
      <c r="F68" s="8">
        <v>79.99</v>
      </c>
      <c r="G68" s="8">
        <f t="shared" si="5"/>
        <v>51.9935</v>
      </c>
      <c r="H68" s="46">
        <v>0.35</v>
      </c>
    </row>
    <row r="69" ht="15.75" customHeight="1">
      <c r="A69" s="44" t="s">
        <v>591</v>
      </c>
      <c r="B69" s="43">
        <v>45646.0</v>
      </c>
      <c r="C69" s="43">
        <v>45663.0</v>
      </c>
      <c r="D69" s="44" t="s">
        <v>597</v>
      </c>
      <c r="E69" s="13" t="s">
        <v>35</v>
      </c>
      <c r="F69" s="8">
        <v>49.99</v>
      </c>
      <c r="G69" s="8">
        <f t="shared" si="5"/>
        <v>32.4935</v>
      </c>
      <c r="H69" s="46">
        <v>0.35</v>
      </c>
    </row>
    <row r="70" ht="15.75" customHeight="1">
      <c r="A70" s="44" t="s">
        <v>591</v>
      </c>
      <c r="B70" s="43"/>
      <c r="C70" s="43"/>
      <c r="D70" s="44"/>
      <c r="E70" s="13" t="s">
        <v>36</v>
      </c>
      <c r="F70" s="8">
        <v>79.99</v>
      </c>
      <c r="G70" s="8">
        <f t="shared" si="5"/>
        <v>51.9935</v>
      </c>
      <c r="H70" s="46">
        <v>0.35</v>
      </c>
    </row>
    <row r="71" ht="15.75" customHeight="1">
      <c r="A71" s="44" t="s">
        <v>591</v>
      </c>
      <c r="B71" s="43">
        <v>45660.0</v>
      </c>
      <c r="C71" s="43">
        <v>45674.0</v>
      </c>
      <c r="D71" s="44" t="s">
        <v>599</v>
      </c>
      <c r="E71" s="13" t="s">
        <v>37</v>
      </c>
      <c r="F71" s="8">
        <v>69.99</v>
      </c>
      <c r="G71" s="8">
        <f t="shared" si="5"/>
        <v>45.4935</v>
      </c>
      <c r="H71" s="46">
        <v>0.35</v>
      </c>
    </row>
    <row r="72" ht="15.75" customHeight="1">
      <c r="A72" s="44" t="s">
        <v>591</v>
      </c>
      <c r="B72" s="43">
        <v>45686.0</v>
      </c>
      <c r="C72" s="43">
        <v>45699.0</v>
      </c>
      <c r="D72" s="44" t="s">
        <v>476</v>
      </c>
      <c r="E72" s="13" t="s">
        <v>35</v>
      </c>
      <c r="F72" s="8">
        <v>49.99</v>
      </c>
      <c r="G72" s="8">
        <f t="shared" si="5"/>
        <v>32.4935</v>
      </c>
      <c r="H72" s="46">
        <v>0.35</v>
      </c>
    </row>
    <row r="73" ht="15.75" customHeight="1">
      <c r="A73" s="44" t="s">
        <v>591</v>
      </c>
      <c r="B73" s="43"/>
      <c r="C73" s="43"/>
      <c r="D73" s="44"/>
      <c r="E73" s="13" t="s">
        <v>36</v>
      </c>
      <c r="F73" s="8">
        <v>79.99</v>
      </c>
      <c r="G73" s="8">
        <f t="shared" si="5"/>
        <v>51.9935</v>
      </c>
      <c r="H73" s="46">
        <v>0.35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H1"/>
    <mergeCell ref="A3:H3"/>
    <mergeCell ref="A28:H28"/>
    <mergeCell ref="A42:H42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8.0"/>
    <col customWidth="1" min="3" max="3" width="7.25"/>
    <col customWidth="1" min="4" max="4" width="21.38"/>
    <col customWidth="1" min="5" max="5" width="40.63"/>
    <col customWidth="1" min="6" max="6" width="17.0"/>
    <col customWidth="1" min="7" max="7" width="15.88"/>
    <col customWidth="1" min="8" max="8" width="17.5"/>
  </cols>
  <sheetData>
    <row r="1" ht="36.75" customHeight="1">
      <c r="A1" s="4" t="s">
        <v>506</v>
      </c>
      <c r="B1" s="4" t="s">
        <v>2</v>
      </c>
      <c r="C1" s="4" t="s">
        <v>6</v>
      </c>
      <c r="D1" s="4" t="s">
        <v>7</v>
      </c>
      <c r="E1" s="4" t="s">
        <v>8</v>
      </c>
      <c r="F1" s="7" t="s">
        <v>9</v>
      </c>
      <c r="G1" s="7" t="s">
        <v>10</v>
      </c>
      <c r="H1" s="7" t="s">
        <v>11</v>
      </c>
      <c r="I1" s="92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</row>
    <row r="2" ht="15.75" customHeight="1">
      <c r="A2" s="128" t="s">
        <v>78</v>
      </c>
      <c r="B2" s="129">
        <v>44658.0</v>
      </c>
      <c r="C2" s="130">
        <v>44673.0</v>
      </c>
      <c r="D2" s="128" t="s">
        <v>122</v>
      </c>
      <c r="E2" s="128" t="s">
        <v>239</v>
      </c>
      <c r="F2" s="128" t="s">
        <v>88</v>
      </c>
      <c r="G2" s="128" t="s">
        <v>262</v>
      </c>
      <c r="H2" s="131">
        <v>0.33</v>
      </c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</row>
    <row r="3" ht="15.75" customHeight="1">
      <c r="A3" s="128" t="s">
        <v>78</v>
      </c>
      <c r="B3" s="129">
        <v>44673.0</v>
      </c>
      <c r="C3" s="130">
        <v>44687.0</v>
      </c>
      <c r="D3" s="128" t="s">
        <v>601</v>
      </c>
      <c r="E3" s="128" t="s">
        <v>384</v>
      </c>
      <c r="F3" s="128" t="s">
        <v>179</v>
      </c>
      <c r="G3" s="128" t="s">
        <v>602</v>
      </c>
      <c r="H3" s="131">
        <v>0.45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</row>
    <row r="4" ht="15.75" customHeight="1">
      <c r="A4" s="128" t="s">
        <v>78</v>
      </c>
      <c r="B4" s="129">
        <v>44677.0</v>
      </c>
      <c r="C4" s="130">
        <v>44683.0</v>
      </c>
      <c r="D4" s="128" t="s">
        <v>191</v>
      </c>
      <c r="E4" s="128" t="s">
        <v>260</v>
      </c>
      <c r="F4" s="128" t="s">
        <v>96</v>
      </c>
      <c r="G4" s="128" t="s">
        <v>115</v>
      </c>
      <c r="H4" s="131">
        <v>0.2</v>
      </c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</row>
    <row r="5" ht="15.75" customHeight="1">
      <c r="A5" s="128" t="s">
        <v>78</v>
      </c>
      <c r="B5" s="129">
        <v>44677.0</v>
      </c>
      <c r="C5" s="130">
        <v>44683.0</v>
      </c>
      <c r="D5" s="128" t="s">
        <v>191</v>
      </c>
      <c r="E5" s="128" t="s">
        <v>266</v>
      </c>
      <c r="F5" s="128" t="s">
        <v>96</v>
      </c>
      <c r="G5" s="128" t="s">
        <v>115</v>
      </c>
      <c r="H5" s="131">
        <v>0.2</v>
      </c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</row>
    <row r="6" ht="15.75" customHeight="1">
      <c r="A6" s="128" t="s">
        <v>78</v>
      </c>
      <c r="B6" s="129">
        <v>44684.0</v>
      </c>
      <c r="C6" s="130">
        <v>44690.0</v>
      </c>
      <c r="D6" s="128" t="s">
        <v>603</v>
      </c>
      <c r="E6" s="128" t="s">
        <v>253</v>
      </c>
      <c r="F6" s="128" t="s">
        <v>269</v>
      </c>
      <c r="G6" s="128" t="s">
        <v>528</v>
      </c>
      <c r="H6" s="131">
        <v>0.45</v>
      </c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</row>
    <row r="7" ht="15.75" customHeight="1">
      <c r="A7" s="128" t="s">
        <v>78</v>
      </c>
      <c r="B7" s="129">
        <v>44698.0</v>
      </c>
      <c r="C7" s="130">
        <v>44711.0</v>
      </c>
      <c r="D7" s="128" t="s">
        <v>413</v>
      </c>
      <c r="E7" s="128" t="s">
        <v>239</v>
      </c>
      <c r="F7" s="128" t="s">
        <v>88</v>
      </c>
      <c r="G7" s="128" t="s">
        <v>262</v>
      </c>
      <c r="H7" s="131">
        <v>0.33</v>
      </c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</row>
    <row r="8" ht="15.75" customHeight="1">
      <c r="A8" s="128" t="s">
        <v>78</v>
      </c>
      <c r="B8" s="129">
        <v>44719.0</v>
      </c>
      <c r="C8" s="130">
        <v>44725.0</v>
      </c>
      <c r="D8" s="128" t="s">
        <v>603</v>
      </c>
      <c r="E8" s="128" t="s">
        <v>384</v>
      </c>
      <c r="F8" s="128" t="s">
        <v>179</v>
      </c>
      <c r="G8" s="128" t="s">
        <v>602</v>
      </c>
      <c r="H8" s="131">
        <v>0.45</v>
      </c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</row>
    <row r="9" ht="15.75" customHeight="1">
      <c r="A9" s="128" t="s">
        <v>78</v>
      </c>
      <c r="B9" s="129">
        <v>44719.0</v>
      </c>
      <c r="C9" s="130">
        <v>44725.0</v>
      </c>
      <c r="D9" s="128" t="s">
        <v>603</v>
      </c>
      <c r="E9" s="128" t="s">
        <v>606</v>
      </c>
      <c r="F9" s="128" t="s">
        <v>269</v>
      </c>
      <c r="G9" s="128" t="s">
        <v>528</v>
      </c>
      <c r="H9" s="131">
        <v>0.45</v>
      </c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</row>
    <row r="10" ht="15.75" customHeight="1">
      <c r="A10" s="128" t="s">
        <v>78</v>
      </c>
      <c r="B10" s="129">
        <v>44726.0</v>
      </c>
      <c r="C10" s="130">
        <v>44732.0</v>
      </c>
      <c r="D10" s="128" t="s">
        <v>603</v>
      </c>
      <c r="E10" s="128" t="s">
        <v>239</v>
      </c>
      <c r="F10" s="128" t="s">
        <v>88</v>
      </c>
      <c r="G10" s="128" t="s">
        <v>134</v>
      </c>
      <c r="H10" s="131">
        <v>0.4</v>
      </c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</row>
    <row r="11" ht="15.75" customHeight="1">
      <c r="A11" s="128" t="s">
        <v>78</v>
      </c>
      <c r="B11" s="129">
        <v>44726.0</v>
      </c>
      <c r="C11" s="130">
        <v>44732.0</v>
      </c>
      <c r="D11" s="128" t="s">
        <v>603</v>
      </c>
      <c r="E11" s="128" t="s">
        <v>260</v>
      </c>
      <c r="F11" s="128" t="s">
        <v>96</v>
      </c>
      <c r="G11" s="128" t="s">
        <v>115</v>
      </c>
      <c r="H11" s="131">
        <v>0.2</v>
      </c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</row>
    <row r="12" ht="15.75" customHeight="1">
      <c r="A12" s="128" t="s">
        <v>78</v>
      </c>
      <c r="B12" s="129">
        <v>44726.0</v>
      </c>
      <c r="C12" s="130">
        <v>44732.0</v>
      </c>
      <c r="D12" s="128" t="s">
        <v>603</v>
      </c>
      <c r="E12" s="128" t="s">
        <v>266</v>
      </c>
      <c r="F12" s="128" t="s">
        <v>96</v>
      </c>
      <c r="G12" s="128" t="s">
        <v>115</v>
      </c>
      <c r="H12" s="131">
        <v>0.2</v>
      </c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</row>
    <row r="13" ht="15.75" customHeight="1">
      <c r="A13" s="128" t="s">
        <v>78</v>
      </c>
      <c r="B13" s="129">
        <v>44747.0</v>
      </c>
      <c r="C13" s="130">
        <v>44753.0</v>
      </c>
      <c r="D13" s="128" t="s">
        <v>603</v>
      </c>
      <c r="E13" s="128" t="s">
        <v>384</v>
      </c>
      <c r="F13" s="128" t="s">
        <v>179</v>
      </c>
      <c r="G13" s="128" t="s">
        <v>602</v>
      </c>
      <c r="H13" s="131">
        <v>0.45</v>
      </c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</row>
    <row r="14" ht="15.75" customHeight="1">
      <c r="A14" s="128" t="s">
        <v>78</v>
      </c>
      <c r="B14" s="129">
        <v>44756.0</v>
      </c>
      <c r="C14" s="130">
        <v>44774.0</v>
      </c>
      <c r="D14" s="128" t="s">
        <v>543</v>
      </c>
      <c r="E14" s="128" t="s">
        <v>239</v>
      </c>
      <c r="F14" s="128" t="s">
        <v>88</v>
      </c>
      <c r="G14" s="128" t="s">
        <v>134</v>
      </c>
      <c r="H14" s="131">
        <v>0.4</v>
      </c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</row>
    <row r="15" ht="15.75" customHeight="1">
      <c r="A15" s="128" t="s">
        <v>78</v>
      </c>
      <c r="B15" s="129">
        <v>44775.0</v>
      </c>
      <c r="C15" s="130">
        <v>44781.0</v>
      </c>
      <c r="D15" s="128" t="s">
        <v>603</v>
      </c>
      <c r="E15" s="128" t="s">
        <v>253</v>
      </c>
      <c r="F15" s="128" t="s">
        <v>269</v>
      </c>
      <c r="G15" s="128" t="s">
        <v>528</v>
      </c>
      <c r="H15" s="131">
        <v>0.45</v>
      </c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</row>
    <row r="16" ht="15.75" customHeight="1">
      <c r="A16" s="128" t="s">
        <v>78</v>
      </c>
      <c r="B16" s="129">
        <v>44782.0</v>
      </c>
      <c r="C16" s="130">
        <v>44796.0</v>
      </c>
      <c r="D16" s="128" t="s">
        <v>135</v>
      </c>
      <c r="E16" s="128" t="s">
        <v>379</v>
      </c>
      <c r="F16" s="128" t="s">
        <v>96</v>
      </c>
      <c r="G16" s="128" t="s">
        <v>115</v>
      </c>
      <c r="H16" s="131">
        <v>0.2</v>
      </c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</row>
    <row r="17" ht="15.75" customHeight="1">
      <c r="A17" s="128" t="s">
        <v>78</v>
      </c>
      <c r="B17" s="129">
        <v>44782.0</v>
      </c>
      <c r="C17" s="130">
        <v>44796.0</v>
      </c>
      <c r="D17" s="128" t="s">
        <v>135</v>
      </c>
      <c r="E17" s="128" t="s">
        <v>381</v>
      </c>
      <c r="F17" s="128" t="s">
        <v>96</v>
      </c>
      <c r="G17" s="128" t="s">
        <v>115</v>
      </c>
      <c r="H17" s="131">
        <v>0.2</v>
      </c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</row>
    <row r="18" ht="15.75" customHeight="1">
      <c r="A18" s="128" t="s">
        <v>78</v>
      </c>
      <c r="B18" s="129">
        <v>44789.0</v>
      </c>
      <c r="C18" s="130">
        <v>44795.0</v>
      </c>
      <c r="D18" s="128" t="s">
        <v>603</v>
      </c>
      <c r="E18" s="128" t="s">
        <v>384</v>
      </c>
      <c r="F18" s="128" t="s">
        <v>179</v>
      </c>
      <c r="G18" s="128" t="s">
        <v>237</v>
      </c>
      <c r="H18" s="131">
        <v>0.5</v>
      </c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</row>
    <row r="19" ht="15.75" customHeight="1">
      <c r="A19" s="128" t="s">
        <v>78</v>
      </c>
      <c r="B19" s="129">
        <v>44810.0</v>
      </c>
      <c r="C19" s="130">
        <v>44816.0</v>
      </c>
      <c r="D19" s="128" t="s">
        <v>603</v>
      </c>
      <c r="E19" s="128" t="s">
        <v>239</v>
      </c>
      <c r="F19" s="128" t="s">
        <v>88</v>
      </c>
      <c r="G19" s="128" t="s">
        <v>134</v>
      </c>
      <c r="H19" s="131">
        <v>0.4</v>
      </c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</row>
    <row r="20" ht="15.75" customHeight="1">
      <c r="A20" s="128" t="s">
        <v>78</v>
      </c>
      <c r="B20" s="129">
        <v>44824.0</v>
      </c>
      <c r="C20" s="130">
        <v>44830.0</v>
      </c>
      <c r="D20" s="128" t="s">
        <v>603</v>
      </c>
      <c r="E20" s="128" t="s">
        <v>253</v>
      </c>
      <c r="F20" s="128" t="s">
        <v>269</v>
      </c>
      <c r="G20" s="128" t="s">
        <v>184</v>
      </c>
      <c r="H20" s="131">
        <v>0.5</v>
      </c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</row>
    <row r="21" ht="15.75" customHeight="1">
      <c r="A21" s="128" t="s">
        <v>78</v>
      </c>
      <c r="B21" s="129">
        <v>44824.0</v>
      </c>
      <c r="C21" s="130">
        <v>44830.0</v>
      </c>
      <c r="D21" s="128" t="s">
        <v>191</v>
      </c>
      <c r="E21" s="128" t="s">
        <v>379</v>
      </c>
      <c r="F21" s="128" t="s">
        <v>96</v>
      </c>
      <c r="G21" s="128" t="s">
        <v>115</v>
      </c>
      <c r="H21" s="131">
        <v>0.2</v>
      </c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</row>
    <row r="22" ht="15.75" customHeight="1">
      <c r="A22" s="128" t="s">
        <v>78</v>
      </c>
      <c r="B22" s="129">
        <v>44824.0</v>
      </c>
      <c r="C22" s="130">
        <v>44830.0</v>
      </c>
      <c r="D22" s="128" t="s">
        <v>191</v>
      </c>
      <c r="E22" s="128" t="s">
        <v>381</v>
      </c>
      <c r="F22" s="128" t="s">
        <v>96</v>
      </c>
      <c r="G22" s="128" t="s">
        <v>115</v>
      </c>
      <c r="H22" s="131">
        <v>0.2</v>
      </c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</row>
    <row r="23" ht="15.75" customHeight="1">
      <c r="A23" s="128" t="s">
        <v>78</v>
      </c>
      <c r="B23" s="129">
        <v>44838.0</v>
      </c>
      <c r="C23" s="130">
        <v>44844.0</v>
      </c>
      <c r="D23" s="128" t="s">
        <v>603</v>
      </c>
      <c r="E23" s="128" t="s">
        <v>384</v>
      </c>
      <c r="F23" s="128" t="s">
        <v>179</v>
      </c>
      <c r="G23" s="128" t="s">
        <v>96</v>
      </c>
      <c r="H23" s="131">
        <v>0.5</v>
      </c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</row>
    <row r="24" ht="15.75" customHeight="1">
      <c r="A24" s="128" t="s">
        <v>78</v>
      </c>
      <c r="B24" s="130">
        <v>44845.0</v>
      </c>
      <c r="C24" s="130">
        <v>44851.0</v>
      </c>
      <c r="D24" s="128" t="s">
        <v>604</v>
      </c>
      <c r="E24" s="128" t="s">
        <v>239</v>
      </c>
      <c r="F24" s="128" t="s">
        <v>88</v>
      </c>
      <c r="G24" s="128" t="s">
        <v>134</v>
      </c>
      <c r="H24" s="131">
        <v>0.4</v>
      </c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</row>
    <row r="25" ht="15.75" customHeight="1">
      <c r="A25" s="128" t="s">
        <v>78</v>
      </c>
      <c r="B25" s="130">
        <v>44852.0</v>
      </c>
      <c r="C25" s="130">
        <v>44858.0</v>
      </c>
      <c r="D25" s="128" t="s">
        <v>603</v>
      </c>
      <c r="E25" s="128" t="s">
        <v>253</v>
      </c>
      <c r="F25" s="128" t="s">
        <v>269</v>
      </c>
      <c r="G25" s="128" t="s">
        <v>184</v>
      </c>
      <c r="H25" s="131">
        <v>0.5</v>
      </c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</row>
    <row r="26" ht="15.75" customHeight="1">
      <c r="A26" s="128" t="s">
        <v>78</v>
      </c>
      <c r="B26" s="130">
        <v>44852.0</v>
      </c>
      <c r="C26" s="130">
        <v>44858.0</v>
      </c>
      <c r="D26" s="128" t="s">
        <v>191</v>
      </c>
      <c r="E26" s="128" t="s">
        <v>379</v>
      </c>
      <c r="F26" s="128" t="s">
        <v>96</v>
      </c>
      <c r="G26" s="128" t="s">
        <v>115</v>
      </c>
      <c r="H26" s="131">
        <v>0.2</v>
      </c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</row>
    <row r="27" ht="15.75" customHeight="1">
      <c r="A27" s="128" t="s">
        <v>78</v>
      </c>
      <c r="B27" s="130">
        <v>44852.0</v>
      </c>
      <c r="C27" s="130">
        <v>44858.0</v>
      </c>
      <c r="D27" s="128" t="s">
        <v>191</v>
      </c>
      <c r="E27" s="128" t="s">
        <v>381</v>
      </c>
      <c r="F27" s="128" t="s">
        <v>96</v>
      </c>
      <c r="G27" s="128" t="s">
        <v>115</v>
      </c>
      <c r="H27" s="131">
        <v>0.2</v>
      </c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</row>
    <row r="28" ht="15.75" customHeight="1">
      <c r="A28" s="128" t="s">
        <v>78</v>
      </c>
      <c r="B28" s="129">
        <v>44866.0</v>
      </c>
      <c r="C28" s="129">
        <v>44872.0</v>
      </c>
      <c r="D28" s="128" t="s">
        <v>603</v>
      </c>
      <c r="E28" s="128" t="s">
        <v>384</v>
      </c>
      <c r="F28" s="128" t="s">
        <v>179</v>
      </c>
      <c r="G28" s="128" t="s">
        <v>96</v>
      </c>
      <c r="H28" s="131">
        <v>0.5</v>
      </c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</row>
    <row r="29" ht="15.75" customHeight="1">
      <c r="A29" s="128" t="s">
        <v>78</v>
      </c>
      <c r="B29" s="130">
        <v>44880.0</v>
      </c>
      <c r="C29" s="130">
        <v>44886.0</v>
      </c>
      <c r="D29" s="128" t="s">
        <v>603</v>
      </c>
      <c r="E29" s="128" t="s">
        <v>239</v>
      </c>
      <c r="F29" s="128" t="s">
        <v>88</v>
      </c>
      <c r="G29" s="128" t="s">
        <v>137</v>
      </c>
      <c r="H29" s="131">
        <v>0.5</v>
      </c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</row>
    <row r="30" ht="15.75" customHeight="1">
      <c r="A30" s="128" t="s">
        <v>78</v>
      </c>
      <c r="B30" s="130">
        <v>44887.0</v>
      </c>
      <c r="C30" s="130">
        <v>44893.0</v>
      </c>
      <c r="D30" s="128" t="s">
        <v>603</v>
      </c>
      <c r="E30" s="128" t="s">
        <v>253</v>
      </c>
      <c r="F30" s="128" t="s">
        <v>269</v>
      </c>
      <c r="G30" s="128" t="s">
        <v>323</v>
      </c>
      <c r="H30" s="131">
        <v>0.5</v>
      </c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</row>
    <row r="31" ht="15.75" customHeight="1">
      <c r="A31" s="128" t="s">
        <v>78</v>
      </c>
      <c r="B31" s="129">
        <v>44901.0</v>
      </c>
      <c r="C31" s="130">
        <v>44907.0</v>
      </c>
      <c r="D31" s="128" t="s">
        <v>603</v>
      </c>
      <c r="E31" s="128" t="s">
        <v>384</v>
      </c>
      <c r="F31" s="128" t="s">
        <v>179</v>
      </c>
      <c r="G31" s="128" t="s">
        <v>96</v>
      </c>
      <c r="H31" s="131">
        <v>0.5</v>
      </c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</row>
    <row r="32" ht="15.75" customHeight="1">
      <c r="A32" s="128" t="s">
        <v>78</v>
      </c>
      <c r="B32" s="130">
        <v>44908.0</v>
      </c>
      <c r="C32" s="130">
        <v>44914.0</v>
      </c>
      <c r="D32" s="128" t="s">
        <v>603</v>
      </c>
      <c r="E32" s="128" t="s">
        <v>239</v>
      </c>
      <c r="F32" s="128" t="s">
        <v>88</v>
      </c>
      <c r="G32" s="128" t="s">
        <v>137</v>
      </c>
      <c r="H32" s="131">
        <v>0.5</v>
      </c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</row>
    <row r="33" ht="15.75" customHeight="1">
      <c r="A33" s="128" t="s">
        <v>78</v>
      </c>
      <c r="B33" s="130">
        <v>44908.0</v>
      </c>
      <c r="C33" s="130">
        <v>44914.0</v>
      </c>
      <c r="D33" s="128" t="s">
        <v>191</v>
      </c>
      <c r="E33" s="128" t="s">
        <v>379</v>
      </c>
      <c r="F33" s="128" t="s">
        <v>96</v>
      </c>
      <c r="G33" s="128" t="s">
        <v>616</v>
      </c>
      <c r="H33" s="131">
        <v>0.25</v>
      </c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</row>
    <row r="34" ht="15.75" customHeight="1">
      <c r="A34" s="128" t="s">
        <v>78</v>
      </c>
      <c r="B34" s="130">
        <v>44908.0</v>
      </c>
      <c r="C34" s="130">
        <v>44914.0</v>
      </c>
      <c r="D34" s="128" t="s">
        <v>191</v>
      </c>
      <c r="E34" s="128" t="s">
        <v>381</v>
      </c>
      <c r="F34" s="128" t="s">
        <v>96</v>
      </c>
      <c r="G34" s="128" t="s">
        <v>115</v>
      </c>
      <c r="H34" s="131">
        <v>0.2</v>
      </c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</row>
    <row r="35" ht="15.75" customHeight="1">
      <c r="A35" s="130" t="s">
        <v>78</v>
      </c>
      <c r="B35" s="130">
        <v>44915.0</v>
      </c>
      <c r="C35" s="130">
        <v>44921.0</v>
      </c>
      <c r="D35" s="128" t="s">
        <v>603</v>
      </c>
      <c r="E35" s="128" t="s">
        <v>253</v>
      </c>
      <c r="F35" s="128" t="s">
        <v>269</v>
      </c>
      <c r="G35" s="128" t="s">
        <v>323</v>
      </c>
      <c r="H35" s="131">
        <v>0.5</v>
      </c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</row>
    <row r="36" ht="15.75" customHeight="1">
      <c r="A36" s="9">
        <v>2023.0</v>
      </c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</row>
    <row r="37" ht="15.75" customHeight="1">
      <c r="A37" s="130" t="s">
        <v>78</v>
      </c>
      <c r="B37" s="130">
        <v>44578.0</v>
      </c>
      <c r="C37" s="130">
        <v>44584.0</v>
      </c>
      <c r="D37" s="128" t="s">
        <v>603</v>
      </c>
      <c r="E37" s="128" t="s">
        <v>239</v>
      </c>
      <c r="F37" s="128" t="s">
        <v>88</v>
      </c>
      <c r="G37" s="128" t="s">
        <v>137</v>
      </c>
      <c r="H37" s="131">
        <v>0.5</v>
      </c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</row>
    <row r="38" ht="15.75" customHeight="1">
      <c r="A38" s="130" t="s">
        <v>78</v>
      </c>
      <c r="B38" s="130">
        <v>44578.0</v>
      </c>
      <c r="C38" s="130">
        <v>44584.0</v>
      </c>
      <c r="D38" s="128" t="s">
        <v>191</v>
      </c>
      <c r="E38" s="128" t="s">
        <v>379</v>
      </c>
      <c r="F38" s="128" t="s">
        <v>96</v>
      </c>
      <c r="G38" s="128" t="s">
        <v>115</v>
      </c>
      <c r="H38" s="131">
        <v>0.2</v>
      </c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</row>
    <row r="39" ht="15.75" customHeight="1">
      <c r="A39" s="130" t="s">
        <v>78</v>
      </c>
      <c r="B39" s="130">
        <v>44578.0</v>
      </c>
      <c r="C39" s="130">
        <v>44584.0</v>
      </c>
      <c r="D39" s="128" t="s">
        <v>191</v>
      </c>
      <c r="E39" s="128" t="s">
        <v>381</v>
      </c>
      <c r="F39" s="128" t="s">
        <v>96</v>
      </c>
      <c r="G39" s="128" t="s">
        <v>115</v>
      </c>
      <c r="H39" s="131">
        <v>0.2</v>
      </c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</row>
    <row r="40" ht="15.75" customHeight="1">
      <c r="A40" s="130" t="s">
        <v>78</v>
      </c>
      <c r="B40" s="130">
        <v>44585.0</v>
      </c>
      <c r="C40" s="130">
        <v>44591.0</v>
      </c>
      <c r="D40" s="128" t="s">
        <v>603</v>
      </c>
      <c r="E40" s="128" t="s">
        <v>384</v>
      </c>
      <c r="F40" s="128" t="s">
        <v>179</v>
      </c>
      <c r="G40" s="128" t="s">
        <v>237</v>
      </c>
      <c r="H40" s="131">
        <v>0.5</v>
      </c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</row>
    <row r="41" ht="15.75" customHeight="1">
      <c r="A41" s="130" t="s">
        <v>78</v>
      </c>
      <c r="B41" s="130">
        <v>44592.0</v>
      </c>
      <c r="C41" s="130">
        <v>44598.0</v>
      </c>
      <c r="D41" s="128" t="s">
        <v>603</v>
      </c>
      <c r="E41" s="128" t="s">
        <v>253</v>
      </c>
      <c r="F41" s="128" t="s">
        <v>269</v>
      </c>
      <c r="G41" s="128" t="s">
        <v>184</v>
      </c>
      <c r="H41" s="131">
        <v>0.5</v>
      </c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</row>
    <row r="42" ht="15.75" customHeight="1">
      <c r="A42" s="130" t="s">
        <v>78</v>
      </c>
      <c r="B42" s="130">
        <v>44620.0</v>
      </c>
      <c r="C42" s="130">
        <v>44626.0</v>
      </c>
      <c r="D42" s="128" t="s">
        <v>603</v>
      </c>
      <c r="E42" s="128" t="s">
        <v>239</v>
      </c>
      <c r="F42" s="128" t="s">
        <v>88</v>
      </c>
      <c r="G42" s="128" t="s">
        <v>137</v>
      </c>
      <c r="H42" s="131">
        <v>0.5</v>
      </c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</row>
    <row r="43" ht="15.75" customHeight="1">
      <c r="A43" s="130" t="s">
        <v>78</v>
      </c>
      <c r="B43" s="130">
        <v>44620.0</v>
      </c>
      <c r="C43" s="130">
        <v>44626.0</v>
      </c>
      <c r="D43" s="128" t="s">
        <v>191</v>
      </c>
      <c r="E43" s="128" t="s">
        <v>379</v>
      </c>
      <c r="F43" s="128" t="s">
        <v>96</v>
      </c>
      <c r="G43" s="128" t="s">
        <v>115</v>
      </c>
      <c r="H43" s="131">
        <v>0.2</v>
      </c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</row>
    <row r="44" ht="15.75" customHeight="1">
      <c r="A44" s="130" t="s">
        <v>78</v>
      </c>
      <c r="B44" s="130">
        <v>44620.0</v>
      </c>
      <c r="C44" s="130">
        <v>44626.0</v>
      </c>
      <c r="D44" s="128" t="s">
        <v>191</v>
      </c>
      <c r="E44" s="128" t="s">
        <v>381</v>
      </c>
      <c r="F44" s="128" t="s">
        <v>96</v>
      </c>
      <c r="G44" s="128" t="s">
        <v>115</v>
      </c>
      <c r="H44" s="131">
        <v>0.2</v>
      </c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</row>
    <row r="45" ht="15.75" customHeight="1">
      <c r="A45" s="130" t="s">
        <v>78</v>
      </c>
      <c r="B45" s="130">
        <v>44627.0</v>
      </c>
      <c r="C45" s="130">
        <v>44633.0</v>
      </c>
      <c r="D45" s="128" t="s">
        <v>116</v>
      </c>
      <c r="E45" s="128" t="s">
        <v>253</v>
      </c>
      <c r="F45" s="128" t="s">
        <v>269</v>
      </c>
      <c r="G45" s="128" t="s">
        <v>184</v>
      </c>
      <c r="H45" s="131">
        <v>0.5</v>
      </c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</row>
    <row r="46" ht="15.75" customHeight="1">
      <c r="A46" s="130" t="s">
        <v>78</v>
      </c>
      <c r="B46" s="130">
        <v>44634.0</v>
      </c>
      <c r="C46" s="130">
        <v>44640.0</v>
      </c>
      <c r="D46" s="128" t="s">
        <v>603</v>
      </c>
      <c r="E46" s="128" t="s">
        <v>384</v>
      </c>
      <c r="F46" s="128" t="s">
        <v>179</v>
      </c>
      <c r="G46" s="128" t="s">
        <v>237</v>
      </c>
      <c r="H46" s="131">
        <v>0.5</v>
      </c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</row>
    <row r="47" ht="15.75" customHeight="1">
      <c r="A47" s="4" t="s">
        <v>506</v>
      </c>
      <c r="B47" s="4" t="s">
        <v>2</v>
      </c>
      <c r="C47" s="4" t="s">
        <v>6</v>
      </c>
      <c r="D47" s="4" t="s">
        <v>7</v>
      </c>
      <c r="E47" s="4" t="s">
        <v>8</v>
      </c>
      <c r="F47" s="7" t="s">
        <v>9</v>
      </c>
      <c r="G47" s="7" t="s">
        <v>10</v>
      </c>
      <c r="H47" s="7" t="s">
        <v>11</v>
      </c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</row>
    <row r="48" ht="15.75" customHeight="1">
      <c r="A48" s="44" t="s">
        <v>509</v>
      </c>
      <c r="B48" s="43">
        <v>44683.0</v>
      </c>
      <c r="C48" s="43">
        <v>44686.0</v>
      </c>
      <c r="D48" s="44" t="s">
        <v>621</v>
      </c>
      <c r="E48" s="141" t="s">
        <v>239</v>
      </c>
      <c r="F48" s="141" t="s">
        <v>89</v>
      </c>
      <c r="G48" s="141" t="s">
        <v>130</v>
      </c>
      <c r="H48" s="142">
        <v>0.5</v>
      </c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</row>
    <row r="49" ht="15.75" customHeight="1">
      <c r="A49" s="44" t="s">
        <v>509</v>
      </c>
      <c r="B49" s="43">
        <v>44683.0</v>
      </c>
      <c r="C49" s="43">
        <v>44686.0</v>
      </c>
      <c r="D49" s="44" t="s">
        <v>621</v>
      </c>
      <c r="E49" s="141" t="s">
        <v>384</v>
      </c>
      <c r="F49" s="141" t="s">
        <v>132</v>
      </c>
      <c r="G49" s="141" t="s">
        <v>89</v>
      </c>
      <c r="H49" s="142">
        <v>0.5</v>
      </c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</row>
    <row r="50" ht="15.75" customHeight="1">
      <c r="A50" s="44" t="s">
        <v>509</v>
      </c>
      <c r="B50" s="43">
        <v>44683.0</v>
      </c>
      <c r="C50" s="43">
        <v>44686.0</v>
      </c>
      <c r="D50" s="44" t="s">
        <v>621</v>
      </c>
      <c r="E50" s="141" t="s">
        <v>253</v>
      </c>
      <c r="F50" s="141" t="s">
        <v>179</v>
      </c>
      <c r="G50" s="141" t="s">
        <v>624</v>
      </c>
      <c r="H50" s="142">
        <v>0.33</v>
      </c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</row>
    <row r="51" ht="15.75" customHeight="1">
      <c r="A51" s="44" t="s">
        <v>509</v>
      </c>
      <c r="B51" s="43">
        <v>44683.0</v>
      </c>
      <c r="C51" s="43">
        <v>44686.0</v>
      </c>
      <c r="D51" s="44" t="s">
        <v>621</v>
      </c>
      <c r="E51" s="141" t="s">
        <v>260</v>
      </c>
      <c r="F51" s="141" t="s">
        <v>96</v>
      </c>
      <c r="G51" s="141" t="s">
        <v>115</v>
      </c>
      <c r="H51" s="142">
        <v>0.2</v>
      </c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</row>
    <row r="52" ht="15.75" customHeight="1">
      <c r="A52" s="44" t="s">
        <v>509</v>
      </c>
      <c r="B52" s="43">
        <v>44683.0</v>
      </c>
      <c r="C52" s="43">
        <v>44686.0</v>
      </c>
      <c r="D52" s="44" t="s">
        <v>621</v>
      </c>
      <c r="E52" s="141" t="s">
        <v>266</v>
      </c>
      <c r="F52" s="141" t="s">
        <v>96</v>
      </c>
      <c r="G52" s="141" t="s">
        <v>96</v>
      </c>
      <c r="H52" s="142">
        <v>0.0</v>
      </c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</row>
    <row r="53" ht="15.75" customHeight="1">
      <c r="A53" s="44" t="s">
        <v>509</v>
      </c>
      <c r="B53" s="43">
        <v>44683.0</v>
      </c>
      <c r="C53" s="43">
        <v>44686.0</v>
      </c>
      <c r="D53" s="44" t="s">
        <v>621</v>
      </c>
      <c r="E53" s="141" t="s">
        <v>274</v>
      </c>
      <c r="F53" s="141" t="s">
        <v>627</v>
      </c>
      <c r="G53" s="141" t="s">
        <v>528</v>
      </c>
      <c r="H53" s="142">
        <v>0.2</v>
      </c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</row>
    <row r="54" ht="15.75" customHeight="1">
      <c r="A54" s="44" t="s">
        <v>509</v>
      </c>
      <c r="B54" s="43">
        <v>44683.0</v>
      </c>
      <c r="C54" s="43">
        <v>44686.0</v>
      </c>
      <c r="D54" s="44" t="s">
        <v>621</v>
      </c>
      <c r="E54" s="141" t="s">
        <v>628</v>
      </c>
      <c r="F54" s="141" t="s">
        <v>169</v>
      </c>
      <c r="G54" s="141" t="s">
        <v>170</v>
      </c>
      <c r="H54" s="142">
        <v>0.2</v>
      </c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</row>
    <row r="55" ht="15.75" customHeight="1">
      <c r="A55" s="101"/>
      <c r="B55" s="101"/>
      <c r="C55" s="101"/>
      <c r="D55" s="101"/>
      <c r="E55" s="101"/>
      <c r="F55" s="101"/>
      <c r="G55" s="101"/>
      <c r="H55" s="101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</row>
    <row r="56" ht="15.75" customHeight="1">
      <c r="A56" s="44" t="s">
        <v>509</v>
      </c>
      <c r="B56" s="43">
        <v>44735.0</v>
      </c>
      <c r="C56" s="43">
        <v>44749.0</v>
      </c>
      <c r="D56" s="44" t="s">
        <v>56</v>
      </c>
      <c r="E56" s="141" t="s">
        <v>239</v>
      </c>
      <c r="F56" s="141" t="s">
        <v>89</v>
      </c>
      <c r="G56" s="141" t="s">
        <v>130</v>
      </c>
      <c r="H56" s="142">
        <v>0.5</v>
      </c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</row>
    <row r="57" ht="15.75" customHeight="1">
      <c r="A57" s="44" t="s">
        <v>509</v>
      </c>
      <c r="B57" s="43">
        <v>44735.0</v>
      </c>
      <c r="C57" s="43">
        <v>44749.0</v>
      </c>
      <c r="D57" s="44" t="s">
        <v>56</v>
      </c>
      <c r="E57" s="141" t="s">
        <v>384</v>
      </c>
      <c r="F57" s="141" t="s">
        <v>132</v>
      </c>
      <c r="G57" s="141" t="s">
        <v>89</v>
      </c>
      <c r="H57" s="142">
        <v>0.5</v>
      </c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</row>
    <row r="58" ht="15.75" customHeight="1">
      <c r="A58" s="44" t="s">
        <v>509</v>
      </c>
      <c r="B58" s="43">
        <v>44735.0</v>
      </c>
      <c r="C58" s="43">
        <v>44749.0</v>
      </c>
      <c r="D58" s="44" t="s">
        <v>56</v>
      </c>
      <c r="E58" s="141" t="s">
        <v>253</v>
      </c>
      <c r="F58" s="141" t="s">
        <v>179</v>
      </c>
      <c r="G58" s="141" t="s">
        <v>624</v>
      </c>
      <c r="H58" s="142">
        <v>0.33</v>
      </c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</row>
    <row r="59" ht="15.75" customHeight="1">
      <c r="A59" s="44" t="s">
        <v>509</v>
      </c>
      <c r="B59" s="43">
        <v>44735.0</v>
      </c>
      <c r="C59" s="43">
        <v>44749.0</v>
      </c>
      <c r="D59" s="44" t="s">
        <v>56</v>
      </c>
      <c r="E59" s="141" t="s">
        <v>260</v>
      </c>
      <c r="F59" s="141" t="s">
        <v>96</v>
      </c>
      <c r="G59" s="141" t="s">
        <v>115</v>
      </c>
      <c r="H59" s="142">
        <v>0.2</v>
      </c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</row>
    <row r="60" ht="15.75" customHeight="1">
      <c r="A60" s="44" t="s">
        <v>509</v>
      </c>
      <c r="B60" s="43">
        <v>44735.0</v>
      </c>
      <c r="C60" s="43">
        <v>44749.0</v>
      </c>
      <c r="D60" s="44" t="s">
        <v>56</v>
      </c>
      <c r="E60" s="141" t="s">
        <v>266</v>
      </c>
      <c r="F60" s="141" t="s">
        <v>96</v>
      </c>
      <c r="G60" s="141" t="s">
        <v>96</v>
      </c>
      <c r="H60" s="142">
        <v>0.0</v>
      </c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</row>
    <row r="61" ht="15.75" customHeight="1">
      <c r="A61" s="44" t="s">
        <v>509</v>
      </c>
      <c r="B61" s="43">
        <v>44735.0</v>
      </c>
      <c r="C61" s="43">
        <v>44749.0</v>
      </c>
      <c r="D61" s="44" t="s">
        <v>56</v>
      </c>
      <c r="E61" s="141" t="s">
        <v>274</v>
      </c>
      <c r="F61" s="141" t="s">
        <v>627</v>
      </c>
      <c r="G61" s="141" t="s">
        <v>528</v>
      </c>
      <c r="H61" s="142">
        <v>0.2</v>
      </c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</row>
    <row r="62" ht="15.75" customHeight="1">
      <c r="A62" s="44" t="s">
        <v>509</v>
      </c>
      <c r="B62" s="43">
        <v>44735.0</v>
      </c>
      <c r="C62" s="43">
        <v>44749.0</v>
      </c>
      <c r="D62" s="44" t="s">
        <v>56</v>
      </c>
      <c r="E62" s="141" t="s">
        <v>628</v>
      </c>
      <c r="F62" s="141" t="s">
        <v>169</v>
      </c>
      <c r="G62" s="141" t="s">
        <v>170</v>
      </c>
      <c r="H62" s="142">
        <v>0.2</v>
      </c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</row>
    <row r="63" ht="15.75" customHeight="1">
      <c r="A63" s="101"/>
      <c r="B63" s="101"/>
      <c r="C63" s="101"/>
      <c r="D63" s="101"/>
      <c r="E63" s="101"/>
      <c r="F63" s="101"/>
      <c r="G63" s="101"/>
      <c r="H63" s="101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</row>
    <row r="64" ht="15.75" customHeight="1">
      <c r="A64" s="44" t="s">
        <v>509</v>
      </c>
      <c r="B64" s="43">
        <v>44809.0</v>
      </c>
      <c r="C64" s="43">
        <v>44819.0</v>
      </c>
      <c r="D64" s="44" t="s">
        <v>615</v>
      </c>
      <c r="E64" s="141" t="s">
        <v>239</v>
      </c>
      <c r="F64" s="141" t="s">
        <v>89</v>
      </c>
      <c r="G64" s="141" t="s">
        <v>130</v>
      </c>
      <c r="H64" s="142">
        <v>0.5</v>
      </c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</row>
    <row r="65" ht="15.75" customHeight="1">
      <c r="A65" s="44" t="s">
        <v>509</v>
      </c>
      <c r="B65" s="43">
        <v>44809.0</v>
      </c>
      <c r="C65" s="43">
        <v>44819.0</v>
      </c>
      <c r="D65" s="44" t="s">
        <v>615</v>
      </c>
      <c r="E65" s="141" t="s">
        <v>384</v>
      </c>
      <c r="F65" s="141" t="s">
        <v>132</v>
      </c>
      <c r="G65" s="141" t="s">
        <v>89</v>
      </c>
      <c r="H65" s="142">
        <v>0.5</v>
      </c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</row>
    <row r="66" ht="15.75" customHeight="1">
      <c r="A66" s="44" t="s">
        <v>509</v>
      </c>
      <c r="B66" s="43">
        <v>44809.0</v>
      </c>
      <c r="C66" s="43">
        <v>44819.0</v>
      </c>
      <c r="D66" s="44" t="s">
        <v>615</v>
      </c>
      <c r="E66" s="141" t="s">
        <v>253</v>
      </c>
      <c r="F66" s="141" t="s">
        <v>179</v>
      </c>
      <c r="G66" s="141" t="s">
        <v>624</v>
      </c>
      <c r="H66" s="142">
        <v>0.33</v>
      </c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</row>
    <row r="67" ht="15.75" customHeight="1">
      <c r="A67" s="44" t="s">
        <v>509</v>
      </c>
      <c r="B67" s="43">
        <v>44809.0</v>
      </c>
      <c r="C67" s="43">
        <v>44819.0</v>
      </c>
      <c r="D67" s="44" t="s">
        <v>615</v>
      </c>
      <c r="E67" s="141" t="s">
        <v>260</v>
      </c>
      <c r="F67" s="141" t="s">
        <v>96</v>
      </c>
      <c r="G67" s="141" t="s">
        <v>115</v>
      </c>
      <c r="H67" s="142">
        <v>0.2</v>
      </c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</row>
    <row r="68" ht="15.75" customHeight="1">
      <c r="A68" s="44" t="s">
        <v>509</v>
      </c>
      <c r="B68" s="43">
        <v>44809.0</v>
      </c>
      <c r="C68" s="43">
        <v>44819.0</v>
      </c>
      <c r="D68" s="44" t="s">
        <v>615</v>
      </c>
      <c r="E68" s="141" t="s">
        <v>266</v>
      </c>
      <c r="F68" s="141" t="s">
        <v>96</v>
      </c>
      <c r="G68" s="141" t="s">
        <v>96</v>
      </c>
      <c r="H68" s="142">
        <v>0.0</v>
      </c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</row>
    <row r="69" ht="15.75" customHeight="1">
      <c r="A69" s="44" t="s">
        <v>509</v>
      </c>
      <c r="B69" s="43">
        <v>44809.0</v>
      </c>
      <c r="C69" s="43">
        <v>44819.0</v>
      </c>
      <c r="D69" s="44" t="s">
        <v>615</v>
      </c>
      <c r="E69" s="141" t="s">
        <v>274</v>
      </c>
      <c r="F69" s="141" t="s">
        <v>627</v>
      </c>
      <c r="G69" s="141" t="s">
        <v>528</v>
      </c>
      <c r="H69" s="142">
        <v>0.2</v>
      </c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</row>
    <row r="70" ht="15.75" customHeight="1">
      <c r="A70" s="44" t="s">
        <v>509</v>
      </c>
      <c r="B70" s="43">
        <v>44809.0</v>
      </c>
      <c r="C70" s="43">
        <v>44819.0</v>
      </c>
      <c r="D70" s="44" t="s">
        <v>615</v>
      </c>
      <c r="E70" s="141" t="s">
        <v>628</v>
      </c>
      <c r="F70" s="141" t="s">
        <v>169</v>
      </c>
      <c r="G70" s="141" t="s">
        <v>170</v>
      </c>
      <c r="H70" s="142">
        <v>0.2</v>
      </c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</row>
    <row r="71" ht="15.75" customHeight="1">
      <c r="A71" s="101"/>
      <c r="B71" s="101"/>
      <c r="C71" s="101"/>
      <c r="D71" s="101"/>
      <c r="E71" s="101"/>
      <c r="F71" s="101"/>
      <c r="G71" s="101"/>
      <c r="H71" s="101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</row>
    <row r="72" ht="15.75" customHeight="1">
      <c r="A72" s="101"/>
      <c r="B72" s="101"/>
      <c r="C72" s="101"/>
      <c r="D72" s="101"/>
      <c r="E72" s="101"/>
      <c r="F72" s="101"/>
      <c r="G72" s="101"/>
      <c r="H72" s="101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</row>
    <row r="73" ht="15.75" customHeight="1">
      <c r="A73" s="44" t="s">
        <v>509</v>
      </c>
      <c r="B73" s="43">
        <v>44847.0</v>
      </c>
      <c r="C73" s="43">
        <v>44854.0</v>
      </c>
      <c r="D73" s="44" t="s">
        <v>632</v>
      </c>
      <c r="E73" s="141" t="s">
        <v>239</v>
      </c>
      <c r="F73" s="141" t="s">
        <v>89</v>
      </c>
      <c r="G73" s="141" t="s">
        <v>130</v>
      </c>
      <c r="H73" s="142">
        <v>0.5</v>
      </c>
      <c r="I73" s="101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</row>
    <row r="74" ht="15.75" customHeight="1">
      <c r="A74" s="44" t="s">
        <v>509</v>
      </c>
      <c r="B74" s="43">
        <v>44847.0</v>
      </c>
      <c r="C74" s="43">
        <v>44854.0</v>
      </c>
      <c r="D74" s="44" t="s">
        <v>632</v>
      </c>
      <c r="E74" s="141" t="s">
        <v>384</v>
      </c>
      <c r="F74" s="141" t="s">
        <v>132</v>
      </c>
      <c r="G74" s="141" t="s">
        <v>89</v>
      </c>
      <c r="H74" s="142">
        <v>0.5</v>
      </c>
      <c r="I74" s="101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</row>
    <row r="75" ht="15.75" customHeight="1">
      <c r="A75" s="44" t="s">
        <v>509</v>
      </c>
      <c r="B75" s="43">
        <v>44847.0</v>
      </c>
      <c r="C75" s="43">
        <v>44854.0</v>
      </c>
      <c r="D75" s="44" t="s">
        <v>632</v>
      </c>
      <c r="E75" s="141" t="s">
        <v>253</v>
      </c>
      <c r="F75" s="141" t="s">
        <v>179</v>
      </c>
      <c r="G75" s="141" t="s">
        <v>624</v>
      </c>
      <c r="H75" s="142">
        <v>0.33</v>
      </c>
      <c r="I75" s="146" t="s">
        <v>634</v>
      </c>
      <c r="J75" s="147" t="s">
        <v>636</v>
      </c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</row>
    <row r="76" ht="15.75" customHeight="1">
      <c r="A76" s="44" t="s">
        <v>509</v>
      </c>
      <c r="B76" s="43">
        <v>44847.0</v>
      </c>
      <c r="C76" s="43">
        <v>44854.0</v>
      </c>
      <c r="D76" s="44" t="s">
        <v>632</v>
      </c>
      <c r="E76" s="141" t="s">
        <v>260</v>
      </c>
      <c r="F76" s="141" t="s">
        <v>96</v>
      </c>
      <c r="G76" s="141" t="s">
        <v>115</v>
      </c>
      <c r="H76" s="142">
        <v>0.2</v>
      </c>
      <c r="I76" s="101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</row>
    <row r="77" ht="15.75" customHeight="1">
      <c r="A77" s="44" t="s">
        <v>509</v>
      </c>
      <c r="B77" s="43">
        <v>44847.0</v>
      </c>
      <c r="C77" s="43">
        <v>44854.0</v>
      </c>
      <c r="D77" s="44" t="s">
        <v>632</v>
      </c>
      <c r="E77" s="141" t="s">
        <v>266</v>
      </c>
      <c r="F77" s="141" t="s">
        <v>96</v>
      </c>
      <c r="G77" s="141" t="s">
        <v>96</v>
      </c>
      <c r="H77" s="142">
        <v>0.0</v>
      </c>
      <c r="I77" s="132">
        <v>0.2</v>
      </c>
      <c r="J77" s="147" t="s">
        <v>638</v>
      </c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</row>
    <row r="78" ht="15.75" customHeight="1">
      <c r="A78" s="44" t="s">
        <v>509</v>
      </c>
      <c r="B78" s="43">
        <v>44847.0</v>
      </c>
      <c r="C78" s="43">
        <v>44854.0</v>
      </c>
      <c r="D78" s="44" t="s">
        <v>632</v>
      </c>
      <c r="E78" s="141" t="s">
        <v>274</v>
      </c>
      <c r="F78" s="141" t="s">
        <v>627</v>
      </c>
      <c r="G78" s="141" t="s">
        <v>528</v>
      </c>
      <c r="H78" s="142">
        <v>0.2</v>
      </c>
      <c r="I78" s="101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</row>
    <row r="79" ht="15.75" customHeight="1">
      <c r="A79" s="44" t="s">
        <v>509</v>
      </c>
      <c r="B79" s="43">
        <v>44847.0</v>
      </c>
      <c r="C79" s="43">
        <v>44854.0</v>
      </c>
      <c r="D79" s="44" t="s">
        <v>632</v>
      </c>
      <c r="E79" s="141" t="s">
        <v>628</v>
      </c>
      <c r="F79" s="141" t="s">
        <v>169</v>
      </c>
      <c r="G79" s="141" t="s">
        <v>170</v>
      </c>
      <c r="H79" s="142">
        <v>0.2</v>
      </c>
      <c r="I79" s="101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</row>
    <row r="80" ht="15.75" customHeight="1">
      <c r="A80" s="101"/>
      <c r="B80" s="101"/>
      <c r="C80" s="101"/>
      <c r="D80" s="101"/>
      <c r="E80" s="101"/>
      <c r="F80" s="101"/>
      <c r="G80" s="101"/>
      <c r="H80" s="101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</row>
    <row r="81" ht="15.75" customHeight="1">
      <c r="A81" s="44" t="s">
        <v>509</v>
      </c>
      <c r="B81" s="43">
        <v>44887.0</v>
      </c>
      <c r="C81" s="43">
        <v>44893.0</v>
      </c>
      <c r="D81" s="44" t="s">
        <v>619</v>
      </c>
      <c r="E81" s="141" t="s">
        <v>239</v>
      </c>
      <c r="F81" s="141" t="s">
        <v>89</v>
      </c>
      <c r="G81" s="141" t="s">
        <v>130</v>
      </c>
      <c r="H81" s="142">
        <v>0.5</v>
      </c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</row>
    <row r="82" ht="15.75" customHeight="1">
      <c r="A82" s="44" t="s">
        <v>509</v>
      </c>
      <c r="B82" s="43">
        <v>44887.0</v>
      </c>
      <c r="C82" s="43">
        <v>44893.0</v>
      </c>
      <c r="D82" s="44" t="s">
        <v>619</v>
      </c>
      <c r="E82" s="141" t="s">
        <v>384</v>
      </c>
      <c r="F82" s="141" t="s">
        <v>132</v>
      </c>
      <c r="G82" s="141" t="s">
        <v>89</v>
      </c>
      <c r="H82" s="142">
        <v>0.5</v>
      </c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</row>
    <row r="83" ht="15.75" customHeight="1">
      <c r="A83" s="44" t="s">
        <v>509</v>
      </c>
      <c r="B83" s="43">
        <v>44887.0</v>
      </c>
      <c r="C83" s="43">
        <v>44893.0</v>
      </c>
      <c r="D83" s="44" t="s">
        <v>619</v>
      </c>
      <c r="E83" s="141" t="s">
        <v>253</v>
      </c>
      <c r="F83" s="141" t="s">
        <v>179</v>
      </c>
      <c r="G83" s="150" t="s">
        <v>642</v>
      </c>
      <c r="H83" s="151">
        <v>0.43</v>
      </c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</row>
    <row r="84" ht="15.75" customHeight="1">
      <c r="A84" s="44" t="s">
        <v>509</v>
      </c>
      <c r="B84" s="43">
        <v>44887.0</v>
      </c>
      <c r="C84" s="43">
        <v>44893.0</v>
      </c>
      <c r="D84" s="44" t="s">
        <v>619</v>
      </c>
      <c r="E84" s="141" t="s">
        <v>260</v>
      </c>
      <c r="F84" s="141" t="s">
        <v>96</v>
      </c>
      <c r="G84" s="150" t="s">
        <v>616</v>
      </c>
      <c r="H84" s="151">
        <v>0.25</v>
      </c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</row>
    <row r="85" ht="15.75" customHeight="1">
      <c r="A85" s="44" t="s">
        <v>509</v>
      </c>
      <c r="B85" s="43">
        <v>44887.0</v>
      </c>
      <c r="C85" s="43">
        <v>44893.0</v>
      </c>
      <c r="D85" s="44" t="s">
        <v>619</v>
      </c>
      <c r="E85" s="141" t="s">
        <v>266</v>
      </c>
      <c r="F85" s="141" t="s">
        <v>96</v>
      </c>
      <c r="G85" s="150" t="s">
        <v>115</v>
      </c>
      <c r="H85" s="151">
        <v>0.2</v>
      </c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</row>
    <row r="86" ht="15.75" customHeight="1">
      <c r="A86" s="44" t="s">
        <v>509</v>
      </c>
      <c r="B86" s="43">
        <v>44887.0</v>
      </c>
      <c r="C86" s="43">
        <v>44893.0</v>
      </c>
      <c r="D86" s="44" t="s">
        <v>619</v>
      </c>
      <c r="E86" s="141" t="s">
        <v>274</v>
      </c>
      <c r="F86" s="141" t="s">
        <v>627</v>
      </c>
      <c r="G86" s="150" t="s">
        <v>647</v>
      </c>
      <c r="H86" s="151">
        <v>0.25</v>
      </c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</row>
    <row r="87" ht="15.75" customHeight="1">
      <c r="A87" s="44" t="s">
        <v>509</v>
      </c>
      <c r="B87" s="43">
        <v>44887.0</v>
      </c>
      <c r="C87" s="43">
        <v>44893.0</v>
      </c>
      <c r="D87" s="44" t="s">
        <v>619</v>
      </c>
      <c r="E87" s="141" t="s">
        <v>628</v>
      </c>
      <c r="F87" s="141" t="s">
        <v>169</v>
      </c>
      <c r="G87" s="141" t="s">
        <v>170</v>
      </c>
      <c r="H87" s="142">
        <v>0.2</v>
      </c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</row>
    <row r="88" ht="15.75" customHeight="1">
      <c r="A88" s="101"/>
      <c r="B88" s="101"/>
      <c r="C88" s="101"/>
      <c r="D88" s="101"/>
      <c r="E88" s="101"/>
      <c r="F88" s="101"/>
      <c r="G88" s="101"/>
      <c r="H88" s="101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</row>
    <row r="89" ht="15.75" customHeight="1">
      <c r="A89" s="44" t="s">
        <v>509</v>
      </c>
      <c r="B89" s="43">
        <v>44917.0</v>
      </c>
      <c r="C89" s="43">
        <v>44565.0</v>
      </c>
      <c r="D89" s="44" t="s">
        <v>410</v>
      </c>
      <c r="E89" s="141" t="s">
        <v>239</v>
      </c>
      <c r="F89" s="141" t="s">
        <v>89</v>
      </c>
      <c r="G89" s="141" t="s">
        <v>130</v>
      </c>
      <c r="H89" s="142">
        <v>0.5</v>
      </c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</row>
    <row r="90" ht="15.75" customHeight="1">
      <c r="A90" s="44" t="s">
        <v>509</v>
      </c>
      <c r="B90" s="43">
        <v>44917.0</v>
      </c>
      <c r="C90" s="43">
        <v>44565.0</v>
      </c>
      <c r="D90" s="44" t="s">
        <v>410</v>
      </c>
      <c r="E90" s="141" t="s">
        <v>384</v>
      </c>
      <c r="F90" s="141" t="s">
        <v>132</v>
      </c>
      <c r="G90" s="152" t="s">
        <v>89</v>
      </c>
      <c r="H90" s="153">
        <v>0.5</v>
      </c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</row>
    <row r="91" ht="15.75" customHeight="1">
      <c r="A91" s="44" t="s">
        <v>509</v>
      </c>
      <c r="B91" s="43">
        <v>44917.0</v>
      </c>
      <c r="C91" s="43">
        <v>44565.0</v>
      </c>
      <c r="D91" s="44" t="s">
        <v>410</v>
      </c>
      <c r="E91" s="141" t="s">
        <v>253</v>
      </c>
      <c r="F91" s="141" t="s">
        <v>179</v>
      </c>
      <c r="G91" s="152" t="s">
        <v>642</v>
      </c>
      <c r="H91" s="153">
        <v>0.43</v>
      </c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</row>
    <row r="92" ht="15.75" customHeight="1">
      <c r="A92" s="44" t="s">
        <v>509</v>
      </c>
      <c r="B92" s="43">
        <v>44917.0</v>
      </c>
      <c r="C92" s="43">
        <v>44565.0</v>
      </c>
      <c r="D92" s="44" t="s">
        <v>410</v>
      </c>
      <c r="E92" s="141" t="s">
        <v>260</v>
      </c>
      <c r="F92" s="141" t="s">
        <v>96</v>
      </c>
      <c r="G92" s="152" t="s">
        <v>616</v>
      </c>
      <c r="H92" s="153">
        <v>0.25</v>
      </c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</row>
    <row r="93" ht="15.75" customHeight="1">
      <c r="A93" s="44" t="s">
        <v>509</v>
      </c>
      <c r="B93" s="43">
        <v>44917.0</v>
      </c>
      <c r="C93" s="43">
        <v>44565.0</v>
      </c>
      <c r="D93" s="44" t="s">
        <v>410</v>
      </c>
      <c r="E93" s="141" t="s">
        <v>266</v>
      </c>
      <c r="F93" s="141" t="s">
        <v>96</v>
      </c>
      <c r="G93" s="152" t="s">
        <v>115</v>
      </c>
      <c r="H93" s="153">
        <v>0.2</v>
      </c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</row>
    <row r="94" ht="15.75" customHeight="1">
      <c r="A94" s="44" t="s">
        <v>509</v>
      </c>
      <c r="B94" s="43">
        <v>44917.0</v>
      </c>
      <c r="C94" s="43">
        <v>44565.0</v>
      </c>
      <c r="D94" s="44" t="s">
        <v>410</v>
      </c>
      <c r="E94" s="141" t="s">
        <v>274</v>
      </c>
      <c r="F94" s="141" t="s">
        <v>627</v>
      </c>
      <c r="G94" s="152" t="s">
        <v>647</v>
      </c>
      <c r="H94" s="153">
        <v>0.25</v>
      </c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</row>
    <row r="95" ht="15.75" customHeight="1">
      <c r="A95" s="44" t="s">
        <v>509</v>
      </c>
      <c r="B95" s="43">
        <v>44917.0</v>
      </c>
      <c r="C95" s="43">
        <v>44565.0</v>
      </c>
      <c r="D95" s="44" t="s">
        <v>410</v>
      </c>
      <c r="E95" s="141" t="s">
        <v>628</v>
      </c>
      <c r="F95" s="141" t="s">
        <v>169</v>
      </c>
      <c r="G95" s="141" t="s">
        <v>170</v>
      </c>
      <c r="H95" s="142">
        <v>0.2</v>
      </c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</row>
    <row r="96" ht="24.75" customHeight="1">
      <c r="A96" s="9">
        <v>2023.0</v>
      </c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</row>
    <row r="97" ht="15.75" customHeight="1">
      <c r="A97" s="44" t="s">
        <v>509</v>
      </c>
      <c r="B97" s="43">
        <v>44959.0</v>
      </c>
      <c r="C97" s="43">
        <v>44966.0</v>
      </c>
      <c r="D97" s="44" t="s">
        <v>631</v>
      </c>
      <c r="E97" s="141" t="s">
        <v>239</v>
      </c>
      <c r="F97" s="141" t="s">
        <v>89</v>
      </c>
      <c r="G97" s="141" t="s">
        <v>130</v>
      </c>
      <c r="H97" s="142">
        <v>0.5</v>
      </c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</row>
    <row r="98" ht="15.75" customHeight="1">
      <c r="A98" s="44" t="s">
        <v>509</v>
      </c>
      <c r="B98" s="43">
        <v>44959.0</v>
      </c>
      <c r="C98" s="43">
        <v>44966.0</v>
      </c>
      <c r="D98" s="44" t="s">
        <v>631</v>
      </c>
      <c r="E98" s="141" t="s">
        <v>384</v>
      </c>
      <c r="F98" s="141" t="s">
        <v>132</v>
      </c>
      <c r="G98" s="152" t="s">
        <v>89</v>
      </c>
      <c r="H98" s="153">
        <v>0.5</v>
      </c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</row>
    <row r="99" ht="15.75" customHeight="1">
      <c r="A99" s="44" t="s">
        <v>509</v>
      </c>
      <c r="B99" s="43">
        <v>44959.0</v>
      </c>
      <c r="C99" s="43">
        <v>44966.0</v>
      </c>
      <c r="D99" s="44" t="s">
        <v>631</v>
      </c>
      <c r="E99" s="141" t="s">
        <v>253</v>
      </c>
      <c r="F99" s="141" t="s">
        <v>179</v>
      </c>
      <c r="G99" s="152" t="s">
        <v>642</v>
      </c>
      <c r="H99" s="153">
        <v>0.43</v>
      </c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</row>
    <row r="100" ht="15.75" customHeight="1">
      <c r="A100" s="44" t="s">
        <v>509</v>
      </c>
      <c r="B100" s="43">
        <v>44959.0</v>
      </c>
      <c r="C100" s="43">
        <v>44966.0</v>
      </c>
      <c r="D100" s="44" t="s">
        <v>631</v>
      </c>
      <c r="E100" s="141" t="s">
        <v>260</v>
      </c>
      <c r="F100" s="141" t="s">
        <v>96</v>
      </c>
      <c r="G100" s="152" t="s">
        <v>616</v>
      </c>
      <c r="H100" s="153">
        <v>0.25</v>
      </c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</row>
    <row r="101" ht="15.75" customHeight="1">
      <c r="A101" s="44" t="s">
        <v>509</v>
      </c>
      <c r="B101" s="43">
        <v>44959.0</v>
      </c>
      <c r="C101" s="43">
        <v>44966.0</v>
      </c>
      <c r="D101" s="44" t="s">
        <v>631</v>
      </c>
      <c r="E101" s="141" t="s">
        <v>266</v>
      </c>
      <c r="F101" s="141" t="s">
        <v>96</v>
      </c>
      <c r="G101" s="152" t="s">
        <v>115</v>
      </c>
      <c r="H101" s="153">
        <v>0.2</v>
      </c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</row>
    <row r="102" ht="15.75" customHeight="1">
      <c r="A102" s="44" t="s">
        <v>509</v>
      </c>
      <c r="B102" s="43">
        <v>44959.0</v>
      </c>
      <c r="C102" s="43">
        <v>44966.0</v>
      </c>
      <c r="D102" s="44" t="s">
        <v>631</v>
      </c>
      <c r="E102" s="141" t="s">
        <v>274</v>
      </c>
      <c r="F102" s="141" t="s">
        <v>627</v>
      </c>
      <c r="G102" s="152" t="s">
        <v>647</v>
      </c>
      <c r="H102" s="153">
        <v>0.25</v>
      </c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</row>
    <row r="103" ht="15.75" customHeight="1">
      <c r="A103" s="44" t="s">
        <v>509</v>
      </c>
      <c r="B103" s="43">
        <v>44959.0</v>
      </c>
      <c r="C103" s="43">
        <v>44966.0</v>
      </c>
      <c r="D103" s="44" t="s">
        <v>631</v>
      </c>
      <c r="E103" s="141" t="s">
        <v>628</v>
      </c>
      <c r="F103" s="141" t="s">
        <v>169</v>
      </c>
      <c r="G103" s="141" t="s">
        <v>170</v>
      </c>
      <c r="H103" s="142">
        <v>0.2</v>
      </c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</row>
    <row r="104" ht="15.75" customHeight="1">
      <c r="A104" s="101"/>
      <c r="B104" s="101"/>
      <c r="C104" s="101"/>
      <c r="D104" s="101"/>
      <c r="E104" s="101"/>
      <c r="F104" s="101"/>
      <c r="G104" s="101"/>
      <c r="H104" s="101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</row>
    <row r="105" ht="15.75" customHeight="1">
      <c r="A105" s="44" t="s">
        <v>509</v>
      </c>
      <c r="B105" s="43">
        <v>45001.0</v>
      </c>
      <c r="C105" s="43">
        <v>45008.0</v>
      </c>
      <c r="D105" s="44" t="s">
        <v>515</v>
      </c>
      <c r="E105" s="141" t="s">
        <v>239</v>
      </c>
      <c r="F105" s="141" t="s">
        <v>89</v>
      </c>
      <c r="G105" s="141" t="s">
        <v>130</v>
      </c>
      <c r="H105" s="142">
        <v>0.5</v>
      </c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</row>
    <row r="106" ht="15.75" customHeight="1">
      <c r="A106" s="44" t="s">
        <v>509</v>
      </c>
      <c r="B106" s="43">
        <v>45001.0</v>
      </c>
      <c r="C106" s="43">
        <v>45008.0</v>
      </c>
      <c r="D106" s="44" t="s">
        <v>515</v>
      </c>
      <c r="E106" s="141" t="s">
        <v>384</v>
      </c>
      <c r="F106" s="141" t="s">
        <v>132</v>
      </c>
      <c r="G106" s="152" t="s">
        <v>89</v>
      </c>
      <c r="H106" s="153">
        <v>0.5</v>
      </c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</row>
    <row r="107" ht="15.75" customHeight="1">
      <c r="A107" s="44" t="s">
        <v>509</v>
      </c>
      <c r="B107" s="43">
        <v>45001.0</v>
      </c>
      <c r="C107" s="43">
        <v>45008.0</v>
      </c>
      <c r="D107" s="44" t="s">
        <v>515</v>
      </c>
      <c r="E107" s="141" t="s">
        <v>253</v>
      </c>
      <c r="F107" s="141" t="s">
        <v>179</v>
      </c>
      <c r="G107" s="152" t="s">
        <v>642</v>
      </c>
      <c r="H107" s="153">
        <v>0.43</v>
      </c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</row>
    <row r="108" ht="15.75" customHeight="1">
      <c r="A108" s="44" t="s">
        <v>509</v>
      </c>
      <c r="B108" s="43">
        <v>45001.0</v>
      </c>
      <c r="C108" s="43">
        <v>45008.0</v>
      </c>
      <c r="D108" s="44" t="s">
        <v>515</v>
      </c>
      <c r="E108" s="141" t="s">
        <v>260</v>
      </c>
      <c r="F108" s="141" t="s">
        <v>96</v>
      </c>
      <c r="G108" s="152" t="s">
        <v>383</v>
      </c>
      <c r="H108" s="153">
        <v>0.3</v>
      </c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</row>
    <row r="109" ht="15.75" customHeight="1">
      <c r="A109" s="44" t="s">
        <v>509</v>
      </c>
      <c r="B109" s="43">
        <v>45001.0</v>
      </c>
      <c r="C109" s="43">
        <v>45008.0</v>
      </c>
      <c r="D109" s="44" t="s">
        <v>515</v>
      </c>
      <c r="E109" s="141" t="s">
        <v>266</v>
      </c>
      <c r="F109" s="141" t="s">
        <v>96</v>
      </c>
      <c r="G109" s="152" t="s">
        <v>655</v>
      </c>
      <c r="H109" s="153">
        <v>0.25</v>
      </c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</row>
    <row r="110" ht="15.75" customHeight="1">
      <c r="A110" s="44" t="s">
        <v>509</v>
      </c>
      <c r="B110" s="43">
        <v>45001.0</v>
      </c>
      <c r="C110" s="43">
        <v>45008.0</v>
      </c>
      <c r="D110" s="44" t="s">
        <v>515</v>
      </c>
      <c r="E110" s="141" t="s">
        <v>274</v>
      </c>
      <c r="F110" s="141" t="s">
        <v>627</v>
      </c>
      <c r="G110" s="152" t="s">
        <v>602</v>
      </c>
      <c r="H110" s="153">
        <v>0.3</v>
      </c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</row>
    <row r="111" ht="15.75" customHeight="1">
      <c r="A111" s="44" t="s">
        <v>509</v>
      </c>
      <c r="B111" s="43">
        <v>45001.0</v>
      </c>
      <c r="C111" s="43">
        <v>45008.0</v>
      </c>
      <c r="D111" s="44" t="s">
        <v>515</v>
      </c>
      <c r="E111" s="141" t="s">
        <v>628</v>
      </c>
      <c r="F111" s="141" t="s">
        <v>169</v>
      </c>
      <c r="G111" s="141" t="s">
        <v>170</v>
      </c>
      <c r="H111" s="142">
        <v>0.2</v>
      </c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</row>
    <row r="112" ht="15.75" customHeight="1">
      <c r="A112" s="101"/>
      <c r="B112" s="101"/>
      <c r="C112" s="101"/>
      <c r="D112" s="101"/>
      <c r="E112" s="101"/>
      <c r="F112" s="101"/>
      <c r="G112" s="101"/>
      <c r="H112" s="101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</row>
    <row r="113" ht="15.75" customHeight="1">
      <c r="A113" s="44" t="s">
        <v>509</v>
      </c>
      <c r="B113" s="43">
        <v>45015.0</v>
      </c>
      <c r="C113" s="43">
        <v>45027.0</v>
      </c>
      <c r="D113" s="44" t="s">
        <v>657</v>
      </c>
      <c r="E113" s="141" t="s">
        <v>239</v>
      </c>
      <c r="F113" s="141" t="s">
        <v>89</v>
      </c>
      <c r="G113" s="141" t="s">
        <v>130</v>
      </c>
      <c r="H113" s="142">
        <v>0.5</v>
      </c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</row>
    <row r="114" ht="15.75" customHeight="1">
      <c r="A114" s="44" t="s">
        <v>509</v>
      </c>
      <c r="B114" s="43">
        <v>45015.0</v>
      </c>
      <c r="C114" s="43">
        <v>45027.0</v>
      </c>
      <c r="D114" s="44" t="s">
        <v>657</v>
      </c>
      <c r="E114" s="141" t="s">
        <v>384</v>
      </c>
      <c r="F114" s="141" t="s">
        <v>132</v>
      </c>
      <c r="G114" s="152" t="s">
        <v>89</v>
      </c>
      <c r="H114" s="153">
        <v>0.5</v>
      </c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</row>
    <row r="115" ht="15.75" customHeight="1">
      <c r="A115" s="44" t="s">
        <v>509</v>
      </c>
      <c r="B115" s="43">
        <v>45015.0</v>
      </c>
      <c r="C115" s="43">
        <v>45027.0</v>
      </c>
      <c r="D115" s="44" t="s">
        <v>657</v>
      </c>
      <c r="E115" s="141" t="s">
        <v>253</v>
      </c>
      <c r="F115" s="141" t="s">
        <v>179</v>
      </c>
      <c r="G115" s="152" t="s">
        <v>642</v>
      </c>
      <c r="H115" s="153">
        <v>0.43</v>
      </c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</row>
    <row r="116" ht="15.75" customHeight="1">
      <c r="A116" s="44" t="s">
        <v>509</v>
      </c>
      <c r="B116" s="43">
        <v>45015.0</v>
      </c>
      <c r="C116" s="43">
        <v>45027.0</v>
      </c>
      <c r="D116" s="44" t="s">
        <v>657</v>
      </c>
      <c r="E116" s="141" t="s">
        <v>260</v>
      </c>
      <c r="F116" s="141" t="s">
        <v>96</v>
      </c>
      <c r="G116" s="158" t="s">
        <v>383</v>
      </c>
      <c r="H116" s="153">
        <v>0.3</v>
      </c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</row>
    <row r="117" ht="15.75" customHeight="1">
      <c r="A117" s="44" t="s">
        <v>509</v>
      </c>
      <c r="B117" s="43">
        <v>45015.0</v>
      </c>
      <c r="C117" s="43">
        <v>45027.0</v>
      </c>
      <c r="D117" s="44" t="s">
        <v>657</v>
      </c>
      <c r="E117" s="141" t="s">
        <v>266</v>
      </c>
      <c r="F117" s="141" t="s">
        <v>96</v>
      </c>
      <c r="G117" s="158" t="s">
        <v>655</v>
      </c>
      <c r="H117" s="153">
        <v>0.25</v>
      </c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</row>
    <row r="118" ht="15.75" customHeight="1">
      <c r="A118" s="44" t="s">
        <v>509</v>
      </c>
      <c r="B118" s="43">
        <v>45015.0</v>
      </c>
      <c r="C118" s="43">
        <v>45027.0</v>
      </c>
      <c r="D118" s="44" t="s">
        <v>657</v>
      </c>
      <c r="E118" s="141" t="s">
        <v>274</v>
      </c>
      <c r="F118" s="141" t="s">
        <v>627</v>
      </c>
      <c r="G118" s="158" t="s">
        <v>602</v>
      </c>
      <c r="H118" s="153">
        <v>0.3</v>
      </c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</row>
    <row r="119" ht="15.75" customHeight="1">
      <c r="A119" s="44" t="s">
        <v>509</v>
      </c>
      <c r="B119" s="43">
        <v>45015.0</v>
      </c>
      <c r="C119" s="43">
        <v>45027.0</v>
      </c>
      <c r="D119" s="44" t="s">
        <v>657</v>
      </c>
      <c r="E119" s="141" t="s">
        <v>628</v>
      </c>
      <c r="F119" s="141" t="s">
        <v>169</v>
      </c>
      <c r="G119" s="141" t="s">
        <v>170</v>
      </c>
      <c r="H119" s="142">
        <v>0.2</v>
      </c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</row>
    <row r="120" ht="15.75" customHeight="1">
      <c r="A120" s="101"/>
      <c r="B120" s="101"/>
      <c r="C120" s="101"/>
      <c r="D120" s="101"/>
      <c r="E120" s="101"/>
      <c r="F120" s="101"/>
      <c r="G120" s="101"/>
      <c r="H120" s="101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</row>
    <row r="121" ht="15.75" customHeight="1">
      <c r="A121" s="44" t="s">
        <v>509</v>
      </c>
      <c r="B121" s="43">
        <v>45057.0</v>
      </c>
      <c r="C121" s="43">
        <v>45059.0</v>
      </c>
      <c r="D121" s="44" t="s">
        <v>662</v>
      </c>
      <c r="E121" s="141" t="s">
        <v>239</v>
      </c>
      <c r="F121" s="141" t="s">
        <v>89</v>
      </c>
      <c r="G121" s="159" t="s">
        <v>663</v>
      </c>
      <c r="H121" s="160">
        <v>0.55</v>
      </c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</row>
    <row r="122" ht="15.75" customHeight="1">
      <c r="A122" s="44" t="s">
        <v>509</v>
      </c>
      <c r="B122" s="43">
        <v>45057.0</v>
      </c>
      <c r="C122" s="43">
        <v>45059.0</v>
      </c>
      <c r="D122" s="44" t="s">
        <v>662</v>
      </c>
      <c r="E122" s="141" t="s">
        <v>384</v>
      </c>
      <c r="F122" s="141" t="s">
        <v>132</v>
      </c>
      <c r="G122" s="159" t="s">
        <v>666</v>
      </c>
      <c r="H122" s="160">
        <v>0.55</v>
      </c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</row>
    <row r="123" ht="15.75" customHeight="1">
      <c r="A123" s="44" t="s">
        <v>509</v>
      </c>
      <c r="B123" s="43">
        <v>45057.0</v>
      </c>
      <c r="C123" s="43">
        <v>45059.0</v>
      </c>
      <c r="D123" s="44" t="s">
        <v>662</v>
      </c>
      <c r="E123" s="141" t="s">
        <v>253</v>
      </c>
      <c r="F123" s="141" t="s">
        <v>179</v>
      </c>
      <c r="G123" s="159" t="s">
        <v>96</v>
      </c>
      <c r="H123" s="160">
        <v>0.5</v>
      </c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</row>
    <row r="124" ht="15.75" customHeight="1">
      <c r="A124" s="44" t="s">
        <v>509</v>
      </c>
      <c r="B124" s="43">
        <v>45057.0</v>
      </c>
      <c r="C124" s="43">
        <v>45059.0</v>
      </c>
      <c r="D124" s="44" t="s">
        <v>662</v>
      </c>
      <c r="E124" s="141" t="s">
        <v>260</v>
      </c>
      <c r="F124" s="141" t="s">
        <v>96</v>
      </c>
      <c r="G124" s="158" t="s">
        <v>383</v>
      </c>
      <c r="H124" s="153">
        <v>0.3</v>
      </c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</row>
    <row r="125" ht="15.75" customHeight="1">
      <c r="A125" s="44" t="s">
        <v>509</v>
      </c>
      <c r="B125" s="43">
        <v>45057.0</v>
      </c>
      <c r="C125" s="43">
        <v>45059.0</v>
      </c>
      <c r="D125" s="44" t="s">
        <v>662</v>
      </c>
      <c r="E125" s="141" t="s">
        <v>266</v>
      </c>
      <c r="F125" s="141" t="s">
        <v>96</v>
      </c>
      <c r="G125" s="158" t="s">
        <v>655</v>
      </c>
      <c r="H125" s="153">
        <v>0.25</v>
      </c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</row>
    <row r="126" ht="15.75" customHeight="1">
      <c r="A126" s="44" t="s">
        <v>509</v>
      </c>
      <c r="B126" s="43">
        <v>45057.0</v>
      </c>
      <c r="C126" s="43">
        <v>45059.0</v>
      </c>
      <c r="D126" s="44" t="s">
        <v>662</v>
      </c>
      <c r="E126" s="141" t="s">
        <v>274</v>
      </c>
      <c r="F126" s="141" t="s">
        <v>627</v>
      </c>
      <c r="G126" s="158" t="s">
        <v>602</v>
      </c>
      <c r="H126" s="153">
        <v>0.3</v>
      </c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</row>
    <row r="127" ht="15.75" customHeight="1">
      <c r="A127" s="44" t="s">
        <v>509</v>
      </c>
      <c r="B127" s="43">
        <v>45057.0</v>
      </c>
      <c r="C127" s="43">
        <v>45059.0</v>
      </c>
      <c r="D127" s="44" t="s">
        <v>662</v>
      </c>
      <c r="E127" s="141" t="s">
        <v>628</v>
      </c>
      <c r="F127" s="141" t="s">
        <v>169</v>
      </c>
      <c r="G127" s="141" t="s">
        <v>170</v>
      </c>
      <c r="H127" s="142">
        <v>0.2</v>
      </c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</row>
    <row r="128" ht="15.75" customHeight="1">
      <c r="A128" s="101"/>
      <c r="B128" s="101"/>
      <c r="C128" s="101"/>
      <c r="D128" s="101"/>
      <c r="E128" s="101"/>
      <c r="F128" s="101"/>
      <c r="G128" s="101"/>
      <c r="H128" s="101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</row>
    <row r="129" ht="15.75" customHeight="1">
      <c r="A129" s="44" t="s">
        <v>509</v>
      </c>
      <c r="B129" s="43">
        <v>45106.0</v>
      </c>
      <c r="C129" s="43">
        <v>45120.0</v>
      </c>
      <c r="D129" s="44" t="s">
        <v>649</v>
      </c>
      <c r="E129" s="141" t="s">
        <v>239</v>
      </c>
      <c r="F129" s="141" t="s">
        <v>89</v>
      </c>
      <c r="G129" s="159" t="s">
        <v>131</v>
      </c>
      <c r="H129" s="160">
        <v>0.6</v>
      </c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</row>
    <row r="130" ht="15.75" customHeight="1">
      <c r="A130" s="44" t="s">
        <v>509</v>
      </c>
      <c r="B130" s="43">
        <v>45106.0</v>
      </c>
      <c r="C130" s="43">
        <v>45120.0</v>
      </c>
      <c r="D130" s="44" t="s">
        <v>649</v>
      </c>
      <c r="E130" s="141" t="s">
        <v>384</v>
      </c>
      <c r="F130" s="141" t="s">
        <v>132</v>
      </c>
      <c r="G130" s="159" t="s">
        <v>134</v>
      </c>
      <c r="H130" s="160">
        <v>0.6</v>
      </c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</row>
    <row r="131" ht="15.75" customHeight="1">
      <c r="A131" s="44" t="s">
        <v>509</v>
      </c>
      <c r="B131" s="43">
        <v>45106.0</v>
      </c>
      <c r="C131" s="43">
        <v>45120.0</v>
      </c>
      <c r="D131" s="44" t="s">
        <v>649</v>
      </c>
      <c r="E131" s="141" t="s">
        <v>253</v>
      </c>
      <c r="F131" s="141" t="s">
        <v>179</v>
      </c>
      <c r="G131" s="159" t="s">
        <v>544</v>
      </c>
      <c r="H131" s="160">
        <v>0.55</v>
      </c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</row>
    <row r="132" ht="15.75" customHeight="1">
      <c r="A132" s="44" t="s">
        <v>509</v>
      </c>
      <c r="B132" s="43">
        <v>45106.0</v>
      </c>
      <c r="C132" s="43">
        <v>45120.0</v>
      </c>
      <c r="D132" s="44" t="s">
        <v>649</v>
      </c>
      <c r="E132" s="141" t="s">
        <v>260</v>
      </c>
      <c r="F132" s="141" t="s">
        <v>96</v>
      </c>
      <c r="G132" s="158" t="s">
        <v>383</v>
      </c>
      <c r="H132" s="153">
        <v>0.3</v>
      </c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</row>
    <row r="133" ht="15.75" customHeight="1">
      <c r="A133" s="44" t="s">
        <v>509</v>
      </c>
      <c r="B133" s="43">
        <v>45106.0</v>
      </c>
      <c r="C133" s="43">
        <v>45120.0</v>
      </c>
      <c r="D133" s="44" t="s">
        <v>649</v>
      </c>
      <c r="E133" s="141" t="s">
        <v>266</v>
      </c>
      <c r="F133" s="141" t="s">
        <v>96</v>
      </c>
      <c r="G133" s="158" t="s">
        <v>655</v>
      </c>
      <c r="H133" s="153">
        <v>0.25</v>
      </c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</row>
    <row r="134" ht="15.75" customHeight="1">
      <c r="A134" s="44" t="s">
        <v>509</v>
      </c>
      <c r="B134" s="43">
        <v>45106.0</v>
      </c>
      <c r="C134" s="43">
        <v>45120.0</v>
      </c>
      <c r="D134" s="44" t="s">
        <v>649</v>
      </c>
      <c r="E134" s="141" t="s">
        <v>274</v>
      </c>
      <c r="F134" s="141" t="s">
        <v>627</v>
      </c>
      <c r="G134" s="158" t="s">
        <v>602</v>
      </c>
      <c r="H134" s="153">
        <v>0.3</v>
      </c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</row>
    <row r="135" ht="15.75" customHeight="1">
      <c r="A135" s="44" t="s">
        <v>509</v>
      </c>
      <c r="B135" s="43">
        <v>45106.0</v>
      </c>
      <c r="C135" s="43">
        <v>45120.0</v>
      </c>
      <c r="D135" s="44" t="s">
        <v>649</v>
      </c>
      <c r="E135" s="141" t="s">
        <v>628</v>
      </c>
      <c r="F135" s="141" t="s">
        <v>169</v>
      </c>
      <c r="G135" s="141" t="s">
        <v>170</v>
      </c>
      <c r="H135" s="142">
        <v>0.2</v>
      </c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</row>
    <row r="136" ht="15.75" customHeight="1">
      <c r="A136" s="101"/>
      <c r="B136" s="101"/>
      <c r="C136" s="101"/>
      <c r="D136" s="101"/>
      <c r="E136" s="101"/>
      <c r="F136" s="101"/>
      <c r="G136" s="101"/>
      <c r="H136" s="101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</row>
    <row r="137" ht="15.75" customHeight="1">
      <c r="A137" s="44" t="s">
        <v>509</v>
      </c>
      <c r="B137" s="43">
        <v>45176.0</v>
      </c>
      <c r="C137" s="43">
        <v>45187.0</v>
      </c>
      <c r="D137" s="44" t="s">
        <v>615</v>
      </c>
      <c r="E137" s="141" t="s">
        <v>239</v>
      </c>
      <c r="F137" s="141" t="s">
        <v>89</v>
      </c>
      <c r="G137" s="159" t="s">
        <v>169</v>
      </c>
      <c r="H137" s="160">
        <v>0.67</v>
      </c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</row>
    <row r="138" ht="15.75" customHeight="1">
      <c r="A138" s="44" t="s">
        <v>509</v>
      </c>
      <c r="B138" s="43">
        <v>45176.0</v>
      </c>
      <c r="C138" s="43">
        <v>45187.0</v>
      </c>
      <c r="D138" s="44" t="s">
        <v>615</v>
      </c>
      <c r="E138" s="141" t="s">
        <v>384</v>
      </c>
      <c r="F138" s="141" t="s">
        <v>132</v>
      </c>
      <c r="G138" s="159" t="s">
        <v>134</v>
      </c>
      <c r="H138" s="160">
        <v>0.6</v>
      </c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</row>
    <row r="139" ht="15.75" customHeight="1">
      <c r="A139" s="44" t="s">
        <v>509</v>
      </c>
      <c r="B139" s="43">
        <v>45176.0</v>
      </c>
      <c r="C139" s="43">
        <v>45187.0</v>
      </c>
      <c r="D139" s="44" t="s">
        <v>615</v>
      </c>
      <c r="E139" s="141" t="s">
        <v>253</v>
      </c>
      <c r="F139" s="141" t="s">
        <v>179</v>
      </c>
      <c r="G139" s="159" t="s">
        <v>544</v>
      </c>
      <c r="H139" s="160">
        <v>0.55</v>
      </c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</row>
    <row r="140" ht="15.75" customHeight="1">
      <c r="A140" s="44" t="s">
        <v>509</v>
      </c>
      <c r="B140" s="43">
        <v>45176.0</v>
      </c>
      <c r="C140" s="43">
        <v>45187.0</v>
      </c>
      <c r="D140" s="44" t="s">
        <v>615</v>
      </c>
      <c r="E140" s="141" t="s">
        <v>260</v>
      </c>
      <c r="F140" s="141" t="s">
        <v>96</v>
      </c>
      <c r="G140" s="158" t="s">
        <v>383</v>
      </c>
      <c r="H140" s="153">
        <v>0.3</v>
      </c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</row>
    <row r="141" ht="15.75" customHeight="1">
      <c r="A141" s="44" t="s">
        <v>509</v>
      </c>
      <c r="B141" s="43">
        <v>45176.0</v>
      </c>
      <c r="C141" s="43">
        <v>45187.0</v>
      </c>
      <c r="D141" s="44" t="s">
        <v>615</v>
      </c>
      <c r="E141" s="141" t="s">
        <v>266</v>
      </c>
      <c r="F141" s="141" t="s">
        <v>96</v>
      </c>
      <c r="G141" s="158" t="s">
        <v>655</v>
      </c>
      <c r="H141" s="153">
        <v>0.25</v>
      </c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</row>
    <row r="142" ht="15.75" customHeight="1">
      <c r="A142" s="44" t="s">
        <v>509</v>
      </c>
      <c r="B142" s="43">
        <v>45176.0</v>
      </c>
      <c r="C142" s="43">
        <v>45187.0</v>
      </c>
      <c r="D142" s="44" t="s">
        <v>615</v>
      </c>
      <c r="E142" s="141" t="s">
        <v>274</v>
      </c>
      <c r="F142" s="141" t="s">
        <v>627</v>
      </c>
      <c r="G142" s="158" t="s">
        <v>602</v>
      </c>
      <c r="H142" s="153">
        <v>0.3</v>
      </c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</row>
    <row r="143" ht="15.75" customHeight="1">
      <c r="A143" s="44" t="s">
        <v>509</v>
      </c>
      <c r="B143" s="43">
        <v>45176.0</v>
      </c>
      <c r="C143" s="43">
        <v>45187.0</v>
      </c>
      <c r="D143" s="44" t="s">
        <v>615</v>
      </c>
      <c r="E143" s="141" t="s">
        <v>628</v>
      </c>
      <c r="F143" s="141" t="s">
        <v>169</v>
      </c>
      <c r="G143" s="141" t="s">
        <v>170</v>
      </c>
      <c r="H143" s="142">
        <v>0.2</v>
      </c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</row>
    <row r="144" ht="15.75" customHeight="1">
      <c r="A144" s="101"/>
      <c r="B144" s="101"/>
      <c r="C144" s="101"/>
      <c r="D144" s="101"/>
      <c r="E144" s="101"/>
      <c r="F144" s="101"/>
      <c r="G144" s="101"/>
      <c r="H144" s="101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</row>
    <row r="145" ht="15.75" customHeight="1">
      <c r="A145" s="44" t="s">
        <v>509</v>
      </c>
      <c r="B145" s="43">
        <v>45223.0</v>
      </c>
      <c r="C145" s="43">
        <v>45236.0</v>
      </c>
      <c r="D145" s="44" t="s">
        <v>681</v>
      </c>
      <c r="E145" s="141" t="s">
        <v>239</v>
      </c>
      <c r="F145" s="141" t="s">
        <v>89</v>
      </c>
      <c r="G145" s="8" t="s">
        <v>169</v>
      </c>
      <c r="H145" s="163">
        <v>0.67</v>
      </c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</row>
    <row r="146" ht="15.75" customHeight="1">
      <c r="A146" s="44" t="s">
        <v>509</v>
      </c>
      <c r="B146" s="43">
        <v>45223.0</v>
      </c>
      <c r="C146" s="43">
        <v>45236.0</v>
      </c>
      <c r="D146" s="44" t="s">
        <v>681</v>
      </c>
      <c r="E146" s="141" t="s">
        <v>384</v>
      </c>
      <c r="F146" s="159" t="s">
        <v>88</v>
      </c>
      <c r="G146" s="159" t="s">
        <v>134</v>
      </c>
      <c r="H146" s="160">
        <v>0.4</v>
      </c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</row>
    <row r="147" ht="15.75" customHeight="1">
      <c r="A147" s="44" t="s">
        <v>509</v>
      </c>
      <c r="B147" s="43">
        <v>45223.0</v>
      </c>
      <c r="C147" s="43">
        <v>45236.0</v>
      </c>
      <c r="D147" s="44" t="s">
        <v>681</v>
      </c>
      <c r="E147" s="141" t="s">
        <v>253</v>
      </c>
      <c r="F147" s="159" t="s">
        <v>132</v>
      </c>
      <c r="G147" s="159" t="s">
        <v>89</v>
      </c>
      <c r="H147" s="160">
        <v>0.5</v>
      </c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</row>
    <row r="148" ht="15.75" customHeight="1">
      <c r="A148" s="44" t="s">
        <v>509</v>
      </c>
      <c r="B148" s="43">
        <v>45223.0</v>
      </c>
      <c r="C148" s="43">
        <v>45236.0</v>
      </c>
      <c r="D148" s="44" t="s">
        <v>681</v>
      </c>
      <c r="E148" s="141" t="s">
        <v>260</v>
      </c>
      <c r="F148" s="159" t="s">
        <v>244</v>
      </c>
      <c r="G148" s="143" t="s">
        <v>252</v>
      </c>
      <c r="H148" s="160">
        <v>0.2</v>
      </c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</row>
    <row r="149" ht="15.75" customHeight="1">
      <c r="A149" s="44" t="s">
        <v>509</v>
      </c>
      <c r="B149" s="43">
        <v>45223.0</v>
      </c>
      <c r="C149" s="43">
        <v>45236.0</v>
      </c>
      <c r="D149" s="44" t="s">
        <v>681</v>
      </c>
      <c r="E149" s="141" t="s">
        <v>266</v>
      </c>
      <c r="F149" s="159" t="s">
        <v>89</v>
      </c>
      <c r="G149" s="159" t="s">
        <v>134</v>
      </c>
      <c r="H149" s="160">
        <v>0.2</v>
      </c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</row>
    <row r="150" ht="15.75" customHeight="1">
      <c r="A150" s="44" t="s">
        <v>509</v>
      </c>
      <c r="B150" s="43">
        <v>45223.0</v>
      </c>
      <c r="C150" s="43">
        <v>45236.0</v>
      </c>
      <c r="D150" s="44" t="s">
        <v>681</v>
      </c>
      <c r="E150" s="141" t="s">
        <v>274</v>
      </c>
      <c r="F150" s="159" t="s">
        <v>133</v>
      </c>
      <c r="G150" s="159" t="s">
        <v>308</v>
      </c>
      <c r="H150" s="160">
        <v>0.2</v>
      </c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</row>
    <row r="151" ht="15.75" customHeight="1">
      <c r="A151" s="44" t="s">
        <v>509</v>
      </c>
      <c r="B151" s="43">
        <v>45223.0</v>
      </c>
      <c r="C151" s="43">
        <v>45236.0</v>
      </c>
      <c r="D151" s="44" t="s">
        <v>681</v>
      </c>
      <c r="E151" s="141" t="s">
        <v>628</v>
      </c>
      <c r="F151" s="141" t="s">
        <v>169</v>
      </c>
      <c r="G151" s="141" t="s">
        <v>170</v>
      </c>
      <c r="H151" s="142">
        <v>0.2</v>
      </c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</row>
    <row r="152" ht="15.75" customHeight="1">
      <c r="A152" s="101"/>
      <c r="B152" s="101"/>
      <c r="C152" s="101"/>
      <c r="D152" s="101"/>
      <c r="E152" s="101"/>
      <c r="F152" s="101"/>
      <c r="G152" s="101"/>
      <c r="H152" s="101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</row>
    <row r="153" ht="15.75" customHeight="1">
      <c r="A153" s="101"/>
      <c r="B153" s="101"/>
      <c r="C153" s="101"/>
      <c r="D153" s="101"/>
      <c r="E153" s="101"/>
      <c r="F153" s="101"/>
      <c r="G153" s="101"/>
      <c r="H153" s="101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</row>
    <row r="154" ht="15.75" customHeight="1">
      <c r="A154" s="4" t="s">
        <v>506</v>
      </c>
      <c r="B154" s="4" t="s">
        <v>2</v>
      </c>
      <c r="C154" s="4" t="s">
        <v>6</v>
      </c>
      <c r="D154" s="4" t="s">
        <v>7</v>
      </c>
      <c r="E154" s="4" t="s">
        <v>8</v>
      </c>
      <c r="F154" s="7" t="s">
        <v>9</v>
      </c>
      <c r="G154" s="7" t="s">
        <v>10</v>
      </c>
      <c r="H154" s="7" t="s">
        <v>11</v>
      </c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</row>
    <row r="155" ht="15.75" customHeight="1">
      <c r="A155" s="154" t="s">
        <v>650</v>
      </c>
      <c r="B155" s="155">
        <v>44650.0</v>
      </c>
      <c r="C155" s="155">
        <v>44664.0</v>
      </c>
      <c r="D155" s="154" t="s">
        <v>690</v>
      </c>
      <c r="E155" s="154" t="s">
        <v>5</v>
      </c>
      <c r="F155" s="164" t="s">
        <v>179</v>
      </c>
      <c r="G155" s="156" t="s">
        <v>96</v>
      </c>
      <c r="H155" s="157">
        <v>0.43</v>
      </c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</row>
    <row r="156" ht="15.75" customHeight="1">
      <c r="A156" s="154" t="s">
        <v>650</v>
      </c>
      <c r="B156" s="155">
        <v>44650.0</v>
      </c>
      <c r="C156" s="155">
        <v>44664.0</v>
      </c>
      <c r="D156" s="154" t="s">
        <v>690</v>
      </c>
      <c r="E156" s="154" t="s">
        <v>379</v>
      </c>
      <c r="F156" s="164" t="s">
        <v>96</v>
      </c>
      <c r="G156" s="156" t="s">
        <v>115</v>
      </c>
      <c r="H156" s="157">
        <v>0.2</v>
      </c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</row>
    <row r="157" ht="15.75" customHeight="1">
      <c r="A157" s="154" t="s">
        <v>650</v>
      </c>
      <c r="B157" s="155">
        <v>44664.0</v>
      </c>
      <c r="C157" s="155">
        <v>44678.0</v>
      </c>
      <c r="D157" s="154" t="s">
        <v>692</v>
      </c>
      <c r="E157" s="154" t="s">
        <v>1</v>
      </c>
      <c r="F157" s="164" t="s">
        <v>269</v>
      </c>
      <c r="G157" s="156" t="s">
        <v>88</v>
      </c>
      <c r="H157" s="157">
        <v>0.44</v>
      </c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</row>
    <row r="158" ht="15.75" customHeight="1">
      <c r="A158" s="154" t="s">
        <v>650</v>
      </c>
      <c r="B158" s="155">
        <v>44692.0</v>
      </c>
      <c r="C158" s="155">
        <v>44706.0</v>
      </c>
      <c r="D158" s="154" t="s">
        <v>693</v>
      </c>
      <c r="E158" s="154" t="s">
        <v>5</v>
      </c>
      <c r="F158" s="164" t="s">
        <v>179</v>
      </c>
      <c r="G158" s="156" t="s">
        <v>96</v>
      </c>
      <c r="H158" s="157">
        <v>0.43</v>
      </c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</row>
    <row r="159" ht="15.75" customHeight="1">
      <c r="A159" s="154" t="s">
        <v>650</v>
      </c>
      <c r="B159" s="155">
        <v>44692.0</v>
      </c>
      <c r="C159" s="155">
        <v>44706.0</v>
      </c>
      <c r="D159" s="154" t="s">
        <v>693</v>
      </c>
      <c r="E159" s="154" t="s">
        <v>379</v>
      </c>
      <c r="F159" s="164" t="s">
        <v>96</v>
      </c>
      <c r="G159" s="156" t="s">
        <v>115</v>
      </c>
      <c r="H159" s="157">
        <v>0.2</v>
      </c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</row>
    <row r="160" ht="15.75" customHeight="1">
      <c r="A160" s="154" t="s">
        <v>650</v>
      </c>
      <c r="B160" s="155">
        <v>44692.0</v>
      </c>
      <c r="C160" s="155">
        <v>44706.0</v>
      </c>
      <c r="D160" s="154" t="s">
        <v>693</v>
      </c>
      <c r="E160" s="154" t="s">
        <v>381</v>
      </c>
      <c r="F160" s="164" t="s">
        <v>96</v>
      </c>
      <c r="G160" s="156" t="s">
        <v>115</v>
      </c>
      <c r="H160" s="157">
        <v>0.2</v>
      </c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</row>
    <row r="161" ht="15.75" customHeight="1">
      <c r="A161" s="154" t="s">
        <v>650</v>
      </c>
      <c r="B161" s="155">
        <v>44706.0</v>
      </c>
      <c r="C161" s="155">
        <v>44720.0</v>
      </c>
      <c r="D161" s="154" t="s">
        <v>696</v>
      </c>
      <c r="E161" s="154" t="s">
        <v>0</v>
      </c>
      <c r="F161" s="164" t="s">
        <v>88</v>
      </c>
      <c r="G161" s="156" t="s">
        <v>697</v>
      </c>
      <c r="H161" s="157">
        <v>0.38</v>
      </c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</row>
    <row r="162" ht="15.75" customHeight="1">
      <c r="A162" s="154" t="s">
        <v>650</v>
      </c>
      <c r="B162" s="155">
        <v>44720.0</v>
      </c>
      <c r="C162" s="155">
        <v>44734.0</v>
      </c>
      <c r="D162" s="154" t="s">
        <v>700</v>
      </c>
      <c r="E162" s="154" t="s">
        <v>701</v>
      </c>
      <c r="F162" s="164" t="s">
        <v>269</v>
      </c>
      <c r="G162" s="156" t="s">
        <v>88</v>
      </c>
      <c r="H162" s="157">
        <v>0.44</v>
      </c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</row>
    <row r="163" ht="15.75" customHeight="1">
      <c r="A163" s="154" t="s">
        <v>650</v>
      </c>
      <c r="B163" s="155">
        <v>44734.0</v>
      </c>
      <c r="C163" s="155">
        <v>44748.0</v>
      </c>
      <c r="D163" s="154" t="s">
        <v>702</v>
      </c>
      <c r="E163" s="154" t="s">
        <v>703</v>
      </c>
      <c r="F163" s="164" t="s">
        <v>179</v>
      </c>
      <c r="G163" s="156" t="s">
        <v>96</v>
      </c>
      <c r="H163" s="157">
        <v>0.43</v>
      </c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</row>
    <row r="164" ht="15.75" customHeight="1">
      <c r="A164" s="154" t="s">
        <v>650</v>
      </c>
      <c r="B164" s="155">
        <v>44734.0</v>
      </c>
      <c r="C164" s="155">
        <v>44748.0</v>
      </c>
      <c r="D164" s="154" t="s">
        <v>702</v>
      </c>
      <c r="E164" s="154" t="s">
        <v>379</v>
      </c>
      <c r="F164" s="164" t="s">
        <v>96</v>
      </c>
      <c r="G164" s="156" t="s">
        <v>115</v>
      </c>
      <c r="H164" s="157">
        <v>0.2</v>
      </c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</row>
    <row r="165" ht="15.75" customHeight="1">
      <c r="A165" s="154" t="s">
        <v>650</v>
      </c>
      <c r="B165" s="155">
        <v>44734.0</v>
      </c>
      <c r="C165" s="155">
        <v>44748.0</v>
      </c>
      <c r="D165" s="154" t="s">
        <v>702</v>
      </c>
      <c r="E165" s="154" t="s">
        <v>381</v>
      </c>
      <c r="F165" s="164" t="s">
        <v>96</v>
      </c>
      <c r="G165" s="156" t="s">
        <v>115</v>
      </c>
      <c r="H165" s="157">
        <v>0.2</v>
      </c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</row>
    <row r="166" ht="15.75" customHeight="1">
      <c r="A166" s="154" t="s">
        <v>650</v>
      </c>
      <c r="B166" s="155">
        <v>44762.0</v>
      </c>
      <c r="C166" s="155">
        <v>44777.0</v>
      </c>
      <c r="D166" s="154" t="s">
        <v>708</v>
      </c>
      <c r="E166" s="154" t="s">
        <v>1</v>
      </c>
      <c r="F166" s="164" t="s">
        <v>269</v>
      </c>
      <c r="G166" s="156" t="s">
        <v>184</v>
      </c>
      <c r="H166" s="157">
        <v>0.5</v>
      </c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</row>
    <row r="167" ht="15.75" customHeight="1">
      <c r="A167" s="154" t="s">
        <v>650</v>
      </c>
      <c r="B167" s="155">
        <v>44775.0</v>
      </c>
      <c r="C167" s="155">
        <v>44790.0</v>
      </c>
      <c r="D167" s="154" t="s">
        <v>710</v>
      </c>
      <c r="E167" s="154" t="s">
        <v>0</v>
      </c>
      <c r="F167" s="164" t="s">
        <v>88</v>
      </c>
      <c r="G167" s="156" t="s">
        <v>134</v>
      </c>
      <c r="H167" s="157">
        <v>0.4</v>
      </c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</row>
    <row r="168" ht="15.75" customHeight="1">
      <c r="A168" s="154" t="s">
        <v>650</v>
      </c>
      <c r="B168" s="155">
        <v>44804.0</v>
      </c>
      <c r="C168" s="155">
        <v>44818.0</v>
      </c>
      <c r="D168" s="154" t="s">
        <v>693</v>
      </c>
      <c r="E168" s="154" t="s">
        <v>5</v>
      </c>
      <c r="F168" s="164" t="s">
        <v>179</v>
      </c>
      <c r="G168" s="156" t="s">
        <v>237</v>
      </c>
      <c r="H168" s="157">
        <v>0.5</v>
      </c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</row>
    <row r="169" ht="15.75" customHeight="1">
      <c r="A169" s="154" t="s">
        <v>650</v>
      </c>
      <c r="B169" s="155">
        <v>44804.0</v>
      </c>
      <c r="C169" s="155">
        <v>44818.0</v>
      </c>
      <c r="D169" s="154" t="s">
        <v>693</v>
      </c>
      <c r="E169" s="154" t="s">
        <v>379</v>
      </c>
      <c r="F169" s="164" t="s">
        <v>96</v>
      </c>
      <c r="G169" s="156" t="s">
        <v>115</v>
      </c>
      <c r="H169" s="157">
        <v>0.2</v>
      </c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</row>
    <row r="170" ht="15.75" customHeight="1">
      <c r="A170" s="154" t="s">
        <v>650</v>
      </c>
      <c r="B170" s="155">
        <v>44804.0</v>
      </c>
      <c r="C170" s="155">
        <v>44818.0</v>
      </c>
      <c r="D170" s="154" t="s">
        <v>693</v>
      </c>
      <c r="E170" s="154" t="s">
        <v>381</v>
      </c>
      <c r="F170" s="164" t="s">
        <v>96</v>
      </c>
      <c r="G170" s="156" t="s">
        <v>115</v>
      </c>
      <c r="H170" s="157">
        <v>0.2</v>
      </c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</row>
    <row r="171" ht="15.75" customHeight="1">
      <c r="A171" s="154" t="s">
        <v>650</v>
      </c>
      <c r="B171" s="155">
        <v>44804.0</v>
      </c>
      <c r="C171" s="155">
        <v>44818.0</v>
      </c>
      <c r="D171" s="154" t="s">
        <v>693</v>
      </c>
      <c r="E171" s="154" t="s">
        <v>13</v>
      </c>
      <c r="F171" s="164" t="s">
        <v>627</v>
      </c>
      <c r="G171" s="156" t="s">
        <v>528</v>
      </c>
      <c r="H171" s="157">
        <v>0.2</v>
      </c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</row>
    <row r="172" ht="15.75" customHeight="1">
      <c r="A172" s="154" t="s">
        <v>650</v>
      </c>
      <c r="B172" s="155">
        <v>44818.0</v>
      </c>
      <c r="C172" s="155">
        <v>44832.0</v>
      </c>
      <c r="D172" s="154" t="s">
        <v>714</v>
      </c>
      <c r="E172" s="154" t="s">
        <v>0</v>
      </c>
      <c r="F172" s="164" t="s">
        <v>88</v>
      </c>
      <c r="G172" s="156" t="s">
        <v>134</v>
      </c>
      <c r="H172" s="157">
        <v>0.4</v>
      </c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</row>
    <row r="173" ht="15.75" customHeight="1">
      <c r="A173" s="154" t="s">
        <v>650</v>
      </c>
      <c r="B173" s="155">
        <v>44832.0</v>
      </c>
      <c r="C173" s="155">
        <v>44846.0</v>
      </c>
      <c r="D173" s="154" t="s">
        <v>424</v>
      </c>
      <c r="E173" s="154" t="s">
        <v>1</v>
      </c>
      <c r="F173" s="164" t="s">
        <v>269</v>
      </c>
      <c r="G173" s="156" t="s">
        <v>184</v>
      </c>
      <c r="H173" s="157">
        <v>0.5</v>
      </c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</row>
    <row r="174" ht="15.75" customHeight="1">
      <c r="A174" s="154" t="s">
        <v>650</v>
      </c>
      <c r="B174" s="155">
        <v>44832.0</v>
      </c>
      <c r="C174" s="155">
        <v>44846.0</v>
      </c>
      <c r="D174" s="154" t="s">
        <v>651</v>
      </c>
      <c r="E174" s="154" t="s">
        <v>379</v>
      </c>
      <c r="F174" s="164">
        <v>34.99</v>
      </c>
      <c r="G174" s="156">
        <f t="shared" ref="G174:G183" si="1">F174*(1-H174)</f>
        <v>27.992</v>
      </c>
      <c r="H174" s="157">
        <v>0.2</v>
      </c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</row>
    <row r="175" ht="15.75" customHeight="1">
      <c r="A175" s="154" t="s">
        <v>650</v>
      </c>
      <c r="B175" s="155">
        <v>44832.0</v>
      </c>
      <c r="C175" s="155">
        <v>44846.0</v>
      </c>
      <c r="D175" s="154" t="s">
        <v>651</v>
      </c>
      <c r="E175" s="154" t="s">
        <v>381</v>
      </c>
      <c r="F175" s="164">
        <v>34.99</v>
      </c>
      <c r="G175" s="156">
        <f t="shared" si="1"/>
        <v>27.992</v>
      </c>
      <c r="H175" s="157">
        <v>0.2</v>
      </c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</row>
    <row r="176" ht="15.75" customHeight="1">
      <c r="A176" s="154" t="s">
        <v>650</v>
      </c>
      <c r="B176" s="155">
        <v>44846.0</v>
      </c>
      <c r="C176" s="155">
        <v>44860.0</v>
      </c>
      <c r="D176" s="154" t="s">
        <v>554</v>
      </c>
      <c r="E176" s="154" t="s">
        <v>5</v>
      </c>
      <c r="F176" s="164">
        <v>69.99</v>
      </c>
      <c r="G176" s="156">
        <f t="shared" si="1"/>
        <v>34.995</v>
      </c>
      <c r="H176" s="157">
        <v>0.5</v>
      </c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</row>
    <row r="177" ht="15.75" customHeight="1">
      <c r="A177" s="154" t="s">
        <v>650</v>
      </c>
      <c r="B177" s="155">
        <v>44860.0</v>
      </c>
      <c r="C177" s="155">
        <v>44883.0</v>
      </c>
      <c r="D177" s="154" t="s">
        <v>619</v>
      </c>
      <c r="E177" s="154" t="s">
        <v>0</v>
      </c>
      <c r="F177" s="164">
        <v>39.99</v>
      </c>
      <c r="G177" s="156">
        <f t="shared" si="1"/>
        <v>19.995</v>
      </c>
      <c r="H177" s="32">
        <v>0.5</v>
      </c>
      <c r="I177" s="93" t="s">
        <v>717</v>
      </c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</row>
    <row r="178" ht="15.75" customHeight="1">
      <c r="A178" s="154" t="s">
        <v>650</v>
      </c>
      <c r="B178" s="155">
        <v>44883.0</v>
      </c>
      <c r="C178" s="155">
        <v>44893.0</v>
      </c>
      <c r="D178" s="154" t="s">
        <v>425</v>
      </c>
      <c r="E178" s="154" t="s">
        <v>1</v>
      </c>
      <c r="F178" s="164">
        <v>79.99</v>
      </c>
      <c r="G178" s="156">
        <f t="shared" si="1"/>
        <v>31.996</v>
      </c>
      <c r="H178" s="157">
        <v>0.6</v>
      </c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</row>
    <row r="179" ht="15.75" customHeight="1">
      <c r="A179" s="154" t="s">
        <v>650</v>
      </c>
      <c r="B179" s="155">
        <v>44883.0</v>
      </c>
      <c r="C179" s="155">
        <v>44893.0</v>
      </c>
      <c r="D179" s="154" t="s">
        <v>425</v>
      </c>
      <c r="E179" s="154" t="s">
        <v>379</v>
      </c>
      <c r="F179" s="164">
        <v>34.99</v>
      </c>
      <c r="G179" s="156">
        <f t="shared" si="1"/>
        <v>26.2425</v>
      </c>
      <c r="H179" s="157">
        <v>0.25</v>
      </c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</row>
    <row r="180" ht="15.75" customHeight="1">
      <c r="A180" s="154" t="s">
        <v>650</v>
      </c>
      <c r="B180" s="155">
        <v>44883.0</v>
      </c>
      <c r="C180" s="155">
        <v>44893.0</v>
      </c>
      <c r="D180" s="154" t="s">
        <v>425</v>
      </c>
      <c r="E180" s="154" t="s">
        <v>381</v>
      </c>
      <c r="F180" s="164">
        <v>34.99</v>
      </c>
      <c r="G180" s="156">
        <f t="shared" si="1"/>
        <v>27.992</v>
      </c>
      <c r="H180" s="157">
        <v>0.2</v>
      </c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</row>
    <row r="181" ht="15.75" customHeight="1">
      <c r="A181" s="154" t="s">
        <v>650</v>
      </c>
      <c r="B181" s="155">
        <v>44883.0</v>
      </c>
      <c r="C181" s="155">
        <v>44893.0</v>
      </c>
      <c r="D181" s="154" t="s">
        <v>425</v>
      </c>
      <c r="E181" s="154" t="s">
        <v>718</v>
      </c>
      <c r="F181" s="164">
        <v>54.99</v>
      </c>
      <c r="G181" s="156">
        <f t="shared" si="1"/>
        <v>41.2425</v>
      </c>
      <c r="H181" s="157">
        <v>0.25</v>
      </c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</row>
    <row r="182" ht="15.75" customHeight="1">
      <c r="A182" s="154" t="s">
        <v>650</v>
      </c>
      <c r="B182" s="155">
        <v>44893.0</v>
      </c>
      <c r="C182" s="155">
        <v>44916.0</v>
      </c>
      <c r="D182" s="154" t="s">
        <v>426</v>
      </c>
      <c r="E182" s="154" t="s">
        <v>5</v>
      </c>
      <c r="F182" s="164">
        <v>69.99</v>
      </c>
      <c r="G182" s="156">
        <f t="shared" si="1"/>
        <v>34.995</v>
      </c>
      <c r="H182" s="157">
        <v>0.5</v>
      </c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</row>
    <row r="183" ht="15.75" customHeight="1">
      <c r="A183" s="154" t="s">
        <v>650</v>
      </c>
      <c r="B183" s="155">
        <v>44916.0</v>
      </c>
      <c r="C183" s="155">
        <v>44932.0</v>
      </c>
      <c r="D183" s="154" t="s">
        <v>316</v>
      </c>
      <c r="E183" s="154" t="s">
        <v>0</v>
      </c>
      <c r="F183" s="164">
        <v>39.99</v>
      </c>
      <c r="G183" s="156">
        <f t="shared" si="1"/>
        <v>19.995</v>
      </c>
      <c r="H183" s="157">
        <v>0.5</v>
      </c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</row>
    <row r="184" ht="15.75" customHeight="1">
      <c r="A184" s="9">
        <v>2023.0</v>
      </c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</row>
    <row r="185" ht="15.75" customHeight="1">
      <c r="A185" s="154" t="s">
        <v>650</v>
      </c>
      <c r="B185" s="155">
        <v>44565.0</v>
      </c>
      <c r="C185" s="155">
        <v>44944.0</v>
      </c>
      <c r="D185" s="154" t="s">
        <v>317</v>
      </c>
      <c r="E185" s="154" t="s">
        <v>1</v>
      </c>
      <c r="F185" s="164">
        <v>79.99</v>
      </c>
      <c r="G185" s="156">
        <f t="shared" ref="G185:G216" si="2">F185*(1-H185)</f>
        <v>31.996</v>
      </c>
      <c r="H185" s="157">
        <v>0.6</v>
      </c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</row>
    <row r="186" ht="15.75" customHeight="1">
      <c r="A186" s="154" t="s">
        <v>650</v>
      </c>
      <c r="B186" s="155">
        <v>44958.0</v>
      </c>
      <c r="C186" s="155">
        <v>44972.0</v>
      </c>
      <c r="D186" s="154" t="s">
        <v>476</v>
      </c>
      <c r="E186" s="154" t="s">
        <v>0</v>
      </c>
      <c r="F186" s="164">
        <v>39.99</v>
      </c>
      <c r="G186" s="156">
        <f t="shared" si="2"/>
        <v>19.995</v>
      </c>
      <c r="H186" s="157">
        <v>0.5</v>
      </c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</row>
    <row r="187" ht="15.75" customHeight="1">
      <c r="A187" s="154" t="s">
        <v>650</v>
      </c>
      <c r="B187" s="155">
        <v>44972.0</v>
      </c>
      <c r="C187" s="155">
        <v>44986.0</v>
      </c>
      <c r="D187" s="154" t="s">
        <v>658</v>
      </c>
      <c r="E187" s="154" t="s">
        <v>1</v>
      </c>
      <c r="F187" s="164">
        <v>79.99</v>
      </c>
      <c r="G187" s="156">
        <f t="shared" si="2"/>
        <v>31.996</v>
      </c>
      <c r="H187" s="157">
        <v>0.6</v>
      </c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</row>
    <row r="188" ht="15.75" customHeight="1">
      <c r="A188" s="154" t="s">
        <v>650</v>
      </c>
      <c r="B188" s="155">
        <v>44986.0</v>
      </c>
      <c r="C188" s="155">
        <v>45000.0</v>
      </c>
      <c r="D188" s="154" t="s">
        <v>523</v>
      </c>
      <c r="E188" s="154" t="s">
        <v>5</v>
      </c>
      <c r="F188" s="164">
        <v>69.99</v>
      </c>
      <c r="G188" s="156">
        <f t="shared" si="2"/>
        <v>34.995</v>
      </c>
      <c r="H188" s="157">
        <v>0.5</v>
      </c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</row>
    <row r="189" ht="15.75" customHeight="1">
      <c r="A189" s="154" t="s">
        <v>650</v>
      </c>
      <c r="B189" s="155">
        <v>45000.0</v>
      </c>
      <c r="C189" s="155">
        <v>45014.0</v>
      </c>
      <c r="D189" s="154" t="s">
        <v>554</v>
      </c>
      <c r="E189" s="154" t="s">
        <v>0</v>
      </c>
      <c r="F189" s="164">
        <v>39.99</v>
      </c>
      <c r="G189" s="156">
        <f t="shared" si="2"/>
        <v>19.995</v>
      </c>
      <c r="H189" s="157">
        <v>0.5</v>
      </c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</row>
    <row r="190" ht="15.75" customHeight="1">
      <c r="A190" s="154" t="s">
        <v>650</v>
      </c>
      <c r="B190" s="155">
        <v>45014.0</v>
      </c>
      <c r="C190" s="155">
        <v>45028.0</v>
      </c>
      <c r="D190" s="154" t="s">
        <v>146</v>
      </c>
      <c r="E190" s="154" t="s">
        <v>1</v>
      </c>
      <c r="F190" s="164">
        <v>79.99</v>
      </c>
      <c r="G190" s="156">
        <f t="shared" si="2"/>
        <v>31.996</v>
      </c>
      <c r="H190" s="157">
        <v>0.6</v>
      </c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</row>
    <row r="191" ht="15.75" customHeight="1">
      <c r="A191" s="154" t="s">
        <v>650</v>
      </c>
      <c r="B191" s="155">
        <v>45028.0</v>
      </c>
      <c r="C191" s="155">
        <v>45042.0</v>
      </c>
      <c r="D191" s="154" t="s">
        <v>147</v>
      </c>
      <c r="E191" s="154" t="s">
        <v>5</v>
      </c>
      <c r="F191" s="164">
        <v>69.99</v>
      </c>
      <c r="G191" s="156">
        <f t="shared" si="2"/>
        <v>27.996</v>
      </c>
      <c r="H191" s="32">
        <v>0.6</v>
      </c>
      <c r="I191" s="93" t="s">
        <v>719</v>
      </c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</row>
    <row r="192" ht="15.75" customHeight="1">
      <c r="A192" s="154" t="s">
        <v>650</v>
      </c>
      <c r="B192" s="155">
        <v>45042.0</v>
      </c>
      <c r="C192" s="155">
        <v>45056.0</v>
      </c>
      <c r="D192" s="154" t="s">
        <v>720</v>
      </c>
      <c r="E192" s="154" t="s">
        <v>0</v>
      </c>
      <c r="F192" s="164">
        <v>39.99</v>
      </c>
      <c r="G192" s="156">
        <f t="shared" si="2"/>
        <v>19.995</v>
      </c>
      <c r="H192" s="157">
        <v>0.5</v>
      </c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</row>
    <row r="193" ht="15.75" customHeight="1">
      <c r="A193" s="154" t="s">
        <v>650</v>
      </c>
      <c r="B193" s="155">
        <v>45056.0</v>
      </c>
      <c r="C193" s="155">
        <v>45070.0</v>
      </c>
      <c r="D193" s="154" t="s">
        <v>525</v>
      </c>
      <c r="E193" s="154" t="s">
        <v>1</v>
      </c>
      <c r="F193" s="164">
        <v>79.99</v>
      </c>
      <c r="G193" s="156">
        <f t="shared" si="2"/>
        <v>31.996</v>
      </c>
      <c r="H193" s="157">
        <v>0.6</v>
      </c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</row>
    <row r="194" ht="15.75" customHeight="1">
      <c r="A194" s="154" t="s">
        <v>650</v>
      </c>
      <c r="B194" s="155">
        <v>45079.0</v>
      </c>
      <c r="C194" s="155">
        <v>45089.0</v>
      </c>
      <c r="D194" s="154" t="s">
        <v>151</v>
      </c>
      <c r="E194" s="154" t="s">
        <v>5</v>
      </c>
      <c r="F194" s="164">
        <v>69.99</v>
      </c>
      <c r="G194" s="156">
        <f t="shared" si="2"/>
        <v>27.996</v>
      </c>
      <c r="H194" s="157">
        <v>0.6</v>
      </c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</row>
    <row r="195" ht="15.75" customHeight="1">
      <c r="A195" s="154" t="s">
        <v>650</v>
      </c>
      <c r="B195" s="155">
        <v>45098.0</v>
      </c>
      <c r="C195" s="155">
        <v>45112.0</v>
      </c>
      <c r="D195" s="154" t="s">
        <v>357</v>
      </c>
      <c r="E195" s="154" t="s">
        <v>0</v>
      </c>
      <c r="F195" s="164">
        <v>39.99</v>
      </c>
      <c r="G195" s="156">
        <f t="shared" si="2"/>
        <v>19.995</v>
      </c>
      <c r="H195" s="157">
        <v>0.5</v>
      </c>
      <c r="I195" s="93" t="s">
        <v>721</v>
      </c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</row>
    <row r="196" ht="15.75" customHeight="1">
      <c r="A196" s="154" t="s">
        <v>650</v>
      </c>
      <c r="B196" s="155">
        <v>45112.0</v>
      </c>
      <c r="C196" s="155">
        <v>45126.0</v>
      </c>
      <c r="D196" s="154" t="s">
        <v>554</v>
      </c>
      <c r="E196" s="154" t="s">
        <v>1</v>
      </c>
      <c r="F196" s="164">
        <v>79.99</v>
      </c>
      <c r="G196" s="156">
        <f t="shared" si="2"/>
        <v>31.996</v>
      </c>
      <c r="H196" s="157">
        <v>0.6</v>
      </c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</row>
    <row r="197" ht="15.75" customHeight="1">
      <c r="A197" s="154" t="s">
        <v>650</v>
      </c>
      <c r="B197" s="155">
        <v>45126.0</v>
      </c>
      <c r="C197" s="155">
        <v>45140.0</v>
      </c>
      <c r="D197" s="154" t="s">
        <v>419</v>
      </c>
      <c r="E197" s="154" t="s">
        <v>0</v>
      </c>
      <c r="F197" s="164">
        <v>39.99</v>
      </c>
      <c r="G197" s="156">
        <f t="shared" si="2"/>
        <v>19.995</v>
      </c>
      <c r="H197" s="157">
        <v>0.5</v>
      </c>
      <c r="I197" s="93" t="s">
        <v>722</v>
      </c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</row>
    <row r="198" ht="15.75" customHeight="1">
      <c r="A198" s="154" t="s">
        <v>650</v>
      </c>
      <c r="B198" s="155">
        <v>45139.0</v>
      </c>
      <c r="C198" s="155">
        <v>45154.0</v>
      </c>
      <c r="D198" s="154" t="s">
        <v>419</v>
      </c>
      <c r="E198" s="154" t="s">
        <v>5</v>
      </c>
      <c r="F198" s="164">
        <v>69.99</v>
      </c>
      <c r="G198" s="156">
        <f t="shared" si="2"/>
        <v>27.996</v>
      </c>
      <c r="H198" s="157">
        <v>0.6</v>
      </c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</row>
    <row r="199" ht="15.75" customHeight="1">
      <c r="A199" s="154" t="s">
        <v>650</v>
      </c>
      <c r="B199" s="155">
        <v>45139.0</v>
      </c>
      <c r="C199" s="155">
        <v>45154.0</v>
      </c>
      <c r="D199" s="154" t="s">
        <v>559</v>
      </c>
      <c r="E199" s="154" t="s">
        <v>0</v>
      </c>
      <c r="F199" s="164">
        <v>39.99</v>
      </c>
      <c r="G199" s="156">
        <f t="shared" si="2"/>
        <v>19.995</v>
      </c>
      <c r="H199" s="157">
        <v>0.5</v>
      </c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</row>
    <row r="200" ht="15.75" customHeight="1">
      <c r="A200" s="154"/>
      <c r="B200" s="155"/>
      <c r="C200" s="155"/>
      <c r="D200" s="154"/>
      <c r="E200" s="154" t="s">
        <v>723</v>
      </c>
      <c r="F200" s="164">
        <v>34.99</v>
      </c>
      <c r="G200" s="156">
        <f t="shared" si="2"/>
        <v>26.2425</v>
      </c>
      <c r="H200" s="157">
        <v>0.25</v>
      </c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</row>
    <row r="201" ht="15.75" customHeight="1">
      <c r="A201" s="154"/>
      <c r="B201" s="155"/>
      <c r="C201" s="155"/>
      <c r="D201" s="154"/>
      <c r="E201" s="154" t="s">
        <v>13</v>
      </c>
      <c r="F201" s="164">
        <v>54.99</v>
      </c>
      <c r="G201" s="156">
        <f t="shared" si="2"/>
        <v>41.2425</v>
      </c>
      <c r="H201" s="157">
        <v>0.25</v>
      </c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</row>
    <row r="202" ht="15.75" customHeight="1">
      <c r="A202" s="154" t="s">
        <v>650</v>
      </c>
      <c r="B202" s="155">
        <v>45154.0</v>
      </c>
      <c r="C202" s="155">
        <v>45168.0</v>
      </c>
      <c r="D202" s="154" t="s">
        <v>562</v>
      </c>
      <c r="E202" s="154" t="s">
        <v>1</v>
      </c>
      <c r="F202" s="164">
        <v>79.99</v>
      </c>
      <c r="G202" s="156">
        <f t="shared" si="2"/>
        <v>31.996</v>
      </c>
      <c r="H202" s="157">
        <v>0.6</v>
      </c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</row>
    <row r="203" ht="15.75" customHeight="1">
      <c r="A203" s="154" t="s">
        <v>650</v>
      </c>
      <c r="B203" s="155">
        <v>45182.0</v>
      </c>
      <c r="C203" s="155">
        <v>45196.0</v>
      </c>
      <c r="D203" s="154" t="s">
        <v>525</v>
      </c>
      <c r="E203" s="154" t="s">
        <v>0</v>
      </c>
      <c r="F203" s="164">
        <v>39.99</v>
      </c>
      <c r="G203" s="156">
        <f t="shared" si="2"/>
        <v>19.995</v>
      </c>
      <c r="H203" s="157">
        <v>0.5</v>
      </c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</row>
    <row r="204" ht="15.75" customHeight="1">
      <c r="A204" s="18" t="s">
        <v>650</v>
      </c>
      <c r="B204" s="155">
        <v>45196.0</v>
      </c>
      <c r="C204" s="155">
        <v>45210.0</v>
      </c>
      <c r="D204" s="154" t="s">
        <v>680</v>
      </c>
      <c r="E204" s="154" t="s">
        <v>1</v>
      </c>
      <c r="F204" s="164">
        <v>79.99</v>
      </c>
      <c r="G204" s="156">
        <f t="shared" si="2"/>
        <v>31.996</v>
      </c>
      <c r="H204" s="157">
        <v>0.6</v>
      </c>
      <c r="I204" s="93"/>
      <c r="J204" s="101" t="s">
        <v>678</v>
      </c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</row>
    <row r="205" ht="15.75" customHeight="1">
      <c r="A205" s="18" t="s">
        <v>650</v>
      </c>
      <c r="B205" s="155"/>
      <c r="C205" s="155"/>
      <c r="D205" s="154"/>
      <c r="E205" s="154" t="s">
        <v>723</v>
      </c>
      <c r="F205" s="164">
        <v>34.99</v>
      </c>
      <c r="G205" s="156">
        <f t="shared" si="2"/>
        <v>23.4433</v>
      </c>
      <c r="H205" s="161">
        <v>0.33</v>
      </c>
      <c r="I205" s="93" t="s">
        <v>689</v>
      </c>
      <c r="J205" s="178">
        <v>0.25</v>
      </c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</row>
    <row r="206" ht="15.75" customHeight="1">
      <c r="A206" s="18" t="s">
        <v>650</v>
      </c>
      <c r="B206" s="155"/>
      <c r="C206" s="155"/>
      <c r="D206" s="154"/>
      <c r="E206" s="154" t="s">
        <v>13</v>
      </c>
      <c r="F206" s="164">
        <v>54.99</v>
      </c>
      <c r="G206" s="156">
        <f t="shared" si="2"/>
        <v>36.8433</v>
      </c>
      <c r="H206" s="161">
        <v>0.33</v>
      </c>
      <c r="I206" s="93" t="s">
        <v>689</v>
      </c>
      <c r="J206" s="178">
        <v>0.25</v>
      </c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</row>
    <row r="207" ht="15.75" customHeight="1">
      <c r="A207" s="18" t="s">
        <v>650</v>
      </c>
      <c r="B207" s="155">
        <v>45210.0</v>
      </c>
      <c r="C207" s="155">
        <v>45224.0</v>
      </c>
      <c r="D207" s="154" t="s">
        <v>564</v>
      </c>
      <c r="E207" s="154" t="s">
        <v>5</v>
      </c>
      <c r="F207" s="164">
        <v>69.99</v>
      </c>
      <c r="G207" s="156">
        <f t="shared" si="2"/>
        <v>27.996</v>
      </c>
      <c r="H207" s="157">
        <v>0.6</v>
      </c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</row>
    <row r="208" ht="15.75" customHeight="1">
      <c r="A208" s="18" t="s">
        <v>650</v>
      </c>
      <c r="B208" s="155">
        <v>45224.0</v>
      </c>
      <c r="C208" s="155">
        <v>45247.0</v>
      </c>
      <c r="D208" s="154" t="s">
        <v>554</v>
      </c>
      <c r="E208" s="154" t="s">
        <v>0</v>
      </c>
      <c r="F208" s="164">
        <v>39.99</v>
      </c>
      <c r="G208" s="156">
        <f t="shared" si="2"/>
        <v>15.996</v>
      </c>
      <c r="H208" s="161">
        <v>0.6</v>
      </c>
      <c r="I208" s="93" t="s">
        <v>689</v>
      </c>
      <c r="J208" s="178">
        <v>0.5</v>
      </c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</row>
    <row r="209" ht="15.75" customHeight="1">
      <c r="A209" s="18" t="s">
        <v>650</v>
      </c>
      <c r="B209" s="155">
        <v>45247.0</v>
      </c>
      <c r="C209" s="155">
        <v>45257.0</v>
      </c>
      <c r="D209" s="154" t="s">
        <v>425</v>
      </c>
      <c r="E209" s="154" t="s">
        <v>1</v>
      </c>
      <c r="F209" s="164">
        <v>79.99</v>
      </c>
      <c r="G209" s="156">
        <f t="shared" si="2"/>
        <v>31.996</v>
      </c>
      <c r="H209" s="157">
        <v>0.6</v>
      </c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</row>
    <row r="210" ht="15.75" customHeight="1">
      <c r="A210" s="18" t="s">
        <v>650</v>
      </c>
      <c r="B210" s="155">
        <v>45257.0</v>
      </c>
      <c r="C210" s="155">
        <v>45280.0</v>
      </c>
      <c r="D210" s="154" t="s">
        <v>426</v>
      </c>
      <c r="E210" s="154" t="s">
        <v>5</v>
      </c>
      <c r="F210" s="164">
        <v>69.99</v>
      </c>
      <c r="G210" s="156">
        <f t="shared" si="2"/>
        <v>27.996</v>
      </c>
      <c r="H210" s="157">
        <v>0.6</v>
      </c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</row>
    <row r="211" ht="15.75" customHeight="1">
      <c r="A211" s="18" t="s">
        <v>650</v>
      </c>
      <c r="B211" s="155">
        <v>45280.0</v>
      </c>
      <c r="C211" s="155">
        <v>45296.0</v>
      </c>
      <c r="D211" s="154" t="s">
        <v>316</v>
      </c>
      <c r="E211" s="154" t="s">
        <v>0</v>
      </c>
      <c r="F211" s="164">
        <v>39.99</v>
      </c>
      <c r="G211" s="156">
        <f t="shared" si="2"/>
        <v>15.996</v>
      </c>
      <c r="H211" s="161">
        <v>0.6</v>
      </c>
      <c r="I211" s="93" t="s">
        <v>689</v>
      </c>
      <c r="J211" s="178">
        <v>0.5</v>
      </c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</row>
    <row r="212" ht="15.75" customHeight="1">
      <c r="A212" s="18" t="s">
        <v>650</v>
      </c>
      <c r="B212" s="155">
        <v>45294.0</v>
      </c>
      <c r="C212" s="155">
        <v>45308.0</v>
      </c>
      <c r="D212" s="154" t="s">
        <v>317</v>
      </c>
      <c r="E212" s="154" t="s">
        <v>1</v>
      </c>
      <c r="F212" s="164">
        <v>79.99</v>
      </c>
      <c r="G212" s="156">
        <f t="shared" si="2"/>
        <v>31.996</v>
      </c>
      <c r="H212" s="157">
        <v>0.6</v>
      </c>
      <c r="I212" s="93"/>
      <c r="J212" s="101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</row>
    <row r="213" ht="15.75" customHeight="1">
      <c r="A213" s="18" t="s">
        <v>650</v>
      </c>
      <c r="B213" s="155"/>
      <c r="C213" s="155"/>
      <c r="D213" s="154"/>
      <c r="E213" s="154" t="s">
        <v>723</v>
      </c>
      <c r="F213" s="164">
        <v>34.99</v>
      </c>
      <c r="G213" s="156">
        <f t="shared" si="2"/>
        <v>23.4433</v>
      </c>
      <c r="H213" s="161">
        <v>0.33</v>
      </c>
      <c r="I213" s="93" t="s">
        <v>689</v>
      </c>
      <c r="J213" s="178">
        <v>0.25</v>
      </c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</row>
    <row r="214" ht="15.75" customHeight="1">
      <c r="A214" s="18" t="s">
        <v>650</v>
      </c>
      <c r="B214" s="155"/>
      <c r="C214" s="155"/>
      <c r="D214" s="154"/>
      <c r="E214" s="154" t="s">
        <v>13</v>
      </c>
      <c r="F214" s="164">
        <v>54.99</v>
      </c>
      <c r="G214" s="156">
        <f t="shared" si="2"/>
        <v>36.8433</v>
      </c>
      <c r="H214" s="161">
        <v>0.33</v>
      </c>
      <c r="I214" s="93" t="s">
        <v>689</v>
      </c>
      <c r="J214" s="178">
        <v>0.25</v>
      </c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</row>
    <row r="215" ht="15.75" customHeight="1">
      <c r="A215" s="154"/>
      <c r="B215" s="155"/>
      <c r="C215" s="155"/>
      <c r="D215" s="154"/>
      <c r="E215" s="154"/>
      <c r="F215" s="164"/>
      <c r="G215" s="156">
        <f t="shared" si="2"/>
        <v>0</v>
      </c>
      <c r="H215" s="157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</row>
    <row r="216" ht="15.75" customHeight="1">
      <c r="A216" s="154"/>
      <c r="B216" s="155"/>
      <c r="C216" s="155"/>
      <c r="D216" s="154"/>
      <c r="E216" s="154"/>
      <c r="F216" s="164"/>
      <c r="G216" s="156">
        <f t="shared" si="2"/>
        <v>0</v>
      </c>
      <c r="H216" s="157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</row>
    <row r="217" ht="15.75" customHeight="1">
      <c r="A217" s="101"/>
      <c r="B217" s="101"/>
      <c r="C217" s="101"/>
      <c r="D217" s="101"/>
      <c r="E217" s="101"/>
      <c r="F217" s="101"/>
      <c r="G217" s="101"/>
      <c r="H217" s="101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</row>
    <row r="218" ht="15.75" customHeight="1">
      <c r="A218" s="4" t="s">
        <v>506</v>
      </c>
      <c r="B218" s="4" t="s">
        <v>2</v>
      </c>
      <c r="C218" s="4" t="s">
        <v>6</v>
      </c>
      <c r="D218" s="4" t="s">
        <v>7</v>
      </c>
      <c r="E218" s="4" t="s">
        <v>8</v>
      </c>
      <c r="F218" s="7" t="s">
        <v>9</v>
      </c>
      <c r="G218" s="7" t="s">
        <v>10</v>
      </c>
      <c r="H218" s="7" t="s">
        <v>11</v>
      </c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</row>
    <row r="219" ht="15.75" customHeight="1">
      <c r="A219" s="140" t="s">
        <v>695</v>
      </c>
      <c r="B219" s="165">
        <v>44644.0</v>
      </c>
      <c r="C219" s="165">
        <v>44658.0</v>
      </c>
      <c r="D219" s="140" t="s">
        <v>724</v>
      </c>
      <c r="E219" s="166" t="s">
        <v>239</v>
      </c>
      <c r="F219" s="166" t="s">
        <v>89</v>
      </c>
      <c r="G219" s="166" t="s">
        <v>130</v>
      </c>
      <c r="H219" s="168">
        <v>0.5</v>
      </c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</row>
    <row r="220" ht="15.75" customHeight="1">
      <c r="A220" s="140" t="s">
        <v>695</v>
      </c>
      <c r="B220" s="165">
        <v>44644.0</v>
      </c>
      <c r="C220" s="165">
        <v>44658.0</v>
      </c>
      <c r="D220" s="140" t="s">
        <v>724</v>
      </c>
      <c r="E220" s="166" t="s">
        <v>384</v>
      </c>
      <c r="F220" s="166" t="s">
        <v>132</v>
      </c>
      <c r="G220" s="166" t="s">
        <v>89</v>
      </c>
      <c r="H220" s="168">
        <v>0.5</v>
      </c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</row>
    <row r="221" ht="15.75" customHeight="1">
      <c r="A221" s="140" t="s">
        <v>695</v>
      </c>
      <c r="B221" s="165">
        <v>44644.0</v>
      </c>
      <c r="C221" s="165">
        <v>44658.0</v>
      </c>
      <c r="D221" s="140" t="s">
        <v>724</v>
      </c>
      <c r="E221" s="166" t="s">
        <v>253</v>
      </c>
      <c r="F221" s="166" t="s">
        <v>179</v>
      </c>
      <c r="G221" s="166" t="s">
        <v>624</v>
      </c>
      <c r="H221" s="168">
        <v>0.33</v>
      </c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</row>
    <row r="222" ht="15.75" customHeight="1">
      <c r="A222" s="140" t="s">
        <v>695</v>
      </c>
      <c r="B222" s="165">
        <v>44644.0</v>
      </c>
      <c r="C222" s="165">
        <v>44658.0</v>
      </c>
      <c r="D222" s="140" t="s">
        <v>724</v>
      </c>
      <c r="E222" s="166" t="s">
        <v>260</v>
      </c>
      <c r="F222" s="166" t="s">
        <v>96</v>
      </c>
      <c r="G222" s="166" t="s">
        <v>115</v>
      </c>
      <c r="H222" s="168">
        <v>0.2</v>
      </c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</row>
    <row r="223" ht="15.75" customHeight="1">
      <c r="A223" s="140" t="s">
        <v>695</v>
      </c>
      <c r="B223" s="165">
        <v>44644.0</v>
      </c>
      <c r="C223" s="165">
        <v>44658.0</v>
      </c>
      <c r="D223" s="140" t="s">
        <v>724</v>
      </c>
      <c r="E223" s="166" t="s">
        <v>266</v>
      </c>
      <c r="F223" s="166" t="s">
        <v>96</v>
      </c>
      <c r="G223" s="166" t="s">
        <v>544</v>
      </c>
      <c r="H223" s="168">
        <v>0.1</v>
      </c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</row>
    <row r="224" ht="15.75" customHeight="1">
      <c r="A224" s="140" t="s">
        <v>695</v>
      </c>
      <c r="B224" s="165">
        <v>44644.0</v>
      </c>
      <c r="C224" s="165">
        <v>44658.0</v>
      </c>
      <c r="D224" s="140" t="s">
        <v>724</v>
      </c>
      <c r="E224" s="166" t="s">
        <v>274</v>
      </c>
      <c r="F224" s="166" t="s">
        <v>627</v>
      </c>
      <c r="G224" s="166" t="s">
        <v>528</v>
      </c>
      <c r="H224" s="168">
        <v>0.2</v>
      </c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</row>
    <row r="225" ht="15.75" customHeight="1">
      <c r="A225" s="140" t="s">
        <v>695</v>
      </c>
      <c r="B225" s="165">
        <v>44644.0</v>
      </c>
      <c r="C225" s="165">
        <v>44658.0</v>
      </c>
      <c r="D225" s="140" t="s">
        <v>724</v>
      </c>
      <c r="E225" s="166" t="s">
        <v>725</v>
      </c>
      <c r="F225" s="166" t="s">
        <v>169</v>
      </c>
      <c r="G225" s="166" t="s">
        <v>170</v>
      </c>
      <c r="H225" s="168">
        <v>0.2</v>
      </c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</row>
    <row r="226" ht="15.75" customHeight="1">
      <c r="A226" s="140" t="s">
        <v>695</v>
      </c>
      <c r="B226" s="165">
        <v>44673.0</v>
      </c>
      <c r="C226" s="165">
        <v>44676.0</v>
      </c>
      <c r="D226" s="140" t="s">
        <v>726</v>
      </c>
      <c r="E226" s="166" t="s">
        <v>239</v>
      </c>
      <c r="F226" s="166" t="s">
        <v>89</v>
      </c>
      <c r="G226" s="166" t="s">
        <v>130</v>
      </c>
      <c r="H226" s="168">
        <v>0.5</v>
      </c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</row>
    <row r="227" ht="15.75" customHeight="1">
      <c r="A227" s="140" t="s">
        <v>695</v>
      </c>
      <c r="B227" s="165">
        <v>44673.0</v>
      </c>
      <c r="C227" s="165">
        <v>44676.0</v>
      </c>
      <c r="D227" s="140" t="s">
        <v>726</v>
      </c>
      <c r="E227" s="166" t="s">
        <v>384</v>
      </c>
      <c r="F227" s="166" t="s">
        <v>132</v>
      </c>
      <c r="G227" s="166" t="s">
        <v>89</v>
      </c>
      <c r="H227" s="168">
        <v>0.5</v>
      </c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</row>
    <row r="228" ht="15.75" customHeight="1">
      <c r="A228" s="140" t="s">
        <v>695</v>
      </c>
      <c r="B228" s="165">
        <v>44673.0</v>
      </c>
      <c r="C228" s="165">
        <v>44676.0</v>
      </c>
      <c r="D228" s="140" t="s">
        <v>726</v>
      </c>
      <c r="E228" s="166" t="s">
        <v>253</v>
      </c>
      <c r="F228" s="166" t="s">
        <v>179</v>
      </c>
      <c r="G228" s="166" t="s">
        <v>624</v>
      </c>
      <c r="H228" s="168">
        <v>0.33</v>
      </c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</row>
    <row r="229" ht="15.75" customHeight="1">
      <c r="A229" s="140" t="s">
        <v>695</v>
      </c>
      <c r="B229" s="165">
        <v>44673.0</v>
      </c>
      <c r="C229" s="165">
        <v>44676.0</v>
      </c>
      <c r="D229" s="140" t="s">
        <v>726</v>
      </c>
      <c r="E229" s="166" t="s">
        <v>260</v>
      </c>
      <c r="F229" s="166" t="s">
        <v>96</v>
      </c>
      <c r="G229" s="166" t="s">
        <v>115</v>
      </c>
      <c r="H229" s="168">
        <v>0.2</v>
      </c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</row>
    <row r="230" ht="15.75" customHeight="1">
      <c r="A230" s="140" t="s">
        <v>695</v>
      </c>
      <c r="B230" s="165">
        <v>44673.0</v>
      </c>
      <c r="C230" s="165">
        <v>44676.0</v>
      </c>
      <c r="D230" s="140" t="s">
        <v>726</v>
      </c>
      <c r="E230" s="166" t="s">
        <v>266</v>
      </c>
      <c r="F230" s="166" t="s">
        <v>96</v>
      </c>
      <c r="G230" s="166" t="s">
        <v>544</v>
      </c>
      <c r="H230" s="168">
        <v>0.1</v>
      </c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</row>
    <row r="231" ht="15.75" customHeight="1">
      <c r="A231" s="140" t="s">
        <v>695</v>
      </c>
      <c r="B231" s="165">
        <v>44673.0</v>
      </c>
      <c r="C231" s="165">
        <v>44676.0</v>
      </c>
      <c r="D231" s="140" t="s">
        <v>726</v>
      </c>
      <c r="E231" s="166" t="s">
        <v>274</v>
      </c>
      <c r="F231" s="166" t="s">
        <v>627</v>
      </c>
      <c r="G231" s="166" t="s">
        <v>528</v>
      </c>
      <c r="H231" s="168">
        <v>0.2</v>
      </c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</row>
    <row r="232" ht="15.75" customHeight="1">
      <c r="A232" s="140" t="s">
        <v>695</v>
      </c>
      <c r="B232" s="165">
        <v>44673.0</v>
      </c>
      <c r="C232" s="165">
        <v>44676.0</v>
      </c>
      <c r="D232" s="140" t="s">
        <v>726</v>
      </c>
      <c r="E232" s="166" t="s">
        <v>725</v>
      </c>
      <c r="F232" s="166" t="s">
        <v>169</v>
      </c>
      <c r="G232" s="166" t="s">
        <v>170</v>
      </c>
      <c r="H232" s="168">
        <v>0.2</v>
      </c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</row>
    <row r="233" ht="15.75" customHeight="1">
      <c r="A233" s="140" t="s">
        <v>695</v>
      </c>
      <c r="B233" s="165">
        <v>44684.0</v>
      </c>
      <c r="C233" s="165">
        <v>44689.0</v>
      </c>
      <c r="D233" s="140" t="s">
        <v>727</v>
      </c>
      <c r="E233" s="166" t="s">
        <v>239</v>
      </c>
      <c r="F233" s="166" t="s">
        <v>89</v>
      </c>
      <c r="G233" s="166" t="s">
        <v>130</v>
      </c>
      <c r="H233" s="168">
        <v>0.5</v>
      </c>
      <c r="I233" s="93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3"/>
    </row>
    <row r="234" ht="15.75" customHeight="1">
      <c r="A234" s="140" t="s">
        <v>695</v>
      </c>
      <c r="B234" s="165">
        <v>44684.0</v>
      </c>
      <c r="C234" s="165">
        <v>44689.0</v>
      </c>
      <c r="D234" s="140" t="s">
        <v>727</v>
      </c>
      <c r="E234" s="166" t="s">
        <v>384</v>
      </c>
      <c r="F234" s="166" t="s">
        <v>132</v>
      </c>
      <c r="G234" s="166" t="s">
        <v>89</v>
      </c>
      <c r="H234" s="168">
        <v>0.5</v>
      </c>
      <c r="I234" s="93"/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  <c r="W234" s="93"/>
      <c r="X234" s="93"/>
      <c r="Y234" s="93"/>
    </row>
    <row r="235" ht="15.75" customHeight="1">
      <c r="A235" s="140" t="s">
        <v>695</v>
      </c>
      <c r="B235" s="165">
        <v>44684.0</v>
      </c>
      <c r="C235" s="165">
        <v>44689.0</v>
      </c>
      <c r="D235" s="140" t="s">
        <v>727</v>
      </c>
      <c r="E235" s="166" t="s">
        <v>253</v>
      </c>
      <c r="F235" s="166" t="s">
        <v>179</v>
      </c>
      <c r="G235" s="166" t="s">
        <v>624</v>
      </c>
      <c r="H235" s="168">
        <v>0.33</v>
      </c>
      <c r="I235" s="93"/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93"/>
      <c r="X235" s="93"/>
      <c r="Y235" s="93"/>
    </row>
    <row r="236" ht="15.75" customHeight="1">
      <c r="A236" s="140" t="s">
        <v>695</v>
      </c>
      <c r="B236" s="165">
        <v>44684.0</v>
      </c>
      <c r="C236" s="165">
        <v>44689.0</v>
      </c>
      <c r="D236" s="140" t="s">
        <v>727</v>
      </c>
      <c r="E236" s="166" t="s">
        <v>260</v>
      </c>
      <c r="F236" s="166" t="s">
        <v>96</v>
      </c>
      <c r="G236" s="166" t="s">
        <v>115</v>
      </c>
      <c r="H236" s="168">
        <v>0.2</v>
      </c>
      <c r="I236" s="93"/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93"/>
      <c r="X236" s="93"/>
      <c r="Y236" s="93"/>
    </row>
    <row r="237" ht="15.75" customHeight="1">
      <c r="A237" s="140" t="s">
        <v>695</v>
      </c>
      <c r="B237" s="165">
        <v>44684.0</v>
      </c>
      <c r="C237" s="165">
        <v>44689.0</v>
      </c>
      <c r="D237" s="140" t="s">
        <v>727</v>
      </c>
      <c r="E237" s="166" t="s">
        <v>266</v>
      </c>
      <c r="F237" s="166" t="s">
        <v>96</v>
      </c>
      <c r="G237" s="166" t="s">
        <v>544</v>
      </c>
      <c r="H237" s="168">
        <v>0.1</v>
      </c>
      <c r="I237" s="93"/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93"/>
      <c r="X237" s="93"/>
      <c r="Y237" s="93"/>
    </row>
    <row r="238" ht="15.75" customHeight="1">
      <c r="A238" s="140" t="s">
        <v>695</v>
      </c>
      <c r="B238" s="165">
        <v>44684.0</v>
      </c>
      <c r="C238" s="165">
        <v>44689.0</v>
      </c>
      <c r="D238" s="140" t="s">
        <v>727</v>
      </c>
      <c r="E238" s="166" t="s">
        <v>274</v>
      </c>
      <c r="F238" s="166" t="s">
        <v>627</v>
      </c>
      <c r="G238" s="166" t="s">
        <v>528</v>
      </c>
      <c r="H238" s="168">
        <v>0.2</v>
      </c>
      <c r="I238" s="93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  <c r="W238" s="93"/>
      <c r="X238" s="93"/>
      <c r="Y238" s="93"/>
    </row>
    <row r="239" ht="15.75" customHeight="1">
      <c r="A239" s="140" t="s">
        <v>695</v>
      </c>
      <c r="B239" s="165">
        <v>44684.0</v>
      </c>
      <c r="C239" s="165">
        <v>44689.0</v>
      </c>
      <c r="D239" s="140" t="s">
        <v>727</v>
      </c>
      <c r="E239" s="166" t="s">
        <v>725</v>
      </c>
      <c r="F239" s="166" t="s">
        <v>169</v>
      </c>
      <c r="G239" s="166" t="s">
        <v>170</v>
      </c>
      <c r="H239" s="168">
        <v>0.2</v>
      </c>
      <c r="I239" s="93"/>
      <c r="J239" s="93"/>
      <c r="K239" s="93"/>
      <c r="L239" s="93"/>
      <c r="M239" s="93"/>
      <c r="N239" s="93"/>
      <c r="O239" s="93"/>
      <c r="P239" s="93"/>
      <c r="Q239" s="93"/>
      <c r="R239" s="93"/>
      <c r="S239" s="93"/>
      <c r="T239" s="93"/>
      <c r="U239" s="93"/>
      <c r="V239" s="93"/>
      <c r="W239" s="93"/>
      <c r="X239" s="93"/>
      <c r="Y239" s="93"/>
    </row>
    <row r="240" ht="15.75" customHeight="1">
      <c r="A240" s="140" t="s">
        <v>695</v>
      </c>
      <c r="B240" s="165">
        <v>44700.0</v>
      </c>
      <c r="C240" s="165">
        <v>44728.0</v>
      </c>
      <c r="D240" s="140" t="s">
        <v>728</v>
      </c>
      <c r="E240" s="166" t="s">
        <v>239</v>
      </c>
      <c r="F240" s="166" t="s">
        <v>89</v>
      </c>
      <c r="G240" s="166" t="s">
        <v>130</v>
      </c>
      <c r="H240" s="168">
        <v>0.5</v>
      </c>
      <c r="I240" s="93"/>
      <c r="J240" s="93"/>
      <c r="K240" s="93"/>
      <c r="L240" s="93"/>
      <c r="M240" s="93"/>
      <c r="N240" s="93"/>
      <c r="O240" s="93"/>
      <c r="P240" s="93"/>
      <c r="Q240" s="93"/>
      <c r="R240" s="93"/>
      <c r="S240" s="93"/>
      <c r="T240" s="93"/>
      <c r="U240" s="93"/>
      <c r="V240" s="93"/>
      <c r="W240" s="93"/>
      <c r="X240" s="93"/>
      <c r="Y240" s="93"/>
    </row>
    <row r="241" ht="15.75" customHeight="1">
      <c r="A241" s="140" t="s">
        <v>695</v>
      </c>
      <c r="B241" s="165">
        <v>44700.0</v>
      </c>
      <c r="C241" s="165">
        <v>44728.0</v>
      </c>
      <c r="D241" s="140" t="s">
        <v>728</v>
      </c>
      <c r="E241" s="166" t="s">
        <v>384</v>
      </c>
      <c r="F241" s="166" t="s">
        <v>132</v>
      </c>
      <c r="G241" s="166" t="s">
        <v>89</v>
      </c>
      <c r="H241" s="168">
        <v>0.5</v>
      </c>
      <c r="I241" s="93"/>
      <c r="J241" s="93"/>
      <c r="K241" s="93"/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  <c r="W241" s="93"/>
      <c r="X241" s="93"/>
      <c r="Y241" s="93"/>
    </row>
    <row r="242" ht="15.75" customHeight="1">
      <c r="A242" s="140" t="s">
        <v>695</v>
      </c>
      <c r="B242" s="165">
        <v>44700.0</v>
      </c>
      <c r="C242" s="165">
        <v>44728.0</v>
      </c>
      <c r="D242" s="140" t="s">
        <v>728</v>
      </c>
      <c r="E242" s="166" t="s">
        <v>253</v>
      </c>
      <c r="F242" s="166" t="s">
        <v>179</v>
      </c>
      <c r="G242" s="166" t="s">
        <v>624</v>
      </c>
      <c r="H242" s="168">
        <v>0.33</v>
      </c>
      <c r="I242" s="93"/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93"/>
      <c r="X242" s="93"/>
      <c r="Y242" s="93"/>
    </row>
    <row r="243" ht="15.75" customHeight="1">
      <c r="A243" s="140" t="s">
        <v>695</v>
      </c>
      <c r="B243" s="165">
        <v>44700.0</v>
      </c>
      <c r="C243" s="165">
        <v>44728.0</v>
      </c>
      <c r="D243" s="140" t="s">
        <v>728</v>
      </c>
      <c r="E243" s="166" t="s">
        <v>260</v>
      </c>
      <c r="F243" s="166" t="s">
        <v>96</v>
      </c>
      <c r="G243" s="166" t="s">
        <v>115</v>
      </c>
      <c r="H243" s="168">
        <v>0.2</v>
      </c>
      <c r="I243" s="93"/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3"/>
    </row>
    <row r="244" ht="15.75" customHeight="1">
      <c r="A244" s="140" t="s">
        <v>695</v>
      </c>
      <c r="B244" s="165">
        <v>44700.0</v>
      </c>
      <c r="C244" s="165">
        <v>44728.0</v>
      </c>
      <c r="D244" s="140" t="s">
        <v>728</v>
      </c>
      <c r="E244" s="166" t="s">
        <v>266</v>
      </c>
      <c r="F244" s="166" t="s">
        <v>96</v>
      </c>
      <c r="G244" s="166" t="s">
        <v>544</v>
      </c>
      <c r="H244" s="168">
        <v>0.1</v>
      </c>
      <c r="I244" s="93"/>
      <c r="J244" s="93"/>
      <c r="K244" s="93"/>
      <c r="L244" s="93"/>
      <c r="M244" s="93"/>
      <c r="N244" s="93"/>
      <c r="O244" s="93"/>
      <c r="P244" s="93"/>
      <c r="Q244" s="93"/>
      <c r="R244" s="93"/>
      <c r="S244" s="93"/>
      <c r="T244" s="93"/>
      <c r="U244" s="93"/>
      <c r="V244" s="93"/>
      <c r="W244" s="93"/>
      <c r="X244" s="93"/>
      <c r="Y244" s="93"/>
    </row>
    <row r="245" ht="15.75" customHeight="1">
      <c r="A245" s="140" t="s">
        <v>695</v>
      </c>
      <c r="B245" s="165">
        <v>44700.0</v>
      </c>
      <c r="C245" s="165">
        <v>44728.0</v>
      </c>
      <c r="D245" s="140" t="s">
        <v>728</v>
      </c>
      <c r="E245" s="166" t="s">
        <v>274</v>
      </c>
      <c r="F245" s="166" t="s">
        <v>627</v>
      </c>
      <c r="G245" s="166" t="s">
        <v>528</v>
      </c>
      <c r="H245" s="168">
        <v>0.2</v>
      </c>
      <c r="I245" s="93"/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  <c r="W245" s="93"/>
      <c r="X245" s="93"/>
      <c r="Y245" s="93"/>
    </row>
    <row r="246" ht="15.75" customHeight="1">
      <c r="A246" s="140" t="s">
        <v>695</v>
      </c>
      <c r="B246" s="165">
        <v>44700.0</v>
      </c>
      <c r="C246" s="165">
        <v>44728.0</v>
      </c>
      <c r="D246" s="140" t="s">
        <v>728</v>
      </c>
      <c r="E246" s="166" t="s">
        <v>725</v>
      </c>
      <c r="F246" s="166" t="s">
        <v>169</v>
      </c>
      <c r="G246" s="166" t="s">
        <v>170</v>
      </c>
      <c r="H246" s="168">
        <v>0.2</v>
      </c>
      <c r="I246" s="93"/>
      <c r="J246" s="93"/>
      <c r="K246" s="93"/>
      <c r="L246" s="93"/>
      <c r="M246" s="93"/>
      <c r="N246" s="93"/>
      <c r="O246" s="93"/>
      <c r="P246" s="93"/>
      <c r="Q246" s="93"/>
      <c r="R246" s="93"/>
      <c r="S246" s="93"/>
      <c r="T246" s="93"/>
      <c r="U246" s="93"/>
      <c r="V246" s="93"/>
      <c r="W246" s="93"/>
      <c r="X246" s="93"/>
      <c r="Y246" s="93"/>
    </row>
    <row r="247" ht="15.75" customHeight="1">
      <c r="A247" s="140" t="s">
        <v>695</v>
      </c>
      <c r="B247" s="165">
        <v>44756.0</v>
      </c>
      <c r="C247" s="165">
        <v>44770.0</v>
      </c>
      <c r="D247" s="140" t="s">
        <v>729</v>
      </c>
      <c r="E247" s="166" t="s">
        <v>0</v>
      </c>
      <c r="F247" s="166" t="s">
        <v>89</v>
      </c>
      <c r="G247" s="166" t="s">
        <v>281</v>
      </c>
      <c r="H247" s="168">
        <v>0.5</v>
      </c>
      <c r="I247" s="93"/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  <c r="W247" s="93"/>
      <c r="X247" s="93"/>
      <c r="Y247" s="93"/>
    </row>
    <row r="248" ht="15.75" customHeight="1">
      <c r="A248" s="140" t="s">
        <v>695</v>
      </c>
      <c r="B248" s="165">
        <v>44756.0</v>
      </c>
      <c r="C248" s="165">
        <v>44770.0</v>
      </c>
      <c r="D248" s="140" t="s">
        <v>729</v>
      </c>
      <c r="E248" s="166" t="s">
        <v>539</v>
      </c>
      <c r="F248" s="166" t="s">
        <v>169</v>
      </c>
      <c r="G248" s="166" t="s">
        <v>170</v>
      </c>
      <c r="H248" s="168">
        <v>0.2</v>
      </c>
      <c r="I248" s="93"/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  <c r="W248" s="93"/>
      <c r="X248" s="93"/>
      <c r="Y248" s="93"/>
    </row>
    <row r="249" ht="15.75" customHeight="1">
      <c r="A249" s="140" t="s">
        <v>695</v>
      </c>
      <c r="B249" s="165">
        <v>44756.0</v>
      </c>
      <c r="C249" s="165">
        <v>44770.0</v>
      </c>
      <c r="D249" s="140" t="s">
        <v>729</v>
      </c>
      <c r="E249" s="166" t="s">
        <v>540</v>
      </c>
      <c r="F249" s="166" t="s">
        <v>169</v>
      </c>
      <c r="G249" s="166" t="s">
        <v>170</v>
      </c>
      <c r="H249" s="168">
        <v>0.2</v>
      </c>
      <c r="I249" s="93"/>
      <c r="J249" s="93"/>
      <c r="K249" s="93"/>
      <c r="L249" s="93"/>
      <c r="M249" s="93"/>
      <c r="N249" s="93"/>
      <c r="O249" s="93"/>
      <c r="P249" s="93"/>
      <c r="Q249" s="93"/>
      <c r="R249" s="93"/>
      <c r="S249" s="93"/>
      <c r="T249" s="93"/>
      <c r="U249" s="93"/>
      <c r="V249" s="93"/>
      <c r="W249" s="93"/>
      <c r="X249" s="93"/>
      <c r="Y249" s="93"/>
    </row>
    <row r="250" ht="15.75" customHeight="1">
      <c r="A250" s="140" t="s">
        <v>695</v>
      </c>
      <c r="B250" s="165">
        <v>44756.0</v>
      </c>
      <c r="C250" s="165">
        <v>44770.0</v>
      </c>
      <c r="D250" s="140" t="s">
        <v>729</v>
      </c>
      <c r="E250" s="166" t="s">
        <v>5</v>
      </c>
      <c r="F250" s="166" t="s">
        <v>132</v>
      </c>
      <c r="G250" s="166" t="s">
        <v>263</v>
      </c>
      <c r="H250" s="168">
        <v>0.5</v>
      </c>
      <c r="I250" s="93"/>
      <c r="J250" s="93"/>
      <c r="K250" s="93"/>
      <c r="L250" s="93"/>
      <c r="M250" s="93"/>
      <c r="N250" s="93"/>
      <c r="O250" s="93"/>
      <c r="P250" s="93"/>
      <c r="Q250" s="93"/>
      <c r="R250" s="93"/>
      <c r="S250" s="93"/>
      <c r="T250" s="93"/>
      <c r="U250" s="93"/>
      <c r="V250" s="93"/>
      <c r="W250" s="93"/>
      <c r="X250" s="93"/>
      <c r="Y250" s="93"/>
    </row>
    <row r="251" ht="15.75" customHeight="1">
      <c r="A251" s="140" t="s">
        <v>695</v>
      </c>
      <c r="B251" s="165">
        <v>44756.0</v>
      </c>
      <c r="C251" s="165">
        <v>44770.0</v>
      </c>
      <c r="D251" s="140" t="s">
        <v>729</v>
      </c>
      <c r="E251" s="166" t="s">
        <v>533</v>
      </c>
      <c r="F251" s="166" t="s">
        <v>169</v>
      </c>
      <c r="G251" s="166" t="s">
        <v>170</v>
      </c>
      <c r="H251" s="168">
        <v>0.2</v>
      </c>
      <c r="I251" s="93"/>
      <c r="J251" s="93"/>
      <c r="K251" s="93"/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  <c r="W251" s="93"/>
      <c r="X251" s="93"/>
      <c r="Y251" s="93"/>
    </row>
    <row r="252" ht="15.75" customHeight="1">
      <c r="A252" s="140" t="s">
        <v>695</v>
      </c>
      <c r="B252" s="165">
        <v>44756.0</v>
      </c>
      <c r="C252" s="165">
        <v>44770.0</v>
      </c>
      <c r="D252" s="140" t="s">
        <v>729</v>
      </c>
      <c r="E252" s="166" t="s">
        <v>1</v>
      </c>
      <c r="F252" s="166" t="s">
        <v>179</v>
      </c>
      <c r="G252" s="166" t="s">
        <v>624</v>
      </c>
      <c r="H252" s="168">
        <v>0.33</v>
      </c>
      <c r="I252" s="93"/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93"/>
      <c r="U252" s="93"/>
      <c r="V252" s="93"/>
      <c r="W252" s="93"/>
      <c r="X252" s="93"/>
      <c r="Y252" s="93"/>
    </row>
    <row r="253" ht="15.75" customHeight="1">
      <c r="A253" s="140" t="s">
        <v>695</v>
      </c>
      <c r="B253" s="165">
        <v>44756.0</v>
      </c>
      <c r="C253" s="165">
        <v>44770.0</v>
      </c>
      <c r="D253" s="140" t="s">
        <v>729</v>
      </c>
      <c r="E253" s="166" t="s">
        <v>538</v>
      </c>
      <c r="F253" s="166" t="s">
        <v>169</v>
      </c>
      <c r="G253" s="166" t="s">
        <v>170</v>
      </c>
      <c r="H253" s="168">
        <v>0.2</v>
      </c>
      <c r="I253" s="93"/>
      <c r="J253" s="93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  <c r="W253" s="93"/>
      <c r="X253" s="93"/>
      <c r="Y253" s="93"/>
    </row>
    <row r="254" ht="15.75" customHeight="1">
      <c r="A254" s="140" t="s">
        <v>695</v>
      </c>
      <c r="B254" s="165">
        <v>44756.0</v>
      </c>
      <c r="C254" s="165">
        <v>44770.0</v>
      </c>
      <c r="D254" s="140" t="s">
        <v>729</v>
      </c>
      <c r="E254" s="166" t="s">
        <v>536</v>
      </c>
      <c r="F254" s="166" t="s">
        <v>169</v>
      </c>
      <c r="G254" s="166" t="s">
        <v>170</v>
      </c>
      <c r="H254" s="168">
        <v>0.2</v>
      </c>
      <c r="I254" s="93"/>
      <c r="J254" s="93"/>
      <c r="K254" s="93"/>
      <c r="L254" s="93"/>
      <c r="M254" s="93"/>
      <c r="N254" s="93"/>
      <c r="O254" s="93"/>
      <c r="P254" s="93"/>
      <c r="Q254" s="93"/>
      <c r="R254" s="93"/>
      <c r="S254" s="93"/>
      <c r="T254" s="93"/>
      <c r="U254" s="93"/>
      <c r="V254" s="93"/>
      <c r="W254" s="93"/>
      <c r="X254" s="93"/>
      <c r="Y254" s="93"/>
    </row>
    <row r="255" ht="15.75" customHeight="1">
      <c r="A255" s="140" t="s">
        <v>695</v>
      </c>
      <c r="B255" s="165">
        <v>44756.0</v>
      </c>
      <c r="C255" s="165">
        <v>44770.0</v>
      </c>
      <c r="D255" s="140" t="s">
        <v>729</v>
      </c>
      <c r="E255" s="166" t="s">
        <v>546</v>
      </c>
      <c r="F255" s="166" t="s">
        <v>627</v>
      </c>
      <c r="G255" s="166" t="s">
        <v>528</v>
      </c>
      <c r="H255" s="168">
        <v>0.2</v>
      </c>
      <c r="I255" s="93"/>
      <c r="J255" s="93"/>
      <c r="K255" s="93"/>
      <c r="L255" s="93"/>
      <c r="M255" s="93"/>
      <c r="N255" s="93"/>
      <c r="O255" s="93"/>
      <c r="P255" s="93"/>
      <c r="Q255" s="93"/>
      <c r="R255" s="93"/>
      <c r="S255" s="93"/>
      <c r="T255" s="93"/>
      <c r="U255" s="93"/>
      <c r="V255" s="93"/>
      <c r="W255" s="93"/>
      <c r="X255" s="93"/>
      <c r="Y255" s="93"/>
    </row>
    <row r="256" ht="15.75" customHeight="1">
      <c r="A256" s="140" t="s">
        <v>695</v>
      </c>
      <c r="B256" s="165">
        <v>44756.0</v>
      </c>
      <c r="C256" s="165">
        <v>44770.0</v>
      </c>
      <c r="D256" s="140" t="s">
        <v>729</v>
      </c>
      <c r="E256" s="166" t="s">
        <v>379</v>
      </c>
      <c r="F256" s="166" t="s">
        <v>96</v>
      </c>
      <c r="G256" s="166" t="s">
        <v>115</v>
      </c>
      <c r="H256" s="168">
        <v>0.2</v>
      </c>
      <c r="I256" s="93"/>
      <c r="J256" s="93"/>
      <c r="K256" s="93"/>
      <c r="L256" s="93"/>
      <c r="M256" s="93"/>
      <c r="N256" s="93"/>
      <c r="O256" s="93"/>
      <c r="P256" s="93"/>
      <c r="Q256" s="93"/>
      <c r="R256" s="93"/>
      <c r="S256" s="93"/>
      <c r="T256" s="93"/>
      <c r="U256" s="93"/>
      <c r="V256" s="93"/>
      <c r="W256" s="93"/>
      <c r="X256" s="93"/>
      <c r="Y256" s="93"/>
    </row>
    <row r="257" ht="15.75" customHeight="1">
      <c r="A257" s="140" t="s">
        <v>695</v>
      </c>
      <c r="B257" s="165">
        <v>44756.0</v>
      </c>
      <c r="C257" s="165">
        <v>44770.0</v>
      </c>
      <c r="D257" s="140" t="s">
        <v>729</v>
      </c>
      <c r="E257" s="166" t="s">
        <v>381</v>
      </c>
      <c r="F257" s="166" t="s">
        <v>96</v>
      </c>
      <c r="G257" s="166" t="s">
        <v>544</v>
      </c>
      <c r="H257" s="168">
        <v>0.1</v>
      </c>
      <c r="I257" s="93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93"/>
      <c r="X257" s="93"/>
      <c r="Y257" s="93"/>
    </row>
    <row r="258" ht="15.75" customHeight="1">
      <c r="A258" s="140" t="s">
        <v>695</v>
      </c>
      <c r="B258" s="165">
        <v>44827.0</v>
      </c>
      <c r="C258" s="165">
        <v>44837.0</v>
      </c>
      <c r="D258" s="140" t="s">
        <v>731</v>
      </c>
      <c r="E258" s="166" t="s">
        <v>239</v>
      </c>
      <c r="F258" s="166" t="s">
        <v>89</v>
      </c>
      <c r="G258" s="166" t="s">
        <v>130</v>
      </c>
      <c r="H258" s="168">
        <v>0.5</v>
      </c>
      <c r="I258" s="93"/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  <c r="W258" s="93"/>
      <c r="X258" s="93"/>
      <c r="Y258" s="93"/>
    </row>
    <row r="259" ht="15.75" customHeight="1">
      <c r="A259" s="140" t="s">
        <v>695</v>
      </c>
      <c r="B259" s="165">
        <v>44827.0</v>
      </c>
      <c r="C259" s="165">
        <v>44837.0</v>
      </c>
      <c r="D259" s="140" t="s">
        <v>731</v>
      </c>
      <c r="E259" s="166" t="s">
        <v>384</v>
      </c>
      <c r="F259" s="166" t="s">
        <v>132</v>
      </c>
      <c r="G259" s="166" t="s">
        <v>89</v>
      </c>
      <c r="H259" s="168">
        <v>0.5</v>
      </c>
      <c r="I259" s="93"/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93"/>
      <c r="X259" s="93"/>
      <c r="Y259" s="93"/>
    </row>
    <row r="260" ht="15.75" customHeight="1">
      <c r="A260" s="140" t="s">
        <v>695</v>
      </c>
      <c r="B260" s="165">
        <v>44827.0</v>
      </c>
      <c r="C260" s="165">
        <v>44837.0</v>
      </c>
      <c r="D260" s="140" t="s">
        <v>731</v>
      </c>
      <c r="E260" s="166" t="s">
        <v>253</v>
      </c>
      <c r="F260" s="166" t="s">
        <v>179</v>
      </c>
      <c r="G260" s="166" t="s">
        <v>624</v>
      </c>
      <c r="H260" s="168">
        <v>0.33</v>
      </c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93"/>
      <c r="X260" s="93"/>
      <c r="Y260" s="93"/>
    </row>
    <row r="261" ht="15.75" customHeight="1">
      <c r="A261" s="140" t="s">
        <v>695</v>
      </c>
      <c r="B261" s="165">
        <v>44827.0</v>
      </c>
      <c r="C261" s="165">
        <v>44837.0</v>
      </c>
      <c r="D261" s="140" t="s">
        <v>731</v>
      </c>
      <c r="E261" s="166" t="s">
        <v>260</v>
      </c>
      <c r="F261" s="166" t="s">
        <v>96</v>
      </c>
      <c r="G261" s="166" t="s">
        <v>115</v>
      </c>
      <c r="H261" s="168">
        <v>0.2</v>
      </c>
      <c r="I261" s="93"/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  <c r="W261" s="93"/>
      <c r="X261" s="93"/>
      <c r="Y261" s="93"/>
    </row>
    <row r="262" ht="15.75" customHeight="1">
      <c r="A262" s="140" t="s">
        <v>695</v>
      </c>
      <c r="B262" s="165">
        <v>44827.0</v>
      </c>
      <c r="C262" s="165">
        <v>44837.0</v>
      </c>
      <c r="D262" s="140" t="s">
        <v>731</v>
      </c>
      <c r="E262" s="166" t="s">
        <v>266</v>
      </c>
      <c r="F262" s="166" t="s">
        <v>96</v>
      </c>
      <c r="G262" s="166" t="s">
        <v>96</v>
      </c>
      <c r="H262" s="168">
        <v>0.1</v>
      </c>
      <c r="I262" s="93"/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  <c r="W262" s="93"/>
      <c r="X262" s="93"/>
      <c r="Y262" s="93"/>
    </row>
    <row r="263" ht="15.75" customHeight="1">
      <c r="A263" s="140" t="s">
        <v>695</v>
      </c>
      <c r="B263" s="165">
        <v>44827.0</v>
      </c>
      <c r="C263" s="165">
        <v>44837.0</v>
      </c>
      <c r="D263" s="140" t="s">
        <v>731</v>
      </c>
      <c r="E263" s="166" t="s">
        <v>274</v>
      </c>
      <c r="F263" s="166" t="s">
        <v>627</v>
      </c>
      <c r="G263" s="166" t="s">
        <v>528</v>
      </c>
      <c r="H263" s="168">
        <v>0.2</v>
      </c>
      <c r="I263" s="93"/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  <c r="W263" s="93"/>
      <c r="X263" s="93"/>
      <c r="Y263" s="93"/>
    </row>
    <row r="264" ht="15.75" customHeight="1">
      <c r="A264" s="140" t="s">
        <v>695</v>
      </c>
      <c r="B264" s="165">
        <v>44827.0</v>
      </c>
      <c r="C264" s="165">
        <v>44837.0</v>
      </c>
      <c r="D264" s="140" t="s">
        <v>731</v>
      </c>
      <c r="E264" s="166" t="s">
        <v>628</v>
      </c>
      <c r="F264" s="166" t="s">
        <v>169</v>
      </c>
      <c r="G264" s="166" t="s">
        <v>170</v>
      </c>
      <c r="H264" s="168">
        <v>0.2</v>
      </c>
      <c r="I264" s="93"/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  <c r="W264" s="93"/>
      <c r="X264" s="93"/>
      <c r="Y264" s="93"/>
    </row>
    <row r="265" ht="15.75" customHeight="1">
      <c r="A265" s="101"/>
      <c r="B265" s="101"/>
      <c r="C265" s="101"/>
      <c r="D265" s="101"/>
      <c r="E265" s="101"/>
      <c r="F265" s="101"/>
      <c r="G265" s="101"/>
      <c r="H265" s="101"/>
      <c r="I265" s="93"/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93"/>
      <c r="X265" s="93"/>
      <c r="Y265" s="93"/>
    </row>
    <row r="266" ht="15.75" customHeight="1">
      <c r="A266" s="140" t="s">
        <v>695</v>
      </c>
      <c r="B266" s="165">
        <v>44887.0</v>
      </c>
      <c r="C266" s="165">
        <v>44894.0</v>
      </c>
      <c r="D266" s="140" t="s">
        <v>732</v>
      </c>
      <c r="E266" s="166" t="s">
        <v>239</v>
      </c>
      <c r="F266" s="166" t="s">
        <v>89</v>
      </c>
      <c r="G266" s="166" t="s">
        <v>130</v>
      </c>
      <c r="H266" s="168">
        <v>0.5</v>
      </c>
      <c r="I266" s="179"/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  <c r="W266" s="93"/>
      <c r="X266" s="93"/>
      <c r="Y266" s="93"/>
    </row>
    <row r="267" ht="15.75" customHeight="1">
      <c r="A267" s="140" t="s">
        <v>695</v>
      </c>
      <c r="B267" s="165">
        <v>44887.0</v>
      </c>
      <c r="C267" s="165">
        <v>44894.0</v>
      </c>
      <c r="D267" s="140" t="s">
        <v>732</v>
      </c>
      <c r="E267" s="166" t="s">
        <v>384</v>
      </c>
      <c r="F267" s="166" t="s">
        <v>132</v>
      </c>
      <c r="G267" s="166" t="s">
        <v>89</v>
      </c>
      <c r="H267" s="168">
        <v>0.5</v>
      </c>
      <c r="I267" s="93"/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  <c r="W267" s="93"/>
      <c r="X267" s="93"/>
      <c r="Y267" s="93"/>
    </row>
    <row r="268" ht="15.75" customHeight="1">
      <c r="A268" s="140" t="s">
        <v>695</v>
      </c>
      <c r="B268" s="165">
        <v>44887.0</v>
      </c>
      <c r="C268" s="165">
        <v>44894.0</v>
      </c>
      <c r="D268" s="140" t="s">
        <v>732</v>
      </c>
      <c r="E268" s="166" t="s">
        <v>253</v>
      </c>
      <c r="F268" s="166" t="s">
        <v>179</v>
      </c>
      <c r="G268" s="166" t="s">
        <v>624</v>
      </c>
      <c r="H268" s="168">
        <v>0.33</v>
      </c>
      <c r="I268" s="93"/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  <c r="W268" s="93"/>
      <c r="X268" s="93"/>
      <c r="Y268" s="93"/>
    </row>
    <row r="269" ht="15.75" customHeight="1">
      <c r="A269" s="140" t="s">
        <v>695</v>
      </c>
      <c r="B269" s="165">
        <v>44887.0</v>
      </c>
      <c r="C269" s="165">
        <v>44894.0</v>
      </c>
      <c r="D269" s="140" t="s">
        <v>732</v>
      </c>
      <c r="E269" s="166" t="s">
        <v>260</v>
      </c>
      <c r="F269" s="166" t="s">
        <v>96</v>
      </c>
      <c r="G269" s="166" t="s">
        <v>115</v>
      </c>
      <c r="H269" s="168">
        <v>0.2</v>
      </c>
      <c r="I269" s="93"/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3"/>
      <c r="U269" s="93"/>
      <c r="V269" s="93"/>
      <c r="W269" s="93"/>
      <c r="X269" s="93"/>
      <c r="Y269" s="93"/>
    </row>
    <row r="270" ht="15.75" customHeight="1">
      <c r="A270" s="140" t="s">
        <v>695</v>
      </c>
      <c r="B270" s="165">
        <v>44887.0</v>
      </c>
      <c r="C270" s="165">
        <v>44894.0</v>
      </c>
      <c r="D270" s="140" t="s">
        <v>732</v>
      </c>
      <c r="E270" s="166" t="s">
        <v>266</v>
      </c>
      <c r="F270" s="166" t="s">
        <v>96</v>
      </c>
      <c r="G270" s="166" t="s">
        <v>96</v>
      </c>
      <c r="H270" s="168">
        <v>0.1</v>
      </c>
      <c r="I270" s="93"/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  <c r="W270" s="93"/>
      <c r="X270" s="93"/>
      <c r="Y270" s="93"/>
    </row>
    <row r="271" ht="15.75" customHeight="1">
      <c r="A271" s="140" t="s">
        <v>695</v>
      </c>
      <c r="B271" s="165">
        <v>44887.0</v>
      </c>
      <c r="C271" s="165">
        <v>44894.0</v>
      </c>
      <c r="D271" s="140" t="s">
        <v>732</v>
      </c>
      <c r="E271" s="166" t="s">
        <v>274</v>
      </c>
      <c r="F271" s="166" t="s">
        <v>627</v>
      </c>
      <c r="G271" s="166" t="s">
        <v>528</v>
      </c>
      <c r="H271" s="168">
        <v>0.2</v>
      </c>
      <c r="I271" s="93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  <c r="W271" s="93"/>
      <c r="X271" s="93"/>
      <c r="Y271" s="93"/>
    </row>
    <row r="272" ht="15.75" customHeight="1">
      <c r="A272" s="140" t="s">
        <v>695</v>
      </c>
      <c r="B272" s="165">
        <v>44887.0</v>
      </c>
      <c r="C272" s="165">
        <v>44894.0</v>
      </c>
      <c r="D272" s="140" t="s">
        <v>732</v>
      </c>
      <c r="E272" s="166" t="s">
        <v>628</v>
      </c>
      <c r="F272" s="166" t="s">
        <v>169</v>
      </c>
      <c r="G272" s="166" t="s">
        <v>170</v>
      </c>
      <c r="H272" s="168">
        <v>0.2</v>
      </c>
      <c r="I272" s="93"/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3"/>
      <c r="U272" s="93"/>
      <c r="V272" s="93"/>
      <c r="W272" s="93"/>
      <c r="X272" s="93"/>
      <c r="Y272" s="93"/>
    </row>
    <row r="273" ht="15.75" customHeight="1">
      <c r="A273" s="101"/>
      <c r="B273" s="101"/>
      <c r="C273" s="101"/>
      <c r="D273" s="101"/>
      <c r="E273" s="101"/>
      <c r="F273" s="101"/>
      <c r="G273" s="101"/>
      <c r="H273" s="101"/>
      <c r="I273" s="93"/>
      <c r="J273" s="93"/>
      <c r="K273" s="93"/>
      <c r="L273" s="93"/>
      <c r="M273" s="93"/>
      <c r="N273" s="93"/>
      <c r="O273" s="93"/>
      <c r="P273" s="93"/>
      <c r="Q273" s="93"/>
      <c r="R273" s="93"/>
      <c r="S273" s="93"/>
      <c r="T273" s="93"/>
      <c r="U273" s="93"/>
      <c r="V273" s="93"/>
      <c r="W273" s="93"/>
      <c r="X273" s="93"/>
      <c r="Y273" s="93"/>
    </row>
    <row r="274" ht="15.75" customHeight="1">
      <c r="A274" s="140" t="s">
        <v>695</v>
      </c>
      <c r="B274" s="165">
        <v>44903.0</v>
      </c>
      <c r="C274" s="165">
        <v>44905.0</v>
      </c>
      <c r="D274" s="140" t="s">
        <v>733</v>
      </c>
      <c r="E274" s="166" t="s">
        <v>239</v>
      </c>
      <c r="F274" s="166" t="s">
        <v>89</v>
      </c>
      <c r="G274" s="166" t="s">
        <v>130</v>
      </c>
      <c r="H274" s="168">
        <v>0.5</v>
      </c>
      <c r="I274" s="179"/>
      <c r="J274" s="93"/>
      <c r="K274" s="93"/>
      <c r="L274" s="93"/>
      <c r="M274" s="93"/>
      <c r="N274" s="93"/>
      <c r="O274" s="93"/>
      <c r="P274" s="93"/>
      <c r="Q274" s="93"/>
      <c r="R274" s="93"/>
      <c r="S274" s="93"/>
      <c r="T274" s="93"/>
      <c r="U274" s="93"/>
      <c r="V274" s="93"/>
      <c r="W274" s="93"/>
      <c r="X274" s="93"/>
      <c r="Y274" s="93"/>
    </row>
    <row r="275" ht="15.75" customHeight="1">
      <c r="A275" s="140" t="s">
        <v>695</v>
      </c>
      <c r="B275" s="165">
        <v>44903.0</v>
      </c>
      <c r="C275" s="165">
        <v>44905.0</v>
      </c>
      <c r="D275" s="140" t="s">
        <v>733</v>
      </c>
      <c r="E275" s="166" t="s">
        <v>384</v>
      </c>
      <c r="F275" s="166" t="s">
        <v>132</v>
      </c>
      <c r="G275" s="166" t="s">
        <v>89</v>
      </c>
      <c r="H275" s="168">
        <v>0.5</v>
      </c>
      <c r="I275" s="93"/>
      <c r="J275" s="93"/>
      <c r="K275" s="93"/>
      <c r="L275" s="93"/>
      <c r="M275" s="93"/>
      <c r="N275" s="93"/>
      <c r="O275" s="93"/>
      <c r="P275" s="93"/>
      <c r="Q275" s="93"/>
      <c r="R275" s="93"/>
      <c r="S275" s="93"/>
      <c r="T275" s="93"/>
      <c r="U275" s="93"/>
      <c r="V275" s="93"/>
      <c r="W275" s="93"/>
      <c r="X275" s="93"/>
      <c r="Y275" s="93"/>
    </row>
    <row r="276" ht="15.75" customHeight="1">
      <c r="A276" s="140" t="s">
        <v>695</v>
      </c>
      <c r="B276" s="165">
        <v>44903.0</v>
      </c>
      <c r="C276" s="165">
        <v>44905.0</v>
      </c>
      <c r="D276" s="140" t="s">
        <v>733</v>
      </c>
      <c r="E276" s="166" t="s">
        <v>253</v>
      </c>
      <c r="F276" s="166" t="s">
        <v>179</v>
      </c>
      <c r="G276" s="166" t="s">
        <v>624</v>
      </c>
      <c r="H276" s="168">
        <v>0.33</v>
      </c>
      <c r="I276" s="93"/>
      <c r="J276" s="93"/>
      <c r="K276" s="93"/>
      <c r="L276" s="93"/>
      <c r="M276" s="93"/>
      <c r="N276" s="93"/>
      <c r="O276" s="93"/>
      <c r="P276" s="93"/>
      <c r="Q276" s="93"/>
      <c r="R276" s="93"/>
      <c r="S276" s="93"/>
      <c r="T276" s="93"/>
      <c r="U276" s="93"/>
      <c r="V276" s="93"/>
      <c r="W276" s="93"/>
      <c r="X276" s="93"/>
      <c r="Y276" s="93"/>
    </row>
    <row r="277" ht="15.75" customHeight="1">
      <c r="A277" s="140" t="s">
        <v>695</v>
      </c>
      <c r="B277" s="165">
        <v>44903.0</v>
      </c>
      <c r="C277" s="165">
        <v>44905.0</v>
      </c>
      <c r="D277" s="140" t="s">
        <v>733</v>
      </c>
      <c r="E277" s="166" t="s">
        <v>260</v>
      </c>
      <c r="F277" s="166" t="s">
        <v>96</v>
      </c>
      <c r="G277" s="166" t="s">
        <v>115</v>
      </c>
      <c r="H277" s="168">
        <v>0.2</v>
      </c>
      <c r="I277" s="93"/>
      <c r="J277" s="93"/>
      <c r="K277" s="93"/>
      <c r="L277" s="93"/>
      <c r="M277" s="93"/>
      <c r="N277" s="93"/>
      <c r="O277" s="93"/>
      <c r="P277" s="93"/>
      <c r="Q277" s="93"/>
      <c r="R277" s="93"/>
      <c r="S277" s="93"/>
      <c r="T277" s="93"/>
      <c r="U277" s="93"/>
      <c r="V277" s="93"/>
      <c r="W277" s="93"/>
      <c r="X277" s="93"/>
      <c r="Y277" s="93"/>
    </row>
    <row r="278" ht="15.75" customHeight="1">
      <c r="A278" s="140" t="s">
        <v>695</v>
      </c>
      <c r="B278" s="165">
        <v>44903.0</v>
      </c>
      <c r="C278" s="165">
        <v>44905.0</v>
      </c>
      <c r="D278" s="140" t="s">
        <v>733</v>
      </c>
      <c r="E278" s="166" t="s">
        <v>266</v>
      </c>
      <c r="F278" s="166" t="s">
        <v>96</v>
      </c>
      <c r="G278" s="166" t="s">
        <v>96</v>
      </c>
      <c r="H278" s="168">
        <v>0.1</v>
      </c>
      <c r="I278" s="93"/>
      <c r="J278" s="93"/>
      <c r="K278" s="93"/>
      <c r="L278" s="93"/>
      <c r="M278" s="93"/>
      <c r="N278" s="93"/>
      <c r="O278" s="93"/>
      <c r="P278" s="93"/>
      <c r="Q278" s="93"/>
      <c r="R278" s="93"/>
      <c r="S278" s="93"/>
      <c r="T278" s="93"/>
      <c r="U278" s="93"/>
      <c r="V278" s="93"/>
      <c r="W278" s="93"/>
      <c r="X278" s="93"/>
      <c r="Y278" s="93"/>
    </row>
    <row r="279" ht="15.75" customHeight="1">
      <c r="A279" s="140" t="s">
        <v>695</v>
      </c>
      <c r="B279" s="165">
        <v>44903.0</v>
      </c>
      <c r="C279" s="165">
        <v>44905.0</v>
      </c>
      <c r="D279" s="140" t="s">
        <v>733</v>
      </c>
      <c r="E279" s="166" t="s">
        <v>274</v>
      </c>
      <c r="F279" s="166" t="s">
        <v>627</v>
      </c>
      <c r="G279" s="166" t="s">
        <v>528</v>
      </c>
      <c r="H279" s="168">
        <v>0.2</v>
      </c>
      <c r="I279" s="93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  <c r="W279" s="93"/>
      <c r="X279" s="93"/>
      <c r="Y279" s="93"/>
    </row>
    <row r="280" ht="15.75" customHeight="1">
      <c r="A280" s="140" t="s">
        <v>695</v>
      </c>
      <c r="B280" s="165">
        <v>44903.0</v>
      </c>
      <c r="C280" s="165">
        <v>44905.0</v>
      </c>
      <c r="D280" s="140" t="s">
        <v>733</v>
      </c>
      <c r="E280" s="166" t="s">
        <v>628</v>
      </c>
      <c r="F280" s="166" t="s">
        <v>169</v>
      </c>
      <c r="G280" s="166" t="s">
        <v>170</v>
      </c>
      <c r="H280" s="168">
        <v>0.2</v>
      </c>
      <c r="I280" s="93"/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  <c r="W280" s="93"/>
      <c r="X280" s="93"/>
      <c r="Y280" s="93"/>
    </row>
    <row r="281" ht="15.75" customHeight="1">
      <c r="A281" s="101"/>
      <c r="B281" s="101"/>
      <c r="C281" s="101"/>
      <c r="D281" s="101"/>
      <c r="E281" s="101"/>
      <c r="F281" s="101"/>
      <c r="G281" s="101"/>
      <c r="H281" s="101"/>
      <c r="I281" s="93"/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  <c r="W281" s="93"/>
      <c r="X281" s="93"/>
      <c r="Y281" s="93"/>
    </row>
    <row r="282" ht="15.75" customHeight="1">
      <c r="A282" s="9">
        <v>2023.0</v>
      </c>
      <c r="I282" s="93"/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3"/>
      <c r="U282" s="93"/>
      <c r="V282" s="93"/>
      <c r="W282" s="93"/>
      <c r="X282" s="93"/>
      <c r="Y282" s="93"/>
    </row>
    <row r="283" ht="15.75" customHeight="1">
      <c r="A283" s="140" t="s">
        <v>695</v>
      </c>
      <c r="B283" s="165">
        <v>44959.0</v>
      </c>
      <c r="C283" s="165">
        <v>44973.0</v>
      </c>
      <c r="D283" s="140" t="s">
        <v>698</v>
      </c>
      <c r="E283" s="166" t="s">
        <v>239</v>
      </c>
      <c r="F283" s="184">
        <v>29.99</v>
      </c>
      <c r="G283" s="184">
        <f t="shared" ref="G283:G289" si="3">F283*(1-H283)</f>
        <v>14.995</v>
      </c>
      <c r="H283" s="168">
        <v>0.5</v>
      </c>
      <c r="I283" s="93"/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  <c r="W283" s="93"/>
      <c r="X283" s="93"/>
      <c r="Y283" s="93"/>
    </row>
    <row r="284" ht="15.75" customHeight="1">
      <c r="A284" s="140" t="s">
        <v>695</v>
      </c>
      <c r="B284" s="165">
        <v>44959.0</v>
      </c>
      <c r="C284" s="165">
        <v>44973.0</v>
      </c>
      <c r="D284" s="140" t="s">
        <v>698</v>
      </c>
      <c r="E284" s="166" t="s">
        <v>384</v>
      </c>
      <c r="F284" s="184">
        <v>59.99</v>
      </c>
      <c r="G284" s="184">
        <f t="shared" si="3"/>
        <v>29.995</v>
      </c>
      <c r="H284" s="168">
        <v>0.5</v>
      </c>
      <c r="I284" s="93"/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3"/>
      <c r="U284" s="93"/>
      <c r="V284" s="93"/>
      <c r="W284" s="93"/>
      <c r="X284" s="93"/>
      <c r="Y284" s="93"/>
    </row>
    <row r="285" ht="15.75" customHeight="1">
      <c r="A285" s="140" t="s">
        <v>695</v>
      </c>
      <c r="B285" s="165">
        <v>44959.0</v>
      </c>
      <c r="C285" s="165">
        <v>44973.0</v>
      </c>
      <c r="D285" s="140" t="s">
        <v>698</v>
      </c>
      <c r="E285" s="166" t="s">
        <v>253</v>
      </c>
      <c r="F285" s="184">
        <v>69.99</v>
      </c>
      <c r="G285" s="184">
        <f t="shared" si="3"/>
        <v>39.8943</v>
      </c>
      <c r="H285" s="168">
        <v>0.43</v>
      </c>
      <c r="I285" s="93"/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  <c r="W285" s="93"/>
      <c r="X285" s="93"/>
      <c r="Y285" s="93"/>
    </row>
    <row r="286" ht="15.75" customHeight="1">
      <c r="A286" s="140" t="s">
        <v>695</v>
      </c>
      <c r="B286" s="165">
        <v>44959.0</v>
      </c>
      <c r="C286" s="165">
        <v>44973.0</v>
      </c>
      <c r="D286" s="140" t="s">
        <v>698</v>
      </c>
      <c r="E286" s="166" t="s">
        <v>260</v>
      </c>
      <c r="F286" s="184">
        <v>34.99</v>
      </c>
      <c r="G286" s="184">
        <f t="shared" si="3"/>
        <v>26.2425</v>
      </c>
      <c r="H286" s="168">
        <v>0.25</v>
      </c>
      <c r="I286" s="93"/>
      <c r="J286" s="93"/>
      <c r="K286" s="93"/>
      <c r="L286" s="93"/>
      <c r="M286" s="93"/>
      <c r="N286" s="93"/>
      <c r="O286" s="93"/>
      <c r="P286" s="93"/>
      <c r="Q286" s="93"/>
      <c r="R286" s="93"/>
      <c r="S286" s="93"/>
      <c r="T286" s="93"/>
      <c r="U286" s="93"/>
      <c r="V286" s="93"/>
      <c r="W286" s="93"/>
      <c r="X286" s="93"/>
      <c r="Y286" s="93"/>
    </row>
    <row r="287" ht="15.75" customHeight="1">
      <c r="A287" s="140" t="s">
        <v>695</v>
      </c>
      <c r="B287" s="165">
        <v>44959.0</v>
      </c>
      <c r="C287" s="165">
        <v>44973.0</v>
      </c>
      <c r="D287" s="140" t="s">
        <v>698</v>
      </c>
      <c r="E287" s="166" t="s">
        <v>266</v>
      </c>
      <c r="F287" s="184">
        <v>34.99</v>
      </c>
      <c r="G287" s="184">
        <f t="shared" si="3"/>
        <v>27.992</v>
      </c>
      <c r="H287" s="168">
        <v>0.2</v>
      </c>
      <c r="I287" s="93"/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  <c r="W287" s="93"/>
      <c r="X287" s="93"/>
      <c r="Y287" s="93"/>
    </row>
    <row r="288" ht="15.75" customHeight="1">
      <c r="A288" s="140" t="s">
        <v>695</v>
      </c>
      <c r="B288" s="165">
        <v>44959.0</v>
      </c>
      <c r="C288" s="165">
        <v>44973.0</v>
      </c>
      <c r="D288" s="140" t="s">
        <v>698</v>
      </c>
      <c r="E288" s="166" t="s">
        <v>274</v>
      </c>
      <c r="F288" s="184">
        <v>54.99</v>
      </c>
      <c r="G288" s="184">
        <f t="shared" si="3"/>
        <v>41.2425</v>
      </c>
      <c r="H288" s="168">
        <v>0.25</v>
      </c>
      <c r="I288" s="93"/>
      <c r="J288" s="93"/>
      <c r="K288" s="93"/>
      <c r="L288" s="93"/>
      <c r="M288" s="93"/>
      <c r="N288" s="93"/>
      <c r="O288" s="93"/>
      <c r="P288" s="93"/>
      <c r="Q288" s="93"/>
      <c r="R288" s="93"/>
      <c r="S288" s="93"/>
      <c r="T288" s="93"/>
      <c r="U288" s="93"/>
      <c r="V288" s="93"/>
      <c r="W288" s="93"/>
      <c r="X288" s="93"/>
      <c r="Y288" s="93"/>
    </row>
    <row r="289" ht="15.75" customHeight="1">
      <c r="A289" s="140" t="s">
        <v>695</v>
      </c>
      <c r="B289" s="165">
        <v>44959.0</v>
      </c>
      <c r="C289" s="165">
        <v>44973.0</v>
      </c>
      <c r="D289" s="140" t="s">
        <v>698</v>
      </c>
      <c r="E289" s="166" t="s">
        <v>628</v>
      </c>
      <c r="F289" s="184">
        <v>9.99</v>
      </c>
      <c r="G289" s="184">
        <f t="shared" si="3"/>
        <v>7.992</v>
      </c>
      <c r="H289" s="168">
        <v>0.2</v>
      </c>
      <c r="I289" s="93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  <c r="W289" s="93"/>
      <c r="X289" s="93"/>
      <c r="Y289" s="93"/>
    </row>
    <row r="290" ht="15.75" customHeight="1">
      <c r="A290" s="101"/>
      <c r="B290" s="101"/>
      <c r="C290" s="101"/>
      <c r="D290" s="101"/>
      <c r="E290" s="101"/>
      <c r="F290" s="101"/>
      <c r="G290" s="101"/>
      <c r="H290" s="101"/>
      <c r="I290" s="93"/>
      <c r="J290" s="93"/>
      <c r="K290" s="93"/>
      <c r="L290" s="93"/>
      <c r="M290" s="93"/>
      <c r="N290" s="93"/>
      <c r="O290" s="93"/>
      <c r="P290" s="93"/>
      <c r="Q290" s="93"/>
      <c r="R290" s="93"/>
      <c r="S290" s="93"/>
      <c r="T290" s="93"/>
      <c r="U290" s="93"/>
      <c r="V290" s="93"/>
      <c r="W290" s="93"/>
      <c r="X290" s="93"/>
      <c r="Y290" s="93"/>
    </row>
    <row r="291" ht="15.75" customHeight="1">
      <c r="A291" s="170" t="s">
        <v>695</v>
      </c>
      <c r="B291" s="169">
        <v>44994.0</v>
      </c>
      <c r="C291" s="169">
        <v>45001.0</v>
      </c>
      <c r="D291" s="170" t="s">
        <v>712</v>
      </c>
      <c r="E291" s="185" t="s">
        <v>239</v>
      </c>
      <c r="F291" s="186">
        <v>29.99</v>
      </c>
      <c r="G291" s="186">
        <f t="shared" ref="G291:G297" si="4">F291*(1-H291)</f>
        <v>14.995</v>
      </c>
      <c r="H291" s="188">
        <v>0.5</v>
      </c>
      <c r="I291" s="179" t="s">
        <v>734</v>
      </c>
      <c r="J291" s="93"/>
      <c r="K291" s="93"/>
      <c r="L291" s="93"/>
      <c r="M291" s="93"/>
      <c r="N291" s="93"/>
      <c r="O291" s="93"/>
      <c r="P291" s="93"/>
      <c r="Q291" s="93"/>
      <c r="R291" s="93"/>
      <c r="S291" s="93"/>
      <c r="T291" s="93"/>
      <c r="U291" s="93"/>
      <c r="V291" s="93"/>
      <c r="W291" s="93"/>
      <c r="X291" s="93"/>
      <c r="Y291" s="93"/>
    </row>
    <row r="292" ht="15.75" customHeight="1">
      <c r="A292" s="170" t="s">
        <v>695</v>
      </c>
      <c r="B292" s="169">
        <v>44994.0</v>
      </c>
      <c r="C292" s="169">
        <v>45001.0</v>
      </c>
      <c r="D292" s="170" t="s">
        <v>712</v>
      </c>
      <c r="E292" s="185" t="s">
        <v>384</v>
      </c>
      <c r="F292" s="186">
        <v>59.99</v>
      </c>
      <c r="G292" s="186">
        <f t="shared" si="4"/>
        <v>29.995</v>
      </c>
      <c r="H292" s="188">
        <v>0.5</v>
      </c>
      <c r="I292" s="93"/>
      <c r="J292" s="93"/>
      <c r="K292" s="93"/>
      <c r="L292" s="93"/>
      <c r="M292" s="93"/>
      <c r="N292" s="93"/>
      <c r="O292" s="93"/>
      <c r="P292" s="93"/>
      <c r="Q292" s="93"/>
      <c r="R292" s="93"/>
      <c r="S292" s="93"/>
      <c r="T292" s="93"/>
      <c r="U292" s="93"/>
      <c r="V292" s="93"/>
      <c r="W292" s="93"/>
      <c r="X292" s="93"/>
      <c r="Y292" s="93"/>
    </row>
    <row r="293" ht="15.75" customHeight="1">
      <c r="A293" s="170" t="s">
        <v>695</v>
      </c>
      <c r="B293" s="169">
        <v>44994.0</v>
      </c>
      <c r="C293" s="169">
        <v>45001.0</v>
      </c>
      <c r="D293" s="170" t="s">
        <v>712</v>
      </c>
      <c r="E293" s="185" t="s">
        <v>253</v>
      </c>
      <c r="F293" s="186">
        <v>69.99</v>
      </c>
      <c r="G293" s="186">
        <f t="shared" si="4"/>
        <v>39.8943</v>
      </c>
      <c r="H293" s="188">
        <v>0.43</v>
      </c>
      <c r="I293" s="93"/>
      <c r="J293" s="93"/>
      <c r="K293" s="93"/>
      <c r="L293" s="93"/>
      <c r="M293" s="93"/>
      <c r="N293" s="93"/>
      <c r="O293" s="93"/>
      <c r="P293" s="93"/>
      <c r="Q293" s="93"/>
      <c r="R293" s="93"/>
      <c r="S293" s="93"/>
      <c r="T293" s="93"/>
      <c r="U293" s="93"/>
      <c r="V293" s="93"/>
      <c r="W293" s="93"/>
      <c r="X293" s="93"/>
      <c r="Y293" s="93"/>
    </row>
    <row r="294" ht="15.75" customHeight="1">
      <c r="A294" s="170" t="s">
        <v>695</v>
      </c>
      <c r="B294" s="169">
        <v>44994.0</v>
      </c>
      <c r="C294" s="169">
        <v>45001.0</v>
      </c>
      <c r="D294" s="170" t="s">
        <v>712</v>
      </c>
      <c r="E294" s="185" t="s">
        <v>260</v>
      </c>
      <c r="F294" s="186">
        <v>34.99</v>
      </c>
      <c r="G294" s="186">
        <f t="shared" si="4"/>
        <v>26.2425</v>
      </c>
      <c r="H294" s="188">
        <v>0.25</v>
      </c>
      <c r="I294" s="93"/>
      <c r="J294" s="93"/>
      <c r="K294" s="93"/>
      <c r="L294" s="93"/>
      <c r="M294" s="93"/>
      <c r="N294" s="93"/>
      <c r="O294" s="93"/>
      <c r="P294" s="93"/>
      <c r="Q294" s="93"/>
      <c r="R294" s="93"/>
      <c r="S294" s="93"/>
      <c r="T294" s="93"/>
      <c r="U294" s="93"/>
      <c r="V294" s="93"/>
      <c r="W294" s="93"/>
      <c r="X294" s="93"/>
      <c r="Y294" s="93"/>
    </row>
    <row r="295" ht="15.75" customHeight="1">
      <c r="A295" s="170" t="s">
        <v>695</v>
      </c>
      <c r="B295" s="169">
        <v>44994.0</v>
      </c>
      <c r="C295" s="169">
        <v>45001.0</v>
      </c>
      <c r="D295" s="170" t="s">
        <v>712</v>
      </c>
      <c r="E295" s="185" t="s">
        <v>266</v>
      </c>
      <c r="F295" s="186">
        <v>34.99</v>
      </c>
      <c r="G295" s="186">
        <f t="shared" si="4"/>
        <v>27.992</v>
      </c>
      <c r="H295" s="188">
        <v>0.2</v>
      </c>
      <c r="I295" s="93"/>
      <c r="J295" s="93"/>
      <c r="K295" s="93"/>
      <c r="L295" s="93"/>
      <c r="M295" s="93"/>
      <c r="N295" s="93"/>
      <c r="O295" s="93"/>
      <c r="P295" s="93"/>
      <c r="Q295" s="93"/>
      <c r="R295" s="93"/>
      <c r="S295" s="93"/>
      <c r="T295" s="93"/>
      <c r="U295" s="93"/>
      <c r="V295" s="93"/>
      <c r="W295" s="93"/>
      <c r="X295" s="93"/>
      <c r="Y295" s="93"/>
    </row>
    <row r="296" ht="15.75" customHeight="1">
      <c r="A296" s="170" t="s">
        <v>695</v>
      </c>
      <c r="B296" s="169">
        <v>44994.0</v>
      </c>
      <c r="C296" s="169">
        <v>45001.0</v>
      </c>
      <c r="D296" s="170" t="s">
        <v>712</v>
      </c>
      <c r="E296" s="185" t="s">
        <v>274</v>
      </c>
      <c r="F296" s="186">
        <v>54.99</v>
      </c>
      <c r="G296" s="186">
        <f t="shared" si="4"/>
        <v>41.2425</v>
      </c>
      <c r="H296" s="188">
        <v>0.25</v>
      </c>
      <c r="I296" s="93"/>
      <c r="J296" s="93"/>
      <c r="K296" s="93"/>
      <c r="L296" s="93"/>
      <c r="M296" s="93"/>
      <c r="N296" s="93"/>
      <c r="O296" s="93"/>
      <c r="P296" s="93"/>
      <c r="Q296" s="93"/>
      <c r="R296" s="93"/>
      <c r="S296" s="93"/>
      <c r="T296" s="93"/>
      <c r="U296" s="93"/>
      <c r="V296" s="93"/>
      <c r="W296" s="93"/>
      <c r="X296" s="93"/>
      <c r="Y296" s="93"/>
    </row>
    <row r="297" ht="15.75" customHeight="1">
      <c r="A297" s="170" t="s">
        <v>695</v>
      </c>
      <c r="B297" s="169">
        <v>44994.0</v>
      </c>
      <c r="C297" s="169">
        <v>45001.0</v>
      </c>
      <c r="D297" s="170" t="s">
        <v>712</v>
      </c>
      <c r="E297" s="185" t="s">
        <v>628</v>
      </c>
      <c r="F297" s="186">
        <v>9.99</v>
      </c>
      <c r="G297" s="186">
        <f t="shared" si="4"/>
        <v>7.992</v>
      </c>
      <c r="H297" s="188">
        <v>0.2</v>
      </c>
      <c r="I297" s="93"/>
      <c r="J297" s="93"/>
      <c r="K297" s="93"/>
      <c r="L297" s="93"/>
      <c r="M297" s="93"/>
      <c r="N297" s="93"/>
      <c r="O297" s="93"/>
      <c r="P297" s="93"/>
      <c r="Q297" s="93"/>
      <c r="R297" s="93"/>
      <c r="S297" s="93"/>
      <c r="T297" s="93"/>
      <c r="U297" s="93"/>
      <c r="V297" s="93"/>
      <c r="W297" s="93"/>
      <c r="X297" s="93"/>
      <c r="Y297" s="93"/>
    </row>
    <row r="298" ht="15.75" customHeight="1">
      <c r="A298" s="172"/>
      <c r="B298" s="172"/>
      <c r="C298" s="172"/>
      <c r="D298" s="172"/>
      <c r="E298" s="172"/>
      <c r="F298" s="173"/>
      <c r="G298" s="173"/>
      <c r="H298" s="173"/>
      <c r="I298" s="192"/>
      <c r="J298" s="192"/>
      <c r="K298" s="192"/>
      <c r="L298" s="192"/>
      <c r="M298" s="192"/>
      <c r="N298" s="192"/>
      <c r="O298" s="192"/>
      <c r="P298" s="192"/>
      <c r="Q298" s="192"/>
      <c r="R298" s="192"/>
      <c r="S298" s="192"/>
      <c r="T298" s="192"/>
      <c r="U298" s="192"/>
      <c r="V298" s="192"/>
      <c r="W298" s="192"/>
      <c r="X298" s="192"/>
      <c r="Y298" s="192"/>
    </row>
    <row r="299" ht="15.75" customHeight="1">
      <c r="A299" s="4" t="s">
        <v>506</v>
      </c>
      <c r="B299" s="4" t="s">
        <v>2</v>
      </c>
      <c r="C299" s="4" t="s">
        <v>6</v>
      </c>
      <c r="D299" s="4" t="s">
        <v>7</v>
      </c>
      <c r="E299" s="4" t="s">
        <v>8</v>
      </c>
      <c r="F299" s="7" t="s">
        <v>9</v>
      </c>
      <c r="G299" s="7" t="s">
        <v>10</v>
      </c>
      <c r="H299" s="7" t="s">
        <v>11</v>
      </c>
      <c r="I299" s="93"/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  <c r="W299" s="93"/>
      <c r="X299" s="93"/>
      <c r="Y299" s="93"/>
    </row>
    <row r="300" ht="15.75" customHeight="1">
      <c r="A300" s="174" t="s">
        <v>715</v>
      </c>
      <c r="B300" s="175">
        <v>44911.0</v>
      </c>
      <c r="C300" s="175">
        <v>44923.0</v>
      </c>
      <c r="D300" s="174" t="s">
        <v>716</v>
      </c>
      <c r="E300" s="193" t="s">
        <v>239</v>
      </c>
      <c r="F300" s="193" t="s">
        <v>89</v>
      </c>
      <c r="G300" s="193" t="s">
        <v>130</v>
      </c>
      <c r="H300" s="194">
        <v>0.5</v>
      </c>
      <c r="I300" s="93"/>
      <c r="J300" s="93"/>
      <c r="K300" s="93"/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/>
    </row>
    <row r="301" ht="15.75" customHeight="1">
      <c r="A301" s="174" t="s">
        <v>715</v>
      </c>
      <c r="B301" s="175">
        <v>44911.0</v>
      </c>
      <c r="C301" s="175">
        <v>44923.0</v>
      </c>
      <c r="D301" s="174" t="s">
        <v>716</v>
      </c>
      <c r="E301" s="193" t="s">
        <v>384</v>
      </c>
      <c r="F301" s="193" t="s">
        <v>132</v>
      </c>
      <c r="G301" s="193" t="s">
        <v>89</v>
      </c>
      <c r="H301" s="194">
        <v>0.5</v>
      </c>
      <c r="I301" s="93"/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  <c r="W301" s="93"/>
      <c r="X301" s="93"/>
      <c r="Y301" s="93"/>
    </row>
    <row r="302" ht="15.75" customHeight="1">
      <c r="A302" s="174" t="s">
        <v>715</v>
      </c>
      <c r="B302" s="175">
        <v>44911.0</v>
      </c>
      <c r="C302" s="175">
        <v>44923.0</v>
      </c>
      <c r="D302" s="174" t="s">
        <v>716</v>
      </c>
      <c r="E302" s="193" t="s">
        <v>253</v>
      </c>
      <c r="F302" s="193" t="s">
        <v>179</v>
      </c>
      <c r="G302" s="193" t="s">
        <v>624</v>
      </c>
      <c r="H302" s="194">
        <v>0.33</v>
      </c>
      <c r="I302" s="93"/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  <c r="W302" s="93"/>
      <c r="X302" s="93"/>
      <c r="Y302" s="93"/>
    </row>
    <row r="303" ht="15.75" customHeight="1">
      <c r="A303" s="101"/>
      <c r="B303" s="101"/>
      <c r="C303" s="101"/>
      <c r="D303" s="101"/>
      <c r="E303" s="101"/>
      <c r="F303" s="101"/>
      <c r="G303" s="101"/>
      <c r="H303" s="101"/>
      <c r="I303" s="93"/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  <c r="W303" s="93"/>
      <c r="X303" s="93"/>
      <c r="Y303" s="93"/>
    </row>
    <row r="304" ht="15.75" customHeight="1">
      <c r="A304" s="101"/>
      <c r="B304" s="101"/>
      <c r="C304" s="101"/>
      <c r="D304" s="101"/>
      <c r="E304" s="101"/>
      <c r="F304" s="101"/>
      <c r="G304" s="101"/>
      <c r="H304" s="101"/>
      <c r="I304" s="93"/>
      <c r="J304" s="93"/>
      <c r="K304" s="93"/>
      <c r="L304" s="93"/>
      <c r="M304" s="93"/>
      <c r="N304" s="93"/>
      <c r="O304" s="93"/>
      <c r="P304" s="93"/>
      <c r="Q304" s="93"/>
      <c r="R304" s="93"/>
      <c r="S304" s="93"/>
      <c r="T304" s="93"/>
      <c r="U304" s="93"/>
      <c r="V304" s="93"/>
      <c r="W304" s="93"/>
      <c r="X304" s="93"/>
      <c r="Y304" s="93"/>
    </row>
    <row r="305" ht="15.75" customHeight="1">
      <c r="A305" s="101"/>
      <c r="B305" s="101"/>
      <c r="C305" s="101"/>
      <c r="D305" s="101"/>
      <c r="E305" s="101"/>
      <c r="F305" s="101"/>
      <c r="G305" s="101"/>
      <c r="H305" s="101"/>
      <c r="I305" s="93"/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  <c r="W305" s="93"/>
      <c r="X305" s="93"/>
      <c r="Y305" s="93"/>
    </row>
    <row r="306" ht="15.75" customHeight="1">
      <c r="A306" s="101"/>
      <c r="B306" s="101"/>
      <c r="C306" s="101"/>
      <c r="D306" s="101"/>
      <c r="E306" s="101"/>
      <c r="F306" s="101"/>
      <c r="G306" s="101"/>
      <c r="H306" s="101"/>
      <c r="I306" s="93"/>
      <c r="J306" s="93"/>
      <c r="K306" s="93"/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3"/>
    </row>
    <row r="307" ht="15.75" customHeight="1">
      <c r="A307" s="101"/>
      <c r="B307" s="101"/>
      <c r="C307" s="101"/>
      <c r="D307" s="101"/>
      <c r="E307" s="101"/>
      <c r="F307" s="101"/>
      <c r="G307" s="101"/>
      <c r="H307" s="101"/>
      <c r="I307" s="93"/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  <c r="W307" s="93"/>
      <c r="X307" s="93"/>
      <c r="Y307" s="93"/>
    </row>
    <row r="308" ht="15.75" customHeight="1">
      <c r="A308" s="101"/>
      <c r="B308" s="101"/>
      <c r="C308" s="101"/>
      <c r="D308" s="101"/>
      <c r="E308" s="101"/>
      <c r="F308" s="101"/>
      <c r="G308" s="101"/>
      <c r="H308" s="101"/>
      <c r="I308" s="93"/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  <c r="W308" s="93"/>
      <c r="X308" s="93"/>
      <c r="Y308" s="93"/>
    </row>
    <row r="309" ht="15.75" customHeight="1">
      <c r="A309" s="101"/>
      <c r="B309" s="101"/>
      <c r="C309" s="101"/>
      <c r="D309" s="101"/>
      <c r="E309" s="101"/>
      <c r="F309" s="101"/>
      <c r="G309" s="101"/>
      <c r="H309" s="101"/>
      <c r="I309" s="93"/>
      <c r="J309" s="93"/>
      <c r="K309" s="93"/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93"/>
      <c r="W309" s="93"/>
      <c r="X309" s="93"/>
      <c r="Y309" s="93"/>
    </row>
    <row r="310" ht="15.75" customHeight="1">
      <c r="A310" s="101"/>
      <c r="B310" s="101"/>
      <c r="C310" s="101"/>
      <c r="D310" s="101"/>
      <c r="E310" s="101"/>
      <c r="F310" s="101"/>
      <c r="G310" s="101"/>
      <c r="H310" s="101"/>
      <c r="I310" s="93"/>
      <c r="J310" s="93"/>
      <c r="K310" s="93"/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93"/>
      <c r="X310" s="93"/>
      <c r="Y310" s="93"/>
    </row>
    <row r="311" ht="15.75" customHeight="1">
      <c r="A311" s="101"/>
      <c r="B311" s="101"/>
      <c r="C311" s="101"/>
      <c r="D311" s="101"/>
      <c r="E311" s="101"/>
      <c r="F311" s="101"/>
      <c r="G311" s="101"/>
      <c r="H311" s="101"/>
      <c r="I311" s="93"/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  <c r="W311" s="93"/>
      <c r="X311" s="93"/>
      <c r="Y311" s="93"/>
    </row>
    <row r="312" ht="15.75" customHeight="1">
      <c r="A312" s="101"/>
      <c r="B312" s="101"/>
      <c r="C312" s="101"/>
      <c r="D312" s="101"/>
      <c r="E312" s="101"/>
      <c r="F312" s="101"/>
      <c r="G312" s="101"/>
      <c r="H312" s="101"/>
      <c r="I312" s="93"/>
      <c r="J312" s="93"/>
      <c r="K312" s="93"/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93"/>
      <c r="W312" s="93"/>
      <c r="X312" s="93"/>
      <c r="Y312" s="93"/>
    </row>
    <row r="313" ht="15.75" customHeight="1">
      <c r="A313" s="101"/>
      <c r="B313" s="101"/>
      <c r="C313" s="101"/>
      <c r="D313" s="101"/>
      <c r="E313" s="101"/>
      <c r="F313" s="101"/>
      <c r="G313" s="101"/>
      <c r="H313" s="101"/>
      <c r="I313" s="93"/>
      <c r="J313" s="93"/>
      <c r="K313" s="93"/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  <c r="W313" s="93"/>
      <c r="X313" s="93"/>
      <c r="Y313" s="93"/>
    </row>
    <row r="314" ht="15.75" customHeight="1">
      <c r="A314" s="101"/>
      <c r="B314" s="101"/>
      <c r="C314" s="101"/>
      <c r="D314" s="101"/>
      <c r="E314" s="101"/>
      <c r="F314" s="101"/>
      <c r="G314" s="101"/>
      <c r="H314" s="101"/>
      <c r="I314" s="93"/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  <c r="W314" s="93"/>
      <c r="X314" s="93"/>
      <c r="Y314" s="93"/>
    </row>
    <row r="315" ht="15.75" customHeight="1">
      <c r="A315" s="101"/>
      <c r="B315" s="101"/>
      <c r="C315" s="101"/>
      <c r="D315" s="101"/>
      <c r="E315" s="101"/>
      <c r="F315" s="101"/>
      <c r="G315" s="101"/>
      <c r="H315" s="101"/>
      <c r="I315" s="93"/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  <c r="W315" s="93"/>
      <c r="X315" s="93"/>
      <c r="Y315" s="93"/>
    </row>
    <row r="316" ht="15.75" customHeight="1">
      <c r="A316" s="101"/>
      <c r="B316" s="101"/>
      <c r="C316" s="101"/>
      <c r="D316" s="101"/>
      <c r="E316" s="101"/>
      <c r="F316" s="101"/>
      <c r="G316" s="101"/>
      <c r="H316" s="101"/>
      <c r="I316" s="93"/>
      <c r="J316" s="93"/>
      <c r="K316" s="93"/>
      <c r="L316" s="93"/>
      <c r="M316" s="93"/>
      <c r="N316" s="93"/>
      <c r="O316" s="93"/>
      <c r="P316" s="93"/>
      <c r="Q316" s="93"/>
      <c r="R316" s="93"/>
      <c r="S316" s="93"/>
      <c r="T316" s="93"/>
      <c r="U316" s="93"/>
      <c r="V316" s="93"/>
      <c r="W316" s="93"/>
      <c r="X316" s="93"/>
      <c r="Y316" s="93"/>
    </row>
    <row r="317" ht="15.75" customHeight="1">
      <c r="A317" s="101"/>
      <c r="B317" s="101"/>
      <c r="C317" s="101"/>
      <c r="D317" s="101"/>
      <c r="E317" s="101"/>
      <c r="F317" s="101"/>
      <c r="G317" s="101"/>
      <c r="H317" s="101"/>
      <c r="I317" s="93"/>
      <c r="J317" s="93"/>
      <c r="K317" s="93"/>
      <c r="L317" s="93"/>
      <c r="M317" s="93"/>
      <c r="N317" s="93"/>
      <c r="O317" s="93"/>
      <c r="P317" s="93"/>
      <c r="Q317" s="93"/>
      <c r="R317" s="93"/>
      <c r="S317" s="93"/>
      <c r="T317" s="93"/>
      <c r="U317" s="93"/>
      <c r="V317" s="93"/>
      <c r="W317" s="93"/>
      <c r="X317" s="93"/>
      <c r="Y317" s="93"/>
    </row>
    <row r="318" ht="15.75" customHeight="1">
      <c r="A318" s="101"/>
      <c r="B318" s="101"/>
      <c r="C318" s="101"/>
      <c r="D318" s="101"/>
      <c r="E318" s="101"/>
      <c r="F318" s="101"/>
      <c r="G318" s="101"/>
      <c r="H318" s="101"/>
      <c r="I318" s="93"/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  <c r="W318" s="93"/>
      <c r="X318" s="93"/>
      <c r="Y318" s="93"/>
    </row>
    <row r="319" ht="15.75" customHeight="1">
      <c r="A319" s="101"/>
      <c r="B319" s="101"/>
      <c r="C319" s="101"/>
      <c r="D319" s="101"/>
      <c r="E319" s="101"/>
      <c r="F319" s="101"/>
      <c r="G319" s="101"/>
      <c r="H319" s="101"/>
      <c r="I319" s="93"/>
      <c r="J319" s="93"/>
      <c r="K319" s="93"/>
      <c r="L319" s="93"/>
      <c r="M319" s="93"/>
      <c r="N319" s="93"/>
      <c r="O319" s="93"/>
      <c r="P319" s="93"/>
      <c r="Q319" s="93"/>
      <c r="R319" s="93"/>
      <c r="S319" s="93"/>
      <c r="T319" s="93"/>
      <c r="U319" s="93"/>
      <c r="V319" s="93"/>
      <c r="W319" s="93"/>
      <c r="X319" s="93"/>
      <c r="Y319" s="93"/>
    </row>
    <row r="320" ht="15.75" customHeight="1">
      <c r="A320" s="101"/>
      <c r="B320" s="101"/>
      <c r="C320" s="101"/>
      <c r="D320" s="101"/>
      <c r="E320" s="101"/>
      <c r="F320" s="101"/>
      <c r="G320" s="101"/>
      <c r="H320" s="101"/>
      <c r="I320" s="93"/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/>
      <c r="U320" s="93"/>
      <c r="V320" s="93"/>
      <c r="W320" s="93"/>
      <c r="X320" s="93"/>
      <c r="Y320" s="93"/>
    </row>
    <row r="321" ht="15.75" customHeight="1">
      <c r="A321" s="101"/>
      <c r="B321" s="101"/>
      <c r="C321" s="101"/>
      <c r="D321" s="101"/>
      <c r="E321" s="101"/>
      <c r="F321" s="101"/>
      <c r="G321" s="101"/>
      <c r="H321" s="101"/>
      <c r="I321" s="93"/>
      <c r="J321" s="93"/>
      <c r="K321" s="93"/>
      <c r="L321" s="93"/>
      <c r="M321" s="93"/>
      <c r="N321" s="93"/>
      <c r="O321" s="93"/>
      <c r="P321" s="93"/>
      <c r="Q321" s="93"/>
      <c r="R321" s="93"/>
      <c r="S321" s="93"/>
      <c r="T321" s="93"/>
      <c r="U321" s="93"/>
      <c r="V321" s="93"/>
      <c r="W321" s="93"/>
      <c r="X321" s="93"/>
      <c r="Y321" s="93"/>
    </row>
    <row r="322" ht="15.75" customHeight="1">
      <c r="A322" s="101"/>
      <c r="B322" s="101"/>
      <c r="C322" s="101"/>
      <c r="D322" s="101"/>
      <c r="E322" s="101"/>
      <c r="F322" s="101"/>
      <c r="G322" s="101"/>
      <c r="H322" s="101"/>
      <c r="I322" s="93"/>
      <c r="J322" s="93"/>
      <c r="K322" s="93"/>
      <c r="L322" s="93"/>
      <c r="M322" s="93"/>
      <c r="N322" s="93"/>
      <c r="O322" s="93"/>
      <c r="P322" s="93"/>
      <c r="Q322" s="93"/>
      <c r="R322" s="93"/>
      <c r="S322" s="93"/>
      <c r="T322" s="93"/>
      <c r="U322" s="93"/>
      <c r="V322" s="93"/>
      <c r="W322" s="93"/>
      <c r="X322" s="93"/>
      <c r="Y322" s="93"/>
    </row>
    <row r="323" ht="15.75" customHeight="1">
      <c r="A323" s="101"/>
      <c r="B323" s="101"/>
      <c r="C323" s="101"/>
      <c r="D323" s="101"/>
      <c r="E323" s="101"/>
      <c r="F323" s="101"/>
      <c r="G323" s="101"/>
      <c r="H323" s="101"/>
      <c r="I323" s="93"/>
      <c r="J323" s="93"/>
      <c r="K323" s="93"/>
      <c r="L323" s="93"/>
      <c r="M323" s="93"/>
      <c r="N323" s="93"/>
      <c r="O323" s="93"/>
      <c r="P323" s="93"/>
      <c r="Q323" s="93"/>
      <c r="R323" s="93"/>
      <c r="S323" s="93"/>
      <c r="T323" s="93"/>
      <c r="U323" s="93"/>
      <c r="V323" s="93"/>
      <c r="W323" s="93"/>
      <c r="X323" s="93"/>
      <c r="Y323" s="93"/>
    </row>
    <row r="324" ht="15.75" customHeight="1">
      <c r="A324" s="101"/>
      <c r="B324" s="101"/>
      <c r="C324" s="101"/>
      <c r="D324" s="101"/>
      <c r="E324" s="101"/>
      <c r="F324" s="101"/>
      <c r="G324" s="101"/>
      <c r="H324" s="101"/>
      <c r="I324" s="93"/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93"/>
      <c r="U324" s="93"/>
      <c r="V324" s="93"/>
      <c r="W324" s="93"/>
      <c r="X324" s="93"/>
      <c r="Y324" s="93"/>
    </row>
    <row r="325" ht="15.75" customHeight="1">
      <c r="A325" s="101"/>
      <c r="B325" s="101"/>
      <c r="C325" s="101"/>
      <c r="D325" s="101"/>
      <c r="E325" s="101"/>
      <c r="F325" s="101"/>
      <c r="G325" s="101"/>
      <c r="H325" s="101"/>
      <c r="I325" s="93"/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  <c r="W325" s="93"/>
      <c r="X325" s="93"/>
      <c r="Y325" s="93"/>
    </row>
    <row r="326" ht="15.75" customHeight="1">
      <c r="A326" s="101"/>
      <c r="B326" s="101"/>
      <c r="C326" s="101"/>
      <c r="D326" s="101"/>
      <c r="E326" s="101"/>
      <c r="F326" s="101"/>
      <c r="G326" s="101"/>
      <c r="H326" s="101"/>
      <c r="I326" s="93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  <c r="W326" s="93"/>
      <c r="X326" s="93"/>
      <c r="Y326" s="93"/>
    </row>
    <row r="327" ht="15.75" customHeight="1">
      <c r="A327" s="101"/>
      <c r="B327" s="101"/>
      <c r="C327" s="101"/>
      <c r="D327" s="101"/>
      <c r="E327" s="101"/>
      <c r="F327" s="101"/>
      <c r="G327" s="101"/>
      <c r="H327" s="101"/>
      <c r="I327" s="93"/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93"/>
      <c r="W327" s="93"/>
      <c r="X327" s="93"/>
      <c r="Y327" s="93"/>
    </row>
    <row r="328" ht="15.75" customHeight="1">
      <c r="A328" s="101"/>
      <c r="B328" s="101"/>
      <c r="C328" s="101"/>
      <c r="D328" s="101"/>
      <c r="E328" s="101"/>
      <c r="F328" s="101"/>
      <c r="G328" s="101"/>
      <c r="H328" s="101"/>
      <c r="I328" s="93"/>
      <c r="J328" s="93"/>
      <c r="K328" s="93"/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93"/>
      <c r="W328" s="93"/>
      <c r="X328" s="93"/>
      <c r="Y328" s="93"/>
    </row>
    <row r="329" ht="15.75" customHeight="1">
      <c r="A329" s="101"/>
      <c r="B329" s="101"/>
      <c r="C329" s="101"/>
      <c r="D329" s="101"/>
      <c r="E329" s="101"/>
      <c r="F329" s="101"/>
      <c r="G329" s="101"/>
      <c r="H329" s="101"/>
      <c r="I329" s="93"/>
      <c r="J329" s="93"/>
      <c r="K329" s="93"/>
      <c r="L329" s="93"/>
      <c r="M329" s="93"/>
      <c r="N329" s="93"/>
      <c r="O329" s="93"/>
      <c r="P329" s="93"/>
      <c r="Q329" s="93"/>
      <c r="R329" s="93"/>
      <c r="S329" s="93"/>
      <c r="T329" s="93"/>
      <c r="U329" s="93"/>
      <c r="V329" s="93"/>
      <c r="W329" s="93"/>
      <c r="X329" s="93"/>
      <c r="Y329" s="93"/>
    </row>
    <row r="330" ht="15.75" customHeight="1">
      <c r="A330" s="101"/>
      <c r="B330" s="101"/>
      <c r="C330" s="101"/>
      <c r="D330" s="101"/>
      <c r="E330" s="101"/>
      <c r="F330" s="101"/>
      <c r="G330" s="101"/>
      <c r="H330" s="101"/>
      <c r="I330" s="93"/>
      <c r="J330" s="93"/>
      <c r="K330" s="93"/>
      <c r="L330" s="93"/>
      <c r="M330" s="93"/>
      <c r="N330" s="93"/>
      <c r="O330" s="93"/>
      <c r="P330" s="93"/>
      <c r="Q330" s="93"/>
      <c r="R330" s="93"/>
      <c r="S330" s="93"/>
      <c r="T330" s="93"/>
      <c r="U330" s="93"/>
      <c r="V330" s="93"/>
      <c r="W330" s="93"/>
      <c r="X330" s="93"/>
      <c r="Y330" s="93"/>
    </row>
    <row r="331" ht="15.75" customHeight="1">
      <c r="A331" s="101"/>
      <c r="B331" s="101"/>
      <c r="C331" s="101"/>
      <c r="D331" s="101"/>
      <c r="E331" s="101"/>
      <c r="F331" s="101"/>
      <c r="G331" s="101"/>
      <c r="H331" s="101"/>
      <c r="I331" s="93"/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  <c r="W331" s="93"/>
      <c r="X331" s="93"/>
      <c r="Y331" s="93"/>
    </row>
    <row r="332" ht="15.75" customHeight="1">
      <c r="A332" s="101"/>
      <c r="B332" s="101"/>
      <c r="C332" s="101"/>
      <c r="D332" s="101"/>
      <c r="E332" s="101"/>
      <c r="F332" s="101"/>
      <c r="G332" s="101"/>
      <c r="H332" s="101"/>
      <c r="I332" s="93"/>
      <c r="J332" s="93"/>
      <c r="K332" s="93"/>
      <c r="L332" s="93"/>
      <c r="M332" s="93"/>
      <c r="N332" s="93"/>
      <c r="O332" s="93"/>
      <c r="P332" s="93"/>
      <c r="Q332" s="93"/>
      <c r="R332" s="93"/>
      <c r="S332" s="93"/>
      <c r="T332" s="93"/>
      <c r="U332" s="93"/>
      <c r="V332" s="93"/>
      <c r="W332" s="93"/>
      <c r="X332" s="93"/>
      <c r="Y332" s="93"/>
    </row>
    <row r="333" ht="15.75" customHeight="1">
      <c r="A333" s="101"/>
      <c r="B333" s="101"/>
      <c r="C333" s="101"/>
      <c r="D333" s="101"/>
      <c r="E333" s="101"/>
      <c r="F333" s="101"/>
      <c r="G333" s="101"/>
      <c r="H333" s="101"/>
      <c r="I333" s="93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93"/>
      <c r="X333" s="93"/>
      <c r="Y333" s="93"/>
    </row>
    <row r="334" ht="15.75" customHeight="1">
      <c r="A334" s="101"/>
      <c r="B334" s="101"/>
      <c r="C334" s="101"/>
      <c r="D334" s="101"/>
      <c r="E334" s="101"/>
      <c r="F334" s="101"/>
      <c r="G334" s="101"/>
      <c r="H334" s="101"/>
      <c r="I334" s="93"/>
      <c r="J334" s="93"/>
      <c r="K334" s="93"/>
      <c r="L334" s="93"/>
      <c r="M334" s="93"/>
      <c r="N334" s="93"/>
      <c r="O334" s="93"/>
      <c r="P334" s="93"/>
      <c r="Q334" s="93"/>
      <c r="R334" s="93"/>
      <c r="S334" s="93"/>
      <c r="T334" s="93"/>
      <c r="U334" s="93"/>
      <c r="V334" s="93"/>
      <c r="W334" s="93"/>
      <c r="X334" s="93"/>
      <c r="Y334" s="93"/>
    </row>
    <row r="335" ht="15.75" customHeight="1">
      <c r="A335" s="101"/>
      <c r="B335" s="101"/>
      <c r="C335" s="101"/>
      <c r="D335" s="101"/>
      <c r="E335" s="101"/>
      <c r="F335" s="101"/>
      <c r="G335" s="101"/>
      <c r="H335" s="101"/>
      <c r="I335" s="93"/>
      <c r="J335" s="93"/>
      <c r="K335" s="93"/>
      <c r="L335" s="93"/>
      <c r="M335" s="93"/>
      <c r="N335" s="93"/>
      <c r="O335" s="93"/>
      <c r="P335" s="93"/>
      <c r="Q335" s="93"/>
      <c r="R335" s="93"/>
      <c r="S335" s="93"/>
      <c r="T335" s="93"/>
      <c r="U335" s="93"/>
      <c r="V335" s="93"/>
      <c r="W335" s="93"/>
      <c r="X335" s="93"/>
      <c r="Y335" s="93"/>
    </row>
    <row r="336" ht="15.75" customHeight="1">
      <c r="A336" s="101"/>
      <c r="B336" s="101"/>
      <c r="C336" s="101"/>
      <c r="D336" s="101"/>
      <c r="E336" s="101"/>
      <c r="F336" s="101"/>
      <c r="G336" s="101"/>
      <c r="H336" s="101"/>
      <c r="I336" s="93"/>
      <c r="J336" s="93"/>
      <c r="K336" s="93"/>
      <c r="L336" s="93"/>
      <c r="M336" s="93"/>
      <c r="N336" s="93"/>
      <c r="O336" s="93"/>
      <c r="P336" s="93"/>
      <c r="Q336" s="93"/>
      <c r="R336" s="93"/>
      <c r="S336" s="93"/>
      <c r="T336" s="93"/>
      <c r="U336" s="93"/>
      <c r="V336" s="93"/>
      <c r="W336" s="93"/>
      <c r="X336" s="93"/>
      <c r="Y336" s="93"/>
    </row>
    <row r="337" ht="15.75" customHeight="1">
      <c r="A337" s="101"/>
      <c r="B337" s="101"/>
      <c r="C337" s="101"/>
      <c r="D337" s="101"/>
      <c r="E337" s="101"/>
      <c r="F337" s="101"/>
      <c r="G337" s="101"/>
      <c r="H337" s="101"/>
      <c r="I337" s="93"/>
      <c r="J337" s="93"/>
      <c r="K337" s="93"/>
      <c r="L337" s="93"/>
      <c r="M337" s="93"/>
      <c r="N337" s="93"/>
      <c r="O337" s="93"/>
      <c r="P337" s="93"/>
      <c r="Q337" s="93"/>
      <c r="R337" s="93"/>
      <c r="S337" s="93"/>
      <c r="T337" s="93"/>
      <c r="U337" s="93"/>
      <c r="V337" s="93"/>
      <c r="W337" s="93"/>
      <c r="X337" s="93"/>
      <c r="Y337" s="93"/>
    </row>
    <row r="338" ht="15.75" customHeight="1">
      <c r="A338" s="101"/>
      <c r="B338" s="101"/>
      <c r="C338" s="101"/>
      <c r="D338" s="101"/>
      <c r="E338" s="101"/>
      <c r="F338" s="101"/>
      <c r="G338" s="101"/>
      <c r="H338" s="101"/>
      <c r="I338" s="93"/>
      <c r="J338" s="93"/>
      <c r="K338" s="93"/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  <c r="W338" s="93"/>
      <c r="X338" s="93"/>
      <c r="Y338" s="93"/>
    </row>
    <row r="339" ht="15.75" customHeight="1">
      <c r="A339" s="101"/>
      <c r="B339" s="101"/>
      <c r="C339" s="101"/>
      <c r="D339" s="101"/>
      <c r="E339" s="101"/>
      <c r="F339" s="101"/>
      <c r="G339" s="101"/>
      <c r="H339" s="101"/>
      <c r="I339" s="93"/>
      <c r="J339" s="93"/>
      <c r="K339" s="93"/>
      <c r="L339" s="93"/>
      <c r="M339" s="93"/>
      <c r="N339" s="93"/>
      <c r="O339" s="93"/>
      <c r="P339" s="93"/>
      <c r="Q339" s="93"/>
      <c r="R339" s="93"/>
      <c r="S339" s="93"/>
      <c r="T339" s="93"/>
      <c r="U339" s="93"/>
      <c r="V339" s="93"/>
      <c r="W339" s="93"/>
      <c r="X339" s="93"/>
      <c r="Y339" s="93"/>
    </row>
    <row r="340" ht="15.75" customHeight="1">
      <c r="A340" s="101"/>
      <c r="B340" s="101"/>
      <c r="C340" s="101"/>
      <c r="D340" s="101"/>
      <c r="E340" s="101"/>
      <c r="F340" s="101"/>
      <c r="G340" s="101"/>
      <c r="H340" s="101"/>
      <c r="I340" s="93"/>
      <c r="J340" s="93"/>
      <c r="K340" s="93"/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</row>
    <row r="341" ht="15.75" customHeight="1">
      <c r="A341" s="101"/>
      <c r="B341" s="101"/>
      <c r="C341" s="101"/>
      <c r="D341" s="101"/>
      <c r="E341" s="101"/>
      <c r="F341" s="101"/>
      <c r="G341" s="101"/>
      <c r="H341" s="101"/>
      <c r="I341" s="93"/>
      <c r="J341" s="93"/>
      <c r="K341" s="93"/>
      <c r="L341" s="93"/>
      <c r="M341" s="93"/>
      <c r="N341" s="93"/>
      <c r="O341" s="93"/>
      <c r="P341" s="93"/>
      <c r="Q341" s="93"/>
      <c r="R341" s="93"/>
      <c r="S341" s="93"/>
      <c r="T341" s="93"/>
      <c r="U341" s="93"/>
      <c r="V341" s="93"/>
      <c r="W341" s="93"/>
      <c r="X341" s="93"/>
      <c r="Y341" s="93"/>
    </row>
    <row r="342" ht="15.75" customHeight="1">
      <c r="A342" s="101"/>
      <c r="B342" s="101"/>
      <c r="C342" s="101"/>
      <c r="D342" s="101"/>
      <c r="E342" s="101"/>
      <c r="F342" s="101"/>
      <c r="G342" s="101"/>
      <c r="H342" s="101"/>
      <c r="I342" s="93"/>
      <c r="J342" s="93"/>
      <c r="K342" s="93"/>
      <c r="L342" s="93"/>
      <c r="M342" s="93"/>
      <c r="N342" s="93"/>
      <c r="O342" s="93"/>
      <c r="P342" s="93"/>
      <c r="Q342" s="93"/>
      <c r="R342" s="93"/>
      <c r="S342" s="93"/>
      <c r="T342" s="93"/>
      <c r="U342" s="93"/>
      <c r="V342" s="93"/>
      <c r="W342" s="93"/>
      <c r="X342" s="93"/>
      <c r="Y342" s="93"/>
    </row>
    <row r="343" ht="15.75" customHeight="1">
      <c r="A343" s="101"/>
      <c r="B343" s="101"/>
      <c r="C343" s="101"/>
      <c r="D343" s="101"/>
      <c r="E343" s="101"/>
      <c r="F343" s="101"/>
      <c r="G343" s="101"/>
      <c r="H343" s="101"/>
      <c r="I343" s="93"/>
      <c r="J343" s="93"/>
      <c r="K343" s="93"/>
      <c r="L343" s="93"/>
      <c r="M343" s="93"/>
      <c r="N343" s="93"/>
      <c r="O343" s="93"/>
      <c r="P343" s="93"/>
      <c r="Q343" s="93"/>
      <c r="R343" s="93"/>
      <c r="S343" s="93"/>
      <c r="T343" s="93"/>
      <c r="U343" s="93"/>
      <c r="V343" s="93"/>
      <c r="W343" s="93"/>
      <c r="X343" s="93"/>
      <c r="Y343" s="93"/>
    </row>
    <row r="344" ht="15.75" customHeight="1">
      <c r="A344" s="101"/>
      <c r="B344" s="101"/>
      <c r="C344" s="101"/>
      <c r="D344" s="101"/>
      <c r="E344" s="101"/>
      <c r="F344" s="101"/>
      <c r="G344" s="101"/>
      <c r="H344" s="101"/>
      <c r="I344" s="93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93"/>
      <c r="X344" s="93"/>
      <c r="Y344" s="93"/>
    </row>
    <row r="345" ht="15.75" customHeight="1">
      <c r="A345" s="101"/>
      <c r="B345" s="101"/>
      <c r="C345" s="101"/>
      <c r="D345" s="101"/>
      <c r="E345" s="101"/>
      <c r="F345" s="101"/>
      <c r="G345" s="101"/>
      <c r="H345" s="101"/>
      <c r="I345" s="93"/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  <c r="W345" s="93"/>
      <c r="X345" s="93"/>
      <c r="Y345" s="93"/>
    </row>
    <row r="346" ht="15.75" customHeight="1">
      <c r="A346" s="101"/>
      <c r="B346" s="101"/>
      <c r="C346" s="101"/>
      <c r="D346" s="101"/>
      <c r="E346" s="101"/>
      <c r="F346" s="101"/>
      <c r="G346" s="101"/>
      <c r="H346" s="101"/>
      <c r="I346" s="93"/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  <c r="W346" s="93"/>
      <c r="X346" s="93"/>
      <c r="Y346" s="93"/>
    </row>
    <row r="347" ht="15.75" customHeight="1">
      <c r="A347" s="101"/>
      <c r="B347" s="101"/>
      <c r="C347" s="101"/>
      <c r="D347" s="101"/>
      <c r="E347" s="101"/>
      <c r="F347" s="101"/>
      <c r="G347" s="101"/>
      <c r="H347" s="101"/>
      <c r="I347" s="93"/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  <c r="W347" s="93"/>
      <c r="X347" s="93"/>
      <c r="Y347" s="93"/>
    </row>
    <row r="348" ht="15.75" customHeight="1">
      <c r="A348" s="101"/>
      <c r="B348" s="101"/>
      <c r="C348" s="101"/>
      <c r="D348" s="101"/>
      <c r="E348" s="101"/>
      <c r="F348" s="101"/>
      <c r="G348" s="101"/>
      <c r="H348" s="101"/>
      <c r="I348" s="93"/>
      <c r="J348" s="93"/>
      <c r="K348" s="93"/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  <c r="W348" s="93"/>
      <c r="X348" s="93"/>
      <c r="Y348" s="93"/>
    </row>
    <row r="349" ht="15.75" customHeight="1">
      <c r="A349" s="101"/>
      <c r="B349" s="101"/>
      <c r="C349" s="101"/>
      <c r="D349" s="101"/>
      <c r="E349" s="101"/>
      <c r="F349" s="101"/>
      <c r="G349" s="101"/>
      <c r="H349" s="101"/>
      <c r="I349" s="93"/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3"/>
    </row>
    <row r="350" ht="15.75" customHeight="1">
      <c r="A350" s="101"/>
      <c r="B350" s="101"/>
      <c r="C350" s="101"/>
      <c r="D350" s="101"/>
      <c r="E350" s="101"/>
      <c r="F350" s="101"/>
      <c r="G350" s="101"/>
      <c r="H350" s="101"/>
      <c r="I350" s="93"/>
      <c r="J350" s="93"/>
      <c r="K350" s="93"/>
      <c r="L350" s="93"/>
      <c r="M350" s="93"/>
      <c r="N350" s="93"/>
      <c r="O350" s="93"/>
      <c r="P350" s="93"/>
      <c r="Q350" s="93"/>
      <c r="R350" s="93"/>
      <c r="S350" s="93"/>
      <c r="T350" s="93"/>
      <c r="U350" s="93"/>
      <c r="V350" s="93"/>
      <c r="W350" s="93"/>
      <c r="X350" s="93"/>
      <c r="Y350" s="93"/>
    </row>
    <row r="351" ht="15.75" customHeight="1">
      <c r="A351" s="101"/>
      <c r="B351" s="101"/>
      <c r="C351" s="101"/>
      <c r="D351" s="101"/>
      <c r="E351" s="101"/>
      <c r="F351" s="101"/>
      <c r="G351" s="101"/>
      <c r="H351" s="101"/>
      <c r="I351" s="93"/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  <c r="W351" s="93"/>
      <c r="X351" s="93"/>
      <c r="Y351" s="93"/>
    </row>
    <row r="352" ht="15.75" customHeight="1">
      <c r="A352" s="101"/>
      <c r="B352" s="101"/>
      <c r="C352" s="101"/>
      <c r="D352" s="101"/>
      <c r="E352" s="101"/>
      <c r="F352" s="101"/>
      <c r="G352" s="101"/>
      <c r="H352" s="101"/>
      <c r="I352" s="93"/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  <c r="W352" s="93"/>
      <c r="X352" s="93"/>
      <c r="Y352" s="93"/>
    </row>
    <row r="353" ht="15.75" customHeight="1">
      <c r="A353" s="101"/>
      <c r="B353" s="101"/>
      <c r="C353" s="101"/>
      <c r="D353" s="101"/>
      <c r="E353" s="101"/>
      <c r="F353" s="101"/>
      <c r="G353" s="101"/>
      <c r="H353" s="101"/>
      <c r="I353" s="93"/>
      <c r="J353" s="93"/>
      <c r="K353" s="93"/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93"/>
      <c r="X353" s="93"/>
      <c r="Y353" s="93"/>
    </row>
    <row r="354" ht="15.75" customHeight="1">
      <c r="A354" s="101"/>
      <c r="B354" s="101"/>
      <c r="C354" s="101"/>
      <c r="D354" s="101"/>
      <c r="E354" s="101"/>
      <c r="F354" s="101"/>
      <c r="G354" s="101"/>
      <c r="H354" s="101"/>
      <c r="I354" s="93"/>
      <c r="J354" s="93"/>
      <c r="K354" s="93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  <c r="W354" s="93"/>
      <c r="X354" s="93"/>
      <c r="Y354" s="93"/>
    </row>
    <row r="355" ht="15.75" customHeight="1">
      <c r="A355" s="101"/>
      <c r="B355" s="101"/>
      <c r="C355" s="101"/>
      <c r="D355" s="101"/>
      <c r="E355" s="101"/>
      <c r="F355" s="101"/>
      <c r="G355" s="101"/>
      <c r="H355" s="101"/>
      <c r="I355" s="93"/>
      <c r="J355" s="93"/>
      <c r="K355" s="93"/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  <c r="W355" s="93"/>
      <c r="X355" s="93"/>
      <c r="Y355" s="93"/>
    </row>
    <row r="356" ht="15.75" customHeight="1">
      <c r="A356" s="101"/>
      <c r="B356" s="101"/>
      <c r="C356" s="101"/>
      <c r="D356" s="101"/>
      <c r="E356" s="101"/>
      <c r="F356" s="101"/>
      <c r="G356" s="101"/>
      <c r="H356" s="101"/>
      <c r="I356" s="93"/>
      <c r="J356" s="93"/>
      <c r="K356" s="93"/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93"/>
      <c r="W356" s="93"/>
      <c r="X356" s="93"/>
      <c r="Y356" s="93"/>
    </row>
    <row r="357" ht="15.75" customHeight="1">
      <c r="A357" s="101"/>
      <c r="B357" s="101"/>
      <c r="C357" s="101"/>
      <c r="D357" s="101"/>
      <c r="E357" s="101"/>
      <c r="F357" s="101"/>
      <c r="G357" s="101"/>
      <c r="H357" s="101"/>
      <c r="I357" s="93"/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  <c r="W357" s="93"/>
      <c r="X357" s="93"/>
      <c r="Y357" s="93"/>
    </row>
    <row r="358" ht="15.75" customHeight="1">
      <c r="A358" s="101"/>
      <c r="B358" s="101"/>
      <c r="C358" s="101"/>
      <c r="D358" s="101"/>
      <c r="E358" s="101"/>
      <c r="F358" s="101"/>
      <c r="G358" s="101"/>
      <c r="H358" s="101"/>
      <c r="I358" s="93"/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  <c r="W358" s="93"/>
      <c r="X358" s="93"/>
      <c r="Y358" s="93"/>
    </row>
    <row r="359" ht="15.75" customHeight="1">
      <c r="A359" s="101"/>
      <c r="B359" s="101"/>
      <c r="C359" s="101"/>
      <c r="D359" s="101"/>
      <c r="E359" s="101"/>
      <c r="F359" s="101"/>
      <c r="G359" s="101"/>
      <c r="H359" s="101"/>
      <c r="I359" s="93"/>
      <c r="J359" s="93"/>
      <c r="K359" s="93"/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93"/>
      <c r="W359" s="93"/>
      <c r="X359" s="93"/>
      <c r="Y359" s="93"/>
    </row>
    <row r="360" ht="15.75" customHeight="1">
      <c r="A360" s="101"/>
      <c r="B360" s="101"/>
      <c r="C360" s="101"/>
      <c r="D360" s="101"/>
      <c r="E360" s="101"/>
      <c r="F360" s="101"/>
      <c r="G360" s="101"/>
      <c r="H360" s="101"/>
      <c r="I360" s="93"/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  <c r="W360" s="93"/>
      <c r="X360" s="93"/>
      <c r="Y360" s="93"/>
    </row>
    <row r="361" ht="15.75" customHeight="1">
      <c r="A361" s="101"/>
      <c r="B361" s="101"/>
      <c r="C361" s="101"/>
      <c r="D361" s="101"/>
      <c r="E361" s="101"/>
      <c r="F361" s="101"/>
      <c r="G361" s="101"/>
      <c r="H361" s="101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3"/>
    </row>
    <row r="362" ht="15.75" customHeight="1">
      <c r="A362" s="101"/>
      <c r="B362" s="101"/>
      <c r="C362" s="101"/>
      <c r="D362" s="101"/>
      <c r="E362" s="101"/>
      <c r="F362" s="101"/>
      <c r="G362" s="101"/>
      <c r="H362" s="101"/>
      <c r="I362" s="93"/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3"/>
    </row>
    <row r="363" ht="15.75" customHeight="1">
      <c r="A363" s="101"/>
      <c r="B363" s="101"/>
      <c r="C363" s="101"/>
      <c r="D363" s="101"/>
      <c r="E363" s="101"/>
      <c r="F363" s="101"/>
      <c r="G363" s="101"/>
      <c r="H363" s="101"/>
      <c r="I363" s="93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3"/>
    </row>
    <row r="364" ht="15.75" customHeight="1">
      <c r="A364" s="101"/>
      <c r="B364" s="101"/>
      <c r="C364" s="101"/>
      <c r="D364" s="101"/>
      <c r="E364" s="101"/>
      <c r="F364" s="101"/>
      <c r="G364" s="101"/>
      <c r="H364" s="101"/>
      <c r="I364" s="93"/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93"/>
      <c r="X364" s="93"/>
      <c r="Y364" s="93"/>
    </row>
    <row r="365" ht="15.75" customHeight="1">
      <c r="A365" s="101"/>
      <c r="B365" s="101"/>
      <c r="C365" s="101"/>
      <c r="D365" s="101"/>
      <c r="E365" s="101"/>
      <c r="F365" s="101"/>
      <c r="G365" s="101"/>
      <c r="H365" s="101"/>
      <c r="I365" s="93"/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93"/>
      <c r="X365" s="93"/>
      <c r="Y365" s="93"/>
    </row>
    <row r="366" ht="15.75" customHeight="1">
      <c r="A366" s="101"/>
      <c r="B366" s="101"/>
      <c r="C366" s="101"/>
      <c r="D366" s="101"/>
      <c r="E366" s="101"/>
      <c r="F366" s="101"/>
      <c r="G366" s="101"/>
      <c r="H366" s="101"/>
      <c r="I366" s="93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  <c r="W366" s="93"/>
      <c r="X366" s="93"/>
      <c r="Y366" s="93"/>
    </row>
    <row r="367" ht="15.75" customHeight="1">
      <c r="A367" s="101"/>
      <c r="B367" s="101"/>
      <c r="C367" s="101"/>
      <c r="D367" s="101"/>
      <c r="E367" s="101"/>
      <c r="F367" s="101"/>
      <c r="G367" s="101"/>
      <c r="H367" s="101"/>
      <c r="I367" s="93"/>
      <c r="J367" s="93"/>
      <c r="K367" s="93"/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  <c r="W367" s="93"/>
      <c r="X367" s="93"/>
      <c r="Y367" s="93"/>
    </row>
    <row r="368" ht="15.75" customHeight="1">
      <c r="A368" s="101"/>
      <c r="B368" s="101"/>
      <c r="C368" s="101"/>
      <c r="D368" s="101"/>
      <c r="E368" s="101"/>
      <c r="F368" s="101"/>
      <c r="G368" s="101"/>
      <c r="H368" s="101"/>
      <c r="I368" s="93"/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93"/>
      <c r="X368" s="93"/>
      <c r="Y368" s="93"/>
    </row>
    <row r="369" ht="15.75" customHeight="1">
      <c r="A369" s="101"/>
      <c r="B369" s="101"/>
      <c r="C369" s="101"/>
      <c r="D369" s="101"/>
      <c r="E369" s="101"/>
      <c r="F369" s="101"/>
      <c r="G369" s="101"/>
      <c r="H369" s="101"/>
      <c r="I369" s="93"/>
      <c r="J369" s="93"/>
      <c r="K369" s="93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93"/>
      <c r="X369" s="93"/>
      <c r="Y369" s="93"/>
    </row>
    <row r="370" ht="15.75" customHeight="1">
      <c r="A370" s="101"/>
      <c r="B370" s="101"/>
      <c r="C370" s="101"/>
      <c r="D370" s="101"/>
      <c r="E370" s="101"/>
      <c r="F370" s="101"/>
      <c r="G370" s="101"/>
      <c r="H370" s="101"/>
      <c r="I370" s="93"/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93"/>
      <c r="X370" s="93"/>
      <c r="Y370" s="93"/>
    </row>
    <row r="371" ht="15.75" customHeight="1">
      <c r="A371" s="101"/>
      <c r="B371" s="101"/>
      <c r="C371" s="101"/>
      <c r="D371" s="101"/>
      <c r="E371" s="101"/>
      <c r="F371" s="101"/>
      <c r="G371" s="101"/>
      <c r="H371" s="101"/>
      <c r="I371" s="93"/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93"/>
      <c r="X371" s="93"/>
      <c r="Y371" s="93"/>
    </row>
    <row r="372" ht="15.75" customHeight="1">
      <c r="A372" s="101"/>
      <c r="B372" s="101"/>
      <c r="C372" s="101"/>
      <c r="D372" s="101"/>
      <c r="E372" s="101"/>
      <c r="F372" s="101"/>
      <c r="G372" s="101"/>
      <c r="H372" s="101"/>
      <c r="I372" s="93"/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93"/>
      <c r="X372" s="93"/>
      <c r="Y372" s="93"/>
    </row>
    <row r="373" ht="15.75" customHeight="1">
      <c r="A373" s="101"/>
      <c r="B373" s="101"/>
      <c r="C373" s="101"/>
      <c r="D373" s="101"/>
      <c r="E373" s="101"/>
      <c r="F373" s="101"/>
      <c r="G373" s="101"/>
      <c r="H373" s="101"/>
      <c r="I373" s="93"/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93"/>
      <c r="X373" s="93"/>
      <c r="Y373" s="93"/>
    </row>
    <row r="374" ht="15.75" customHeight="1">
      <c r="A374" s="101"/>
      <c r="B374" s="101"/>
      <c r="C374" s="101"/>
      <c r="D374" s="101"/>
      <c r="E374" s="101"/>
      <c r="F374" s="101"/>
      <c r="G374" s="101"/>
      <c r="H374" s="101"/>
      <c r="I374" s="93"/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  <c r="W374" s="93"/>
      <c r="X374" s="93"/>
      <c r="Y374" s="93"/>
    </row>
    <row r="375" ht="15.75" customHeight="1">
      <c r="A375" s="101"/>
      <c r="B375" s="101"/>
      <c r="C375" s="101"/>
      <c r="D375" s="101"/>
      <c r="E375" s="101"/>
      <c r="F375" s="101"/>
      <c r="G375" s="101"/>
      <c r="H375" s="101"/>
      <c r="I375" s="93"/>
      <c r="J375" s="93"/>
      <c r="K375" s="93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  <c r="W375" s="93"/>
      <c r="X375" s="93"/>
      <c r="Y375" s="93"/>
    </row>
    <row r="376" ht="15.75" customHeight="1">
      <c r="A376" s="101"/>
      <c r="B376" s="101"/>
      <c r="C376" s="101"/>
      <c r="D376" s="101"/>
      <c r="E376" s="101"/>
      <c r="F376" s="101"/>
      <c r="G376" s="101"/>
      <c r="H376" s="101"/>
      <c r="I376" s="93"/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93"/>
      <c r="X376" s="93"/>
      <c r="Y376" s="93"/>
    </row>
    <row r="377" ht="15.75" customHeight="1">
      <c r="A377" s="101"/>
      <c r="B377" s="101"/>
      <c r="C377" s="101"/>
      <c r="D377" s="101"/>
      <c r="E377" s="101"/>
      <c r="F377" s="101"/>
      <c r="G377" s="101"/>
      <c r="H377" s="101"/>
      <c r="I377" s="93"/>
      <c r="J377" s="93"/>
      <c r="K377" s="93"/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  <c r="W377" s="93"/>
      <c r="X377" s="93"/>
      <c r="Y377" s="93"/>
    </row>
    <row r="378" ht="15.75" customHeight="1">
      <c r="A378" s="101"/>
      <c r="B378" s="101"/>
      <c r="C378" s="101"/>
      <c r="D378" s="101"/>
      <c r="E378" s="101"/>
      <c r="F378" s="101"/>
      <c r="G378" s="101"/>
      <c r="H378" s="101"/>
      <c r="I378" s="93"/>
      <c r="J378" s="93"/>
      <c r="K378" s="93"/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93"/>
      <c r="W378" s="93"/>
      <c r="X378" s="93"/>
      <c r="Y378" s="93"/>
    </row>
    <row r="379" ht="15.75" customHeight="1">
      <c r="A379" s="101"/>
      <c r="B379" s="101"/>
      <c r="C379" s="101"/>
      <c r="D379" s="101"/>
      <c r="E379" s="101"/>
      <c r="F379" s="101"/>
      <c r="G379" s="101"/>
      <c r="H379" s="101"/>
      <c r="I379" s="93"/>
      <c r="J379" s="93"/>
      <c r="K379" s="93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  <c r="W379" s="93"/>
      <c r="X379" s="93"/>
      <c r="Y379" s="93"/>
    </row>
    <row r="380" ht="15.75" customHeight="1">
      <c r="A380" s="101"/>
      <c r="B380" s="101"/>
      <c r="C380" s="101"/>
      <c r="D380" s="101"/>
      <c r="E380" s="101"/>
      <c r="F380" s="101"/>
      <c r="G380" s="101"/>
      <c r="H380" s="101"/>
      <c r="I380" s="93"/>
      <c r="J380" s="93"/>
      <c r="K380" s="93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  <c r="W380" s="93"/>
      <c r="X380" s="93"/>
      <c r="Y380" s="93"/>
    </row>
    <row r="381" ht="15.75" customHeight="1">
      <c r="A381" s="101"/>
      <c r="B381" s="101"/>
      <c r="C381" s="101"/>
      <c r="D381" s="101"/>
      <c r="E381" s="101"/>
      <c r="F381" s="101"/>
      <c r="G381" s="101"/>
      <c r="H381" s="101"/>
      <c r="I381" s="93"/>
      <c r="J381" s="93"/>
      <c r="K381" s="93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  <c r="W381" s="93"/>
      <c r="X381" s="93"/>
      <c r="Y381" s="93"/>
    </row>
    <row r="382" ht="15.75" customHeight="1">
      <c r="A382" s="101"/>
      <c r="B382" s="101"/>
      <c r="C382" s="101"/>
      <c r="D382" s="101"/>
      <c r="E382" s="101"/>
      <c r="F382" s="101"/>
      <c r="G382" s="101"/>
      <c r="H382" s="101"/>
      <c r="I382" s="93"/>
      <c r="J382" s="93"/>
      <c r="K382" s="93"/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  <c r="W382" s="93"/>
      <c r="X382" s="93"/>
      <c r="Y382" s="93"/>
    </row>
    <row r="383" ht="15.75" customHeight="1">
      <c r="A383" s="101"/>
      <c r="B383" s="101"/>
      <c r="C383" s="101"/>
      <c r="D383" s="101"/>
      <c r="E383" s="101"/>
      <c r="F383" s="101"/>
      <c r="G383" s="101"/>
      <c r="H383" s="101"/>
      <c r="I383" s="93"/>
      <c r="J383" s="93"/>
      <c r="K383" s="93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  <c r="W383" s="93"/>
      <c r="X383" s="93"/>
      <c r="Y383" s="93"/>
    </row>
    <row r="384" ht="15.75" customHeight="1">
      <c r="A384" s="101"/>
      <c r="B384" s="101"/>
      <c r="C384" s="101"/>
      <c r="D384" s="101"/>
      <c r="E384" s="101"/>
      <c r="F384" s="101"/>
      <c r="G384" s="101"/>
      <c r="H384" s="101"/>
      <c r="I384" s="93"/>
      <c r="J384" s="93"/>
      <c r="K384" s="93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  <c r="W384" s="93"/>
      <c r="X384" s="93"/>
      <c r="Y384" s="93"/>
    </row>
    <row r="385" ht="15.75" customHeight="1">
      <c r="A385" s="101"/>
      <c r="B385" s="101"/>
      <c r="C385" s="101"/>
      <c r="D385" s="101"/>
      <c r="E385" s="101"/>
      <c r="F385" s="101"/>
      <c r="G385" s="101"/>
      <c r="H385" s="101"/>
      <c r="I385" s="93"/>
      <c r="J385" s="93"/>
      <c r="K385" s="93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93"/>
      <c r="X385" s="93"/>
      <c r="Y385" s="93"/>
    </row>
    <row r="386" ht="15.75" customHeight="1">
      <c r="A386" s="101"/>
      <c r="B386" s="101"/>
      <c r="C386" s="101"/>
      <c r="D386" s="101"/>
      <c r="E386" s="101"/>
      <c r="F386" s="101"/>
      <c r="G386" s="101"/>
      <c r="H386" s="101"/>
      <c r="I386" s="93"/>
      <c r="J386" s="93"/>
      <c r="K386" s="93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  <c r="W386" s="93"/>
      <c r="X386" s="93"/>
      <c r="Y386" s="93"/>
    </row>
    <row r="387" ht="15.75" customHeight="1">
      <c r="A387" s="101"/>
      <c r="B387" s="101"/>
      <c r="C387" s="101"/>
      <c r="D387" s="101"/>
      <c r="E387" s="101"/>
      <c r="F387" s="101"/>
      <c r="G387" s="101"/>
      <c r="H387" s="101"/>
      <c r="I387" s="93"/>
      <c r="J387" s="93"/>
      <c r="K387" s="93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3"/>
    </row>
    <row r="388" ht="15.75" customHeight="1">
      <c r="A388" s="101"/>
      <c r="B388" s="101"/>
      <c r="C388" s="101"/>
      <c r="D388" s="101"/>
      <c r="E388" s="101"/>
      <c r="F388" s="101"/>
      <c r="G388" s="101"/>
      <c r="H388" s="101"/>
      <c r="I388" s="93"/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3"/>
    </row>
    <row r="389" ht="15.75" customHeight="1">
      <c r="A389" s="101"/>
      <c r="B389" s="101"/>
      <c r="C389" s="101"/>
      <c r="D389" s="101"/>
      <c r="E389" s="101"/>
      <c r="F389" s="101"/>
      <c r="G389" s="101"/>
      <c r="H389" s="101"/>
      <c r="I389" s="93"/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3"/>
    </row>
    <row r="390" ht="15.75" customHeight="1">
      <c r="A390" s="101"/>
      <c r="B390" s="101"/>
      <c r="C390" s="101"/>
      <c r="D390" s="101"/>
      <c r="E390" s="101"/>
      <c r="F390" s="101"/>
      <c r="G390" s="101"/>
      <c r="H390" s="101"/>
      <c r="I390" s="93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3"/>
    </row>
    <row r="391" ht="15.75" customHeight="1">
      <c r="A391" s="101"/>
      <c r="B391" s="101"/>
      <c r="C391" s="101"/>
      <c r="D391" s="101"/>
      <c r="E391" s="101"/>
      <c r="F391" s="101"/>
      <c r="G391" s="101"/>
      <c r="H391" s="101"/>
      <c r="I391" s="93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3"/>
    </row>
    <row r="392" ht="15.75" customHeight="1">
      <c r="A392" s="101"/>
      <c r="B392" s="101"/>
      <c r="C392" s="101"/>
      <c r="D392" s="101"/>
      <c r="E392" s="101"/>
      <c r="F392" s="101"/>
      <c r="G392" s="101"/>
      <c r="H392" s="101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3"/>
    </row>
    <row r="393" ht="15.75" customHeight="1">
      <c r="A393" s="101"/>
      <c r="B393" s="101"/>
      <c r="C393" s="101"/>
      <c r="D393" s="101"/>
      <c r="E393" s="101"/>
      <c r="F393" s="101"/>
      <c r="G393" s="101"/>
      <c r="H393" s="101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</row>
    <row r="394" ht="15.75" customHeight="1">
      <c r="A394" s="101"/>
      <c r="B394" s="101"/>
      <c r="C394" s="101"/>
      <c r="D394" s="101"/>
      <c r="E394" s="101"/>
      <c r="F394" s="101"/>
      <c r="G394" s="101"/>
      <c r="H394" s="101"/>
      <c r="I394" s="93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3"/>
    </row>
    <row r="395" ht="15.75" customHeight="1">
      <c r="A395" s="101"/>
      <c r="B395" s="101"/>
      <c r="C395" s="101"/>
      <c r="D395" s="101"/>
      <c r="E395" s="101"/>
      <c r="F395" s="101"/>
      <c r="G395" s="101"/>
      <c r="H395" s="101"/>
      <c r="I395" s="93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3"/>
    </row>
    <row r="396" ht="15.75" customHeight="1">
      <c r="A396" s="101"/>
      <c r="B396" s="101"/>
      <c r="C396" s="101"/>
      <c r="D396" s="101"/>
      <c r="E396" s="101"/>
      <c r="F396" s="101"/>
      <c r="G396" s="101"/>
      <c r="H396" s="101"/>
      <c r="I396" s="93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3"/>
    </row>
    <row r="397" ht="15.75" customHeight="1">
      <c r="A397" s="101"/>
      <c r="B397" s="101"/>
      <c r="C397" s="101"/>
      <c r="D397" s="101"/>
      <c r="E397" s="101"/>
      <c r="F397" s="101"/>
      <c r="G397" s="101"/>
      <c r="H397" s="101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3"/>
    </row>
    <row r="398" ht="15.75" customHeight="1">
      <c r="A398" s="101"/>
      <c r="B398" s="101"/>
      <c r="C398" s="101"/>
      <c r="D398" s="101"/>
      <c r="E398" s="101"/>
      <c r="F398" s="101"/>
      <c r="G398" s="101"/>
      <c r="H398" s="101"/>
      <c r="I398" s="93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3"/>
    </row>
    <row r="399" ht="15.75" customHeight="1">
      <c r="A399" s="101"/>
      <c r="B399" s="101"/>
      <c r="C399" s="101"/>
      <c r="D399" s="101"/>
      <c r="E399" s="101"/>
      <c r="F399" s="101"/>
      <c r="G399" s="101"/>
      <c r="H399" s="101"/>
      <c r="I399" s="93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3"/>
    </row>
    <row r="400" ht="15.75" customHeight="1">
      <c r="A400" s="101"/>
      <c r="B400" s="101"/>
      <c r="C400" s="101"/>
      <c r="D400" s="101"/>
      <c r="E400" s="101"/>
      <c r="F400" s="101"/>
      <c r="G400" s="101"/>
      <c r="H400" s="101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</row>
    <row r="401" ht="15.75" customHeight="1">
      <c r="A401" s="101"/>
      <c r="B401" s="101"/>
      <c r="C401" s="101"/>
      <c r="D401" s="101"/>
      <c r="E401" s="101"/>
      <c r="F401" s="101"/>
      <c r="G401" s="101"/>
      <c r="H401" s="101"/>
      <c r="I401" s="93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3"/>
    </row>
    <row r="402" ht="15.75" customHeight="1">
      <c r="A402" s="101"/>
      <c r="B402" s="101"/>
      <c r="C402" s="101"/>
      <c r="D402" s="101"/>
      <c r="E402" s="101"/>
      <c r="F402" s="101"/>
      <c r="G402" s="101"/>
      <c r="H402" s="101"/>
      <c r="I402" s="93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3"/>
    </row>
    <row r="403" ht="15.75" customHeight="1">
      <c r="A403" s="101"/>
      <c r="B403" s="101"/>
      <c r="C403" s="101"/>
      <c r="D403" s="101"/>
      <c r="E403" s="101"/>
      <c r="F403" s="101"/>
      <c r="G403" s="101"/>
      <c r="H403" s="101"/>
      <c r="I403" s="93"/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3"/>
    </row>
    <row r="404" ht="15.75" customHeight="1">
      <c r="A404" s="101"/>
      <c r="B404" s="101"/>
      <c r="C404" s="101"/>
      <c r="D404" s="101"/>
      <c r="E404" s="101"/>
      <c r="F404" s="101"/>
      <c r="G404" s="101"/>
      <c r="H404" s="101"/>
      <c r="I404" s="93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3"/>
    </row>
    <row r="405" ht="15.75" customHeight="1">
      <c r="A405" s="101"/>
      <c r="B405" s="101"/>
      <c r="C405" s="101"/>
      <c r="D405" s="101"/>
      <c r="E405" s="101"/>
      <c r="F405" s="101"/>
      <c r="G405" s="101"/>
      <c r="H405" s="101"/>
      <c r="I405" s="93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3"/>
    </row>
    <row r="406" ht="15.75" customHeight="1">
      <c r="A406" s="101"/>
      <c r="B406" s="101"/>
      <c r="C406" s="101"/>
      <c r="D406" s="101"/>
      <c r="E406" s="101"/>
      <c r="F406" s="101"/>
      <c r="G406" s="101"/>
      <c r="H406" s="101"/>
      <c r="I406" s="93"/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3"/>
    </row>
    <row r="407" ht="15.75" customHeight="1">
      <c r="A407" s="101"/>
      <c r="B407" s="101"/>
      <c r="C407" s="101"/>
      <c r="D407" s="101"/>
      <c r="E407" s="101"/>
      <c r="F407" s="101"/>
      <c r="G407" s="101"/>
      <c r="H407" s="101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3"/>
    </row>
    <row r="408" ht="15.75" customHeight="1">
      <c r="A408" s="101"/>
      <c r="B408" s="101"/>
      <c r="C408" s="101"/>
      <c r="D408" s="101"/>
      <c r="E408" s="101"/>
      <c r="F408" s="101"/>
      <c r="G408" s="101"/>
      <c r="H408" s="101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3"/>
    </row>
    <row r="409" ht="15.75" customHeight="1">
      <c r="A409" s="101"/>
      <c r="B409" s="101"/>
      <c r="C409" s="101"/>
      <c r="D409" s="101"/>
      <c r="E409" s="101"/>
      <c r="F409" s="101"/>
      <c r="G409" s="101"/>
      <c r="H409" s="101"/>
      <c r="I409" s="93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3"/>
    </row>
    <row r="410" ht="15.75" customHeight="1">
      <c r="A410" s="101"/>
      <c r="B410" s="101"/>
      <c r="C410" s="101"/>
      <c r="D410" s="101"/>
      <c r="E410" s="101"/>
      <c r="F410" s="101"/>
      <c r="G410" s="101"/>
      <c r="H410" s="101"/>
      <c r="I410" s="93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3"/>
    </row>
    <row r="411" ht="15.75" customHeight="1">
      <c r="A411" s="101"/>
      <c r="B411" s="101"/>
      <c r="C411" s="101"/>
      <c r="D411" s="101"/>
      <c r="E411" s="101"/>
      <c r="F411" s="101"/>
      <c r="G411" s="101"/>
      <c r="H411" s="101"/>
      <c r="I411" s="93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3"/>
    </row>
    <row r="412" ht="15.75" customHeight="1">
      <c r="A412" s="101"/>
      <c r="B412" s="101"/>
      <c r="C412" s="101"/>
      <c r="D412" s="101"/>
      <c r="E412" s="101"/>
      <c r="F412" s="101"/>
      <c r="G412" s="101"/>
      <c r="H412" s="101"/>
      <c r="I412" s="93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3"/>
    </row>
    <row r="413" ht="15.75" customHeight="1">
      <c r="A413" s="101"/>
      <c r="B413" s="101"/>
      <c r="C413" s="101"/>
      <c r="D413" s="101"/>
      <c r="E413" s="101"/>
      <c r="F413" s="101"/>
      <c r="G413" s="101"/>
      <c r="H413" s="101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3"/>
    </row>
    <row r="414" ht="15.75" customHeight="1">
      <c r="A414" s="101"/>
      <c r="B414" s="101"/>
      <c r="C414" s="101"/>
      <c r="D414" s="101"/>
      <c r="E414" s="101"/>
      <c r="F414" s="101"/>
      <c r="G414" s="101"/>
      <c r="H414" s="101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3"/>
    </row>
    <row r="415" ht="15.75" customHeight="1">
      <c r="A415" s="101"/>
      <c r="B415" s="101"/>
      <c r="C415" s="101"/>
      <c r="D415" s="101"/>
      <c r="E415" s="101"/>
      <c r="F415" s="101"/>
      <c r="G415" s="101"/>
      <c r="H415" s="101"/>
      <c r="I415" s="93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3"/>
    </row>
    <row r="416" ht="15.75" customHeight="1">
      <c r="A416" s="101"/>
      <c r="B416" s="101"/>
      <c r="C416" s="101"/>
      <c r="D416" s="101"/>
      <c r="E416" s="101"/>
      <c r="F416" s="101"/>
      <c r="G416" s="101"/>
      <c r="H416" s="101"/>
      <c r="I416" s="93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93"/>
      <c r="X416" s="93"/>
      <c r="Y416" s="93"/>
    </row>
    <row r="417" ht="15.75" customHeight="1">
      <c r="A417" s="101"/>
      <c r="B417" s="101"/>
      <c r="C417" s="101"/>
      <c r="D417" s="101"/>
      <c r="E417" s="101"/>
      <c r="F417" s="101"/>
      <c r="G417" s="101"/>
      <c r="H417" s="101"/>
      <c r="I417" s="93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3"/>
    </row>
    <row r="418" ht="15.75" customHeight="1">
      <c r="A418" s="101"/>
      <c r="B418" s="101"/>
      <c r="C418" s="101"/>
      <c r="D418" s="101"/>
      <c r="E418" s="101"/>
      <c r="F418" s="101"/>
      <c r="G418" s="101"/>
      <c r="H418" s="101"/>
      <c r="I418" s="93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3"/>
    </row>
    <row r="419" ht="15.75" customHeight="1">
      <c r="A419" s="101"/>
      <c r="B419" s="101"/>
      <c r="C419" s="101"/>
      <c r="D419" s="101"/>
      <c r="E419" s="101"/>
      <c r="F419" s="101"/>
      <c r="G419" s="101"/>
      <c r="H419" s="101"/>
      <c r="I419" s="93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3"/>
    </row>
    <row r="420" ht="15.75" customHeight="1">
      <c r="A420" s="101"/>
      <c r="B420" s="101"/>
      <c r="C420" s="101"/>
      <c r="D420" s="101"/>
      <c r="E420" s="101"/>
      <c r="F420" s="101"/>
      <c r="G420" s="101"/>
      <c r="H420" s="101"/>
      <c r="I420" s="93"/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93"/>
      <c r="X420" s="93"/>
      <c r="Y420" s="93"/>
    </row>
    <row r="421" ht="15.75" customHeight="1">
      <c r="A421" s="101"/>
      <c r="B421" s="101"/>
      <c r="C421" s="101"/>
      <c r="D421" s="101"/>
      <c r="E421" s="101"/>
      <c r="F421" s="101"/>
      <c r="G421" s="101"/>
      <c r="H421" s="101"/>
      <c r="I421" s="93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3"/>
    </row>
    <row r="422" ht="15.75" customHeight="1">
      <c r="A422" s="101"/>
      <c r="B422" s="101"/>
      <c r="C422" s="101"/>
      <c r="D422" s="101"/>
      <c r="E422" s="101"/>
      <c r="F422" s="101"/>
      <c r="G422" s="101"/>
      <c r="H422" s="101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  <c r="X422" s="93"/>
      <c r="Y422" s="93"/>
    </row>
    <row r="423" ht="15.75" customHeight="1">
      <c r="A423" s="101"/>
      <c r="B423" s="101"/>
      <c r="C423" s="101"/>
      <c r="D423" s="101"/>
      <c r="E423" s="101"/>
      <c r="F423" s="101"/>
      <c r="G423" s="101"/>
      <c r="H423" s="101"/>
      <c r="I423" s="93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93"/>
      <c r="X423" s="93"/>
      <c r="Y423" s="93"/>
    </row>
    <row r="424" ht="15.75" customHeight="1">
      <c r="A424" s="101"/>
      <c r="B424" s="101"/>
      <c r="C424" s="101"/>
      <c r="D424" s="101"/>
      <c r="E424" s="101"/>
      <c r="F424" s="101"/>
      <c r="G424" s="101"/>
      <c r="H424" s="101"/>
      <c r="I424" s="93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93"/>
      <c r="X424" s="93"/>
      <c r="Y424" s="93"/>
    </row>
    <row r="425" ht="15.75" customHeight="1">
      <c r="A425" s="101"/>
      <c r="B425" s="101"/>
      <c r="C425" s="101"/>
      <c r="D425" s="101"/>
      <c r="E425" s="101"/>
      <c r="F425" s="101"/>
      <c r="G425" s="101"/>
      <c r="H425" s="101"/>
      <c r="I425" s="93"/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  <c r="W425" s="93"/>
      <c r="X425" s="93"/>
      <c r="Y425" s="93"/>
    </row>
    <row r="426" ht="15.75" customHeight="1">
      <c r="A426" s="101"/>
      <c r="B426" s="101"/>
      <c r="C426" s="101"/>
      <c r="D426" s="101"/>
      <c r="E426" s="101"/>
      <c r="F426" s="101"/>
      <c r="G426" s="101"/>
      <c r="H426" s="101"/>
      <c r="I426" s="93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3"/>
    </row>
    <row r="427" ht="15.75" customHeight="1">
      <c r="A427" s="101"/>
      <c r="B427" s="101"/>
      <c r="C427" s="101"/>
      <c r="D427" s="101"/>
      <c r="E427" s="101"/>
      <c r="F427" s="101"/>
      <c r="G427" s="101"/>
      <c r="H427" s="101"/>
      <c r="I427" s="93"/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  <c r="W427" s="93"/>
      <c r="X427" s="93"/>
      <c r="Y427" s="93"/>
    </row>
    <row r="428" ht="15.75" customHeight="1">
      <c r="A428" s="101"/>
      <c r="B428" s="101"/>
      <c r="C428" s="101"/>
      <c r="D428" s="101"/>
      <c r="E428" s="101"/>
      <c r="F428" s="101"/>
      <c r="G428" s="101"/>
      <c r="H428" s="101"/>
      <c r="I428" s="93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93"/>
      <c r="X428" s="93"/>
      <c r="Y428" s="93"/>
    </row>
    <row r="429" ht="15.75" customHeight="1">
      <c r="A429" s="101"/>
      <c r="B429" s="101"/>
      <c r="C429" s="101"/>
      <c r="D429" s="101"/>
      <c r="E429" s="101"/>
      <c r="F429" s="101"/>
      <c r="G429" s="101"/>
      <c r="H429" s="101"/>
      <c r="I429" s="93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93"/>
      <c r="X429" s="93"/>
      <c r="Y429" s="93"/>
    </row>
    <row r="430" ht="15.75" customHeight="1">
      <c r="A430" s="101"/>
      <c r="B430" s="101"/>
      <c r="C430" s="101"/>
      <c r="D430" s="101"/>
      <c r="E430" s="101"/>
      <c r="F430" s="101"/>
      <c r="G430" s="101"/>
      <c r="H430" s="101"/>
      <c r="I430" s="93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  <c r="X430" s="93"/>
      <c r="Y430" s="93"/>
    </row>
    <row r="431" ht="15.75" customHeight="1">
      <c r="A431" s="101"/>
      <c r="B431" s="101"/>
      <c r="C431" s="101"/>
      <c r="D431" s="101"/>
      <c r="E431" s="101"/>
      <c r="F431" s="101"/>
      <c r="G431" s="101"/>
      <c r="H431" s="101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3"/>
    </row>
    <row r="432" ht="15.75" customHeight="1">
      <c r="A432" s="101"/>
      <c r="B432" s="101"/>
      <c r="C432" s="101"/>
      <c r="D432" s="101"/>
      <c r="E432" s="101"/>
      <c r="F432" s="101"/>
      <c r="G432" s="101"/>
      <c r="H432" s="101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3"/>
    </row>
    <row r="433" ht="15.75" customHeight="1">
      <c r="A433" s="101"/>
      <c r="B433" s="101"/>
      <c r="C433" s="101"/>
      <c r="D433" s="101"/>
      <c r="E433" s="101"/>
      <c r="F433" s="101"/>
      <c r="G433" s="101"/>
      <c r="H433" s="101"/>
      <c r="I433" s="93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3"/>
    </row>
    <row r="434" ht="15.75" customHeight="1">
      <c r="A434" s="101"/>
      <c r="B434" s="101"/>
      <c r="C434" s="101"/>
      <c r="D434" s="101"/>
      <c r="E434" s="101"/>
      <c r="F434" s="101"/>
      <c r="G434" s="101"/>
      <c r="H434" s="101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</row>
    <row r="435" ht="15.75" customHeight="1">
      <c r="A435" s="101"/>
      <c r="B435" s="101"/>
      <c r="C435" s="101"/>
      <c r="D435" s="101"/>
      <c r="E435" s="101"/>
      <c r="F435" s="101"/>
      <c r="G435" s="101"/>
      <c r="H435" s="101"/>
      <c r="I435" s="93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3"/>
    </row>
    <row r="436" ht="15.75" customHeight="1">
      <c r="A436" s="101"/>
      <c r="B436" s="101"/>
      <c r="C436" s="101"/>
      <c r="D436" s="101"/>
      <c r="E436" s="101"/>
      <c r="F436" s="101"/>
      <c r="G436" s="101"/>
      <c r="H436" s="101"/>
      <c r="I436" s="93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93"/>
      <c r="X436" s="93"/>
      <c r="Y436" s="93"/>
    </row>
    <row r="437" ht="15.75" customHeight="1">
      <c r="A437" s="101"/>
      <c r="B437" s="101"/>
      <c r="C437" s="101"/>
      <c r="D437" s="101"/>
      <c r="E437" s="101"/>
      <c r="F437" s="101"/>
      <c r="G437" s="101"/>
      <c r="H437" s="101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3"/>
    </row>
    <row r="438" ht="15.75" customHeight="1">
      <c r="A438" s="101"/>
      <c r="B438" s="101"/>
      <c r="C438" s="101"/>
      <c r="D438" s="101"/>
      <c r="E438" s="101"/>
      <c r="F438" s="101"/>
      <c r="G438" s="101"/>
      <c r="H438" s="101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3"/>
    </row>
    <row r="439" ht="15.75" customHeight="1">
      <c r="A439" s="101"/>
      <c r="B439" s="101"/>
      <c r="C439" s="101"/>
      <c r="D439" s="101"/>
      <c r="E439" s="101"/>
      <c r="F439" s="101"/>
      <c r="G439" s="101"/>
      <c r="H439" s="101"/>
      <c r="I439" s="93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3"/>
    </row>
    <row r="440" ht="15.75" customHeight="1">
      <c r="A440" s="101"/>
      <c r="B440" s="101"/>
      <c r="C440" s="101"/>
      <c r="D440" s="101"/>
      <c r="E440" s="101"/>
      <c r="F440" s="101"/>
      <c r="G440" s="101"/>
      <c r="H440" s="101"/>
      <c r="I440" s="93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3"/>
    </row>
    <row r="441" ht="15.75" customHeight="1">
      <c r="A441" s="101"/>
      <c r="B441" s="101"/>
      <c r="C441" s="101"/>
      <c r="D441" s="101"/>
      <c r="E441" s="101"/>
      <c r="F441" s="101"/>
      <c r="G441" s="101"/>
      <c r="H441" s="101"/>
      <c r="I441" s="93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3"/>
    </row>
    <row r="442" ht="15.75" customHeight="1">
      <c r="A442" s="101"/>
      <c r="B442" s="101"/>
      <c r="C442" s="101"/>
      <c r="D442" s="101"/>
      <c r="E442" s="101"/>
      <c r="F442" s="101"/>
      <c r="G442" s="101"/>
      <c r="H442" s="101"/>
      <c r="I442" s="93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3"/>
    </row>
    <row r="443" ht="15.75" customHeight="1">
      <c r="A443" s="101"/>
      <c r="B443" s="101"/>
      <c r="C443" s="101"/>
      <c r="D443" s="101"/>
      <c r="E443" s="101"/>
      <c r="F443" s="101"/>
      <c r="G443" s="101"/>
      <c r="H443" s="101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3"/>
    </row>
    <row r="444" ht="15.75" customHeight="1">
      <c r="A444" s="101"/>
      <c r="B444" s="101"/>
      <c r="C444" s="101"/>
      <c r="D444" s="101"/>
      <c r="E444" s="101"/>
      <c r="F444" s="101"/>
      <c r="G444" s="101"/>
      <c r="H444" s="101"/>
      <c r="I444" s="93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93"/>
      <c r="X444" s="93"/>
      <c r="Y444" s="93"/>
    </row>
    <row r="445" ht="15.75" customHeight="1">
      <c r="A445" s="101"/>
      <c r="B445" s="101"/>
      <c r="C445" s="101"/>
      <c r="D445" s="101"/>
      <c r="E445" s="101"/>
      <c r="F445" s="101"/>
      <c r="G445" s="101"/>
      <c r="H445" s="101"/>
      <c r="I445" s="93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3"/>
    </row>
    <row r="446" ht="15.75" customHeight="1">
      <c r="A446" s="101"/>
      <c r="B446" s="101"/>
      <c r="C446" s="101"/>
      <c r="D446" s="101"/>
      <c r="E446" s="101"/>
      <c r="F446" s="101"/>
      <c r="G446" s="101"/>
      <c r="H446" s="101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3"/>
    </row>
    <row r="447" ht="15.75" customHeight="1">
      <c r="A447" s="101"/>
      <c r="B447" s="101"/>
      <c r="C447" s="101"/>
      <c r="D447" s="101"/>
      <c r="E447" s="101"/>
      <c r="F447" s="101"/>
      <c r="G447" s="101"/>
      <c r="H447" s="101"/>
      <c r="I447" s="93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3"/>
    </row>
    <row r="448" ht="15.75" customHeight="1">
      <c r="A448" s="101"/>
      <c r="B448" s="101"/>
      <c r="C448" s="101"/>
      <c r="D448" s="101"/>
      <c r="E448" s="101"/>
      <c r="F448" s="101"/>
      <c r="G448" s="101"/>
      <c r="H448" s="101"/>
      <c r="I448" s="93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  <c r="X448" s="93"/>
      <c r="Y448" s="93"/>
    </row>
    <row r="449" ht="15.75" customHeight="1">
      <c r="A449" s="101"/>
      <c r="B449" s="101"/>
      <c r="C449" s="101"/>
      <c r="D449" s="101"/>
      <c r="E449" s="101"/>
      <c r="F449" s="101"/>
      <c r="G449" s="101"/>
      <c r="H449" s="101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3"/>
    </row>
    <row r="450" ht="15.75" customHeight="1">
      <c r="A450" s="101"/>
      <c r="B450" s="101"/>
      <c r="C450" s="101"/>
      <c r="D450" s="101"/>
      <c r="E450" s="101"/>
      <c r="F450" s="101"/>
      <c r="G450" s="101"/>
      <c r="H450" s="101"/>
      <c r="I450" s="93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93"/>
      <c r="X450" s="93"/>
      <c r="Y450" s="93"/>
    </row>
    <row r="451" ht="15.75" customHeight="1">
      <c r="A451" s="101"/>
      <c r="B451" s="101"/>
      <c r="C451" s="101"/>
      <c r="D451" s="101"/>
      <c r="E451" s="101"/>
      <c r="F451" s="101"/>
      <c r="G451" s="101"/>
      <c r="H451" s="101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3"/>
    </row>
    <row r="452" ht="15.75" customHeight="1">
      <c r="A452" s="101"/>
      <c r="B452" s="101"/>
      <c r="C452" s="101"/>
      <c r="D452" s="101"/>
      <c r="E452" s="101"/>
      <c r="F452" s="101"/>
      <c r="G452" s="101"/>
      <c r="H452" s="101"/>
      <c r="I452" s="93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3"/>
    </row>
    <row r="453" ht="15.75" customHeight="1">
      <c r="A453" s="101"/>
      <c r="B453" s="101"/>
      <c r="C453" s="101"/>
      <c r="D453" s="101"/>
      <c r="E453" s="101"/>
      <c r="F453" s="101"/>
      <c r="G453" s="101"/>
      <c r="H453" s="101"/>
      <c r="I453" s="93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3"/>
    </row>
    <row r="454" ht="15.75" customHeight="1">
      <c r="A454" s="101"/>
      <c r="B454" s="101"/>
      <c r="C454" s="101"/>
      <c r="D454" s="101"/>
      <c r="E454" s="101"/>
      <c r="F454" s="101"/>
      <c r="G454" s="101"/>
      <c r="H454" s="101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3"/>
    </row>
    <row r="455" ht="15.75" customHeight="1">
      <c r="A455" s="101"/>
      <c r="B455" s="101"/>
      <c r="C455" s="101"/>
      <c r="D455" s="101"/>
      <c r="E455" s="101"/>
      <c r="F455" s="101"/>
      <c r="G455" s="101"/>
      <c r="H455" s="101"/>
      <c r="I455" s="93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3"/>
    </row>
    <row r="456" ht="15.75" customHeight="1">
      <c r="A456" s="101"/>
      <c r="B456" s="101"/>
      <c r="C456" s="101"/>
      <c r="D456" s="101"/>
      <c r="E456" s="101"/>
      <c r="F456" s="101"/>
      <c r="G456" s="101"/>
      <c r="H456" s="101"/>
      <c r="I456" s="93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3"/>
    </row>
    <row r="457" ht="15.75" customHeight="1">
      <c r="A457" s="101"/>
      <c r="B457" s="101"/>
      <c r="C457" s="101"/>
      <c r="D457" s="101"/>
      <c r="E457" s="101"/>
      <c r="F457" s="101"/>
      <c r="G457" s="101"/>
      <c r="H457" s="101"/>
      <c r="I457" s="93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3"/>
    </row>
    <row r="458" ht="15.75" customHeight="1">
      <c r="A458" s="101"/>
      <c r="B458" s="101"/>
      <c r="C458" s="101"/>
      <c r="D458" s="101"/>
      <c r="E458" s="101"/>
      <c r="F458" s="101"/>
      <c r="G458" s="101"/>
      <c r="H458" s="101"/>
      <c r="I458" s="93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3"/>
    </row>
    <row r="459" ht="15.75" customHeight="1">
      <c r="A459" s="101"/>
      <c r="B459" s="101"/>
      <c r="C459" s="101"/>
      <c r="D459" s="101"/>
      <c r="E459" s="101"/>
      <c r="F459" s="101"/>
      <c r="G459" s="101"/>
      <c r="H459" s="101"/>
      <c r="I459" s="93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3"/>
    </row>
    <row r="460" ht="15.75" customHeight="1">
      <c r="A460" s="101"/>
      <c r="B460" s="101"/>
      <c r="C460" s="101"/>
      <c r="D460" s="101"/>
      <c r="E460" s="101"/>
      <c r="F460" s="101"/>
      <c r="G460" s="101"/>
      <c r="H460" s="101"/>
      <c r="I460" s="93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3"/>
    </row>
    <row r="461" ht="15.75" customHeight="1">
      <c r="A461" s="101"/>
      <c r="B461" s="101"/>
      <c r="C461" s="101"/>
      <c r="D461" s="101"/>
      <c r="E461" s="101"/>
      <c r="F461" s="101"/>
      <c r="G461" s="101"/>
      <c r="H461" s="101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  <c r="Y461" s="93"/>
    </row>
    <row r="462" ht="15.75" customHeight="1">
      <c r="A462" s="101"/>
      <c r="B462" s="101"/>
      <c r="C462" s="101"/>
      <c r="D462" s="101"/>
      <c r="E462" s="101"/>
      <c r="F462" s="101"/>
      <c r="G462" s="101"/>
      <c r="H462" s="101"/>
      <c r="I462" s="93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3"/>
    </row>
    <row r="463" ht="15.75" customHeight="1">
      <c r="A463" s="101"/>
      <c r="B463" s="101"/>
      <c r="C463" s="101"/>
      <c r="D463" s="101"/>
      <c r="E463" s="101"/>
      <c r="F463" s="101"/>
      <c r="G463" s="101"/>
      <c r="H463" s="101"/>
      <c r="I463" s="93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93"/>
      <c r="X463" s="93"/>
      <c r="Y463" s="93"/>
    </row>
    <row r="464" ht="15.75" customHeight="1">
      <c r="A464" s="101"/>
      <c r="B464" s="101"/>
      <c r="C464" s="101"/>
      <c r="D464" s="101"/>
      <c r="E464" s="101"/>
      <c r="F464" s="101"/>
      <c r="G464" s="101"/>
      <c r="H464" s="101"/>
      <c r="I464" s="93"/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  <c r="W464" s="93"/>
      <c r="X464" s="93"/>
      <c r="Y464" s="93"/>
    </row>
    <row r="465" ht="15.75" customHeight="1">
      <c r="A465" s="101"/>
      <c r="B465" s="101"/>
      <c r="C465" s="101"/>
      <c r="D465" s="101"/>
      <c r="E465" s="101"/>
      <c r="F465" s="101"/>
      <c r="G465" s="101"/>
      <c r="H465" s="101"/>
      <c r="I465" s="93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93"/>
      <c r="X465" s="93"/>
      <c r="Y465" s="93"/>
    </row>
    <row r="466" ht="15.75" customHeight="1">
      <c r="A466" s="101"/>
      <c r="B466" s="101"/>
      <c r="C466" s="101"/>
      <c r="D466" s="101"/>
      <c r="E466" s="101"/>
      <c r="F466" s="101"/>
      <c r="G466" s="101"/>
      <c r="H466" s="101"/>
      <c r="I466" s="93"/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  <c r="W466" s="93"/>
      <c r="X466" s="93"/>
      <c r="Y466" s="93"/>
    </row>
    <row r="467" ht="15.75" customHeight="1">
      <c r="A467" s="101"/>
      <c r="B467" s="101"/>
      <c r="C467" s="101"/>
      <c r="D467" s="101"/>
      <c r="E467" s="101"/>
      <c r="F467" s="101"/>
      <c r="G467" s="101"/>
      <c r="H467" s="101"/>
      <c r="I467" s="93"/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  <c r="W467" s="93"/>
      <c r="X467" s="93"/>
      <c r="Y467" s="93"/>
    </row>
    <row r="468" ht="15.75" customHeight="1">
      <c r="A468" s="101"/>
      <c r="B468" s="101"/>
      <c r="C468" s="101"/>
      <c r="D468" s="101"/>
      <c r="E468" s="101"/>
      <c r="F468" s="101"/>
      <c r="G468" s="101"/>
      <c r="H468" s="101"/>
      <c r="I468" s="93"/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  <c r="W468" s="93"/>
      <c r="X468" s="93"/>
      <c r="Y468" s="93"/>
    </row>
    <row r="469" ht="15.75" customHeight="1">
      <c r="A469" s="101"/>
      <c r="B469" s="101"/>
      <c r="C469" s="101"/>
      <c r="D469" s="101"/>
      <c r="E469" s="101"/>
      <c r="F469" s="101"/>
      <c r="G469" s="101"/>
      <c r="H469" s="101"/>
      <c r="I469" s="93"/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  <c r="W469" s="93"/>
      <c r="X469" s="93"/>
      <c r="Y469" s="93"/>
    </row>
    <row r="470" ht="15.75" customHeight="1">
      <c r="A470" s="101"/>
      <c r="B470" s="101"/>
      <c r="C470" s="101"/>
      <c r="D470" s="101"/>
      <c r="E470" s="101"/>
      <c r="F470" s="101"/>
      <c r="G470" s="101"/>
      <c r="H470" s="101"/>
      <c r="I470" s="93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93"/>
      <c r="X470" s="93"/>
      <c r="Y470" s="93"/>
    </row>
    <row r="471" ht="15.75" customHeight="1">
      <c r="A471" s="101"/>
      <c r="B471" s="101"/>
      <c r="C471" s="101"/>
      <c r="D471" s="101"/>
      <c r="E471" s="101"/>
      <c r="F471" s="101"/>
      <c r="G471" s="101"/>
      <c r="H471" s="101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3"/>
    </row>
    <row r="472" ht="15.75" customHeight="1">
      <c r="A472" s="101"/>
      <c r="B472" s="101"/>
      <c r="C472" s="101"/>
      <c r="D472" s="101"/>
      <c r="E472" s="101"/>
      <c r="F472" s="101"/>
      <c r="G472" s="101"/>
      <c r="H472" s="101"/>
      <c r="I472" s="93"/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93"/>
      <c r="X472" s="93"/>
      <c r="Y472" s="93"/>
    </row>
    <row r="473" ht="15.75" customHeight="1">
      <c r="A473" s="101"/>
      <c r="B473" s="101"/>
      <c r="C473" s="101"/>
      <c r="D473" s="101"/>
      <c r="E473" s="101"/>
      <c r="F473" s="101"/>
      <c r="G473" s="101"/>
      <c r="H473" s="101"/>
      <c r="I473" s="93"/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3"/>
    </row>
    <row r="474" ht="15.75" customHeight="1">
      <c r="A474" s="101"/>
      <c r="B474" s="101"/>
      <c r="C474" s="101"/>
      <c r="D474" s="101"/>
      <c r="E474" s="101"/>
      <c r="F474" s="101"/>
      <c r="G474" s="101"/>
      <c r="H474" s="101"/>
      <c r="I474" s="93"/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  <c r="W474" s="93"/>
      <c r="X474" s="93"/>
      <c r="Y474" s="93"/>
    </row>
    <row r="475" ht="15.75" customHeight="1">
      <c r="A475" s="101"/>
      <c r="B475" s="101"/>
      <c r="C475" s="101"/>
      <c r="D475" s="101"/>
      <c r="E475" s="101"/>
      <c r="F475" s="101"/>
      <c r="G475" s="101"/>
      <c r="H475" s="101"/>
      <c r="I475" s="93"/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</row>
    <row r="476" ht="15.75" customHeight="1">
      <c r="A476" s="101"/>
      <c r="B476" s="101"/>
      <c r="C476" s="101"/>
      <c r="D476" s="101"/>
      <c r="E476" s="101"/>
      <c r="F476" s="101"/>
      <c r="G476" s="101"/>
      <c r="H476" s="101"/>
      <c r="I476" s="93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93"/>
      <c r="X476" s="93"/>
      <c r="Y476" s="93"/>
    </row>
    <row r="477" ht="15.75" customHeight="1">
      <c r="A477" s="101"/>
      <c r="B477" s="101"/>
      <c r="C477" s="101"/>
      <c r="D477" s="101"/>
      <c r="E477" s="101"/>
      <c r="F477" s="101"/>
      <c r="G477" s="101"/>
      <c r="H477" s="101"/>
      <c r="I477" s="93"/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93"/>
      <c r="X477" s="93"/>
      <c r="Y477" s="93"/>
    </row>
    <row r="478" ht="15.75" customHeight="1">
      <c r="A478" s="101"/>
      <c r="B478" s="101"/>
      <c r="C478" s="101"/>
      <c r="D478" s="101"/>
      <c r="E478" s="101"/>
      <c r="F478" s="101"/>
      <c r="G478" s="101"/>
      <c r="H478" s="101"/>
      <c r="I478" s="93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93"/>
      <c r="X478" s="93"/>
      <c r="Y478" s="93"/>
    </row>
    <row r="479" ht="15.75" customHeight="1">
      <c r="A479" s="101"/>
      <c r="B479" s="101"/>
      <c r="C479" s="101"/>
      <c r="D479" s="101"/>
      <c r="E479" s="101"/>
      <c r="F479" s="101"/>
      <c r="G479" s="101"/>
      <c r="H479" s="101"/>
      <c r="I479" s="93"/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  <c r="W479" s="93"/>
      <c r="X479" s="93"/>
      <c r="Y479" s="93"/>
    </row>
    <row r="480" ht="15.75" customHeight="1">
      <c r="A480" s="101"/>
      <c r="B480" s="101"/>
      <c r="C480" s="101"/>
      <c r="D480" s="101"/>
      <c r="E480" s="101"/>
      <c r="F480" s="101"/>
      <c r="G480" s="101"/>
      <c r="H480" s="101"/>
      <c r="I480" s="93"/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  <c r="W480" s="93"/>
      <c r="X480" s="93"/>
      <c r="Y480" s="93"/>
    </row>
    <row r="481" ht="15.75" customHeight="1">
      <c r="A481" s="101"/>
      <c r="B481" s="101"/>
      <c r="C481" s="101"/>
      <c r="D481" s="101"/>
      <c r="E481" s="101"/>
      <c r="F481" s="101"/>
      <c r="G481" s="101"/>
      <c r="H481" s="101"/>
      <c r="I481" s="93"/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  <c r="W481" s="93"/>
      <c r="X481" s="93"/>
      <c r="Y481" s="93"/>
    </row>
    <row r="482" ht="15.75" customHeight="1">
      <c r="A482" s="101"/>
      <c r="B482" s="101"/>
      <c r="C482" s="101"/>
      <c r="D482" s="101"/>
      <c r="E482" s="101"/>
      <c r="F482" s="101"/>
      <c r="G482" s="101"/>
      <c r="H482" s="101"/>
      <c r="I482" s="93"/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  <c r="W482" s="93"/>
      <c r="X482" s="93"/>
      <c r="Y482" s="93"/>
    </row>
    <row r="483" ht="15.75" customHeight="1">
      <c r="A483" s="101"/>
      <c r="B483" s="101"/>
      <c r="C483" s="101"/>
      <c r="D483" s="101"/>
      <c r="E483" s="101"/>
      <c r="F483" s="101"/>
      <c r="G483" s="101"/>
      <c r="H483" s="101"/>
      <c r="I483" s="93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93"/>
      <c r="X483" s="93"/>
      <c r="Y483" s="93"/>
    </row>
    <row r="484" ht="15.75" customHeight="1">
      <c r="A484" s="101"/>
      <c r="B484" s="101"/>
      <c r="C484" s="101"/>
      <c r="D484" s="101"/>
      <c r="E484" s="101"/>
      <c r="F484" s="101"/>
      <c r="G484" s="101"/>
      <c r="H484" s="101"/>
      <c r="I484" s="93"/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  <c r="W484" s="93"/>
      <c r="X484" s="93"/>
      <c r="Y484" s="93"/>
    </row>
    <row r="485" ht="15.75" customHeight="1">
      <c r="A485" s="101"/>
      <c r="B485" s="101"/>
      <c r="C485" s="101"/>
      <c r="D485" s="101"/>
      <c r="E485" s="101"/>
      <c r="F485" s="101"/>
      <c r="G485" s="101"/>
      <c r="H485" s="101"/>
      <c r="I485" s="93"/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  <c r="W485" s="93"/>
      <c r="X485" s="93"/>
      <c r="Y485" s="93"/>
    </row>
    <row r="486" ht="15.75" customHeight="1">
      <c r="A486" s="101"/>
      <c r="B486" s="101"/>
      <c r="C486" s="101"/>
      <c r="D486" s="101"/>
      <c r="E486" s="101"/>
      <c r="F486" s="101"/>
      <c r="G486" s="101"/>
      <c r="H486" s="101"/>
      <c r="I486" s="93"/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  <c r="W486" s="93"/>
      <c r="X486" s="93"/>
      <c r="Y486" s="93"/>
    </row>
    <row r="487" ht="15.75" customHeight="1">
      <c r="A487" s="101"/>
      <c r="B487" s="101"/>
      <c r="C487" s="101"/>
      <c r="D487" s="101"/>
      <c r="E487" s="101"/>
      <c r="F487" s="101"/>
      <c r="G487" s="101"/>
      <c r="H487" s="101"/>
      <c r="I487" s="93"/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  <c r="W487" s="93"/>
      <c r="X487" s="93"/>
      <c r="Y487" s="93"/>
    </row>
    <row r="488" ht="15.75" customHeight="1">
      <c r="A488" s="101"/>
      <c r="B488" s="101"/>
      <c r="C488" s="101"/>
      <c r="D488" s="101"/>
      <c r="E488" s="101"/>
      <c r="F488" s="101"/>
      <c r="G488" s="101"/>
      <c r="H488" s="101"/>
      <c r="I488" s="93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</row>
    <row r="489" ht="15.75" customHeight="1">
      <c r="A489" s="101"/>
      <c r="B489" s="101"/>
      <c r="C489" s="101"/>
      <c r="D489" s="101"/>
      <c r="E489" s="101"/>
      <c r="F489" s="101"/>
      <c r="G489" s="101"/>
      <c r="H489" s="101"/>
      <c r="I489" s="93"/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  <c r="W489" s="93"/>
      <c r="X489" s="93"/>
      <c r="Y489" s="93"/>
    </row>
    <row r="490" ht="15.75" customHeight="1">
      <c r="A490" s="101"/>
      <c r="B490" s="101"/>
      <c r="C490" s="101"/>
      <c r="D490" s="101"/>
      <c r="E490" s="101"/>
      <c r="F490" s="101"/>
      <c r="G490" s="101"/>
      <c r="H490" s="101"/>
      <c r="I490" s="93"/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  <c r="W490" s="93"/>
      <c r="X490" s="93"/>
      <c r="Y490" s="93"/>
    </row>
    <row r="491" ht="15.75" customHeight="1">
      <c r="A491" s="101"/>
      <c r="B491" s="101"/>
      <c r="C491" s="101"/>
      <c r="D491" s="101"/>
      <c r="E491" s="101"/>
      <c r="F491" s="101"/>
      <c r="G491" s="101"/>
      <c r="H491" s="101"/>
      <c r="I491" s="93"/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  <c r="W491" s="93"/>
      <c r="X491" s="93"/>
      <c r="Y491" s="93"/>
    </row>
    <row r="492" ht="15.75" customHeight="1">
      <c r="A492" s="101"/>
      <c r="B492" s="101"/>
      <c r="C492" s="101"/>
      <c r="D492" s="101"/>
      <c r="E492" s="101"/>
      <c r="F492" s="101"/>
      <c r="G492" s="101"/>
      <c r="H492" s="101"/>
      <c r="I492" s="93"/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  <c r="W492" s="93"/>
      <c r="X492" s="93"/>
      <c r="Y492" s="93"/>
    </row>
    <row r="493" ht="15.75" customHeight="1">
      <c r="A493" s="101"/>
      <c r="B493" s="101"/>
      <c r="C493" s="101"/>
      <c r="D493" s="101"/>
      <c r="E493" s="101"/>
      <c r="F493" s="101"/>
      <c r="G493" s="101"/>
      <c r="H493" s="101"/>
      <c r="I493" s="93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3"/>
    </row>
    <row r="494" ht="15.75" customHeight="1">
      <c r="A494" s="101"/>
      <c r="B494" s="101"/>
      <c r="C494" s="101"/>
      <c r="D494" s="101"/>
      <c r="E494" s="101"/>
      <c r="F494" s="101"/>
      <c r="G494" s="101"/>
      <c r="H494" s="101"/>
      <c r="I494" s="93"/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  <c r="W494" s="93"/>
      <c r="X494" s="93"/>
      <c r="Y494" s="93"/>
    </row>
    <row r="495" ht="15.75" customHeight="1">
      <c r="A495" s="101"/>
      <c r="B495" s="101"/>
      <c r="C495" s="101"/>
      <c r="D495" s="101"/>
      <c r="E495" s="101"/>
      <c r="F495" s="101"/>
      <c r="G495" s="101"/>
      <c r="H495" s="101"/>
      <c r="I495" s="93"/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  <c r="W495" s="93"/>
      <c r="X495" s="93"/>
      <c r="Y495" s="93"/>
    </row>
    <row r="496" ht="15.75" customHeight="1">
      <c r="A496" s="101"/>
      <c r="B496" s="101"/>
      <c r="C496" s="101"/>
      <c r="D496" s="101"/>
      <c r="E496" s="101"/>
      <c r="F496" s="101"/>
      <c r="G496" s="101"/>
      <c r="H496" s="101"/>
      <c r="I496" s="93"/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  <c r="W496" s="93"/>
      <c r="X496" s="93"/>
      <c r="Y496" s="93"/>
    </row>
    <row r="497" ht="15.75" customHeight="1">
      <c r="A497" s="101"/>
      <c r="B497" s="101"/>
      <c r="C497" s="101"/>
      <c r="D497" s="101"/>
      <c r="E497" s="101"/>
      <c r="F497" s="101"/>
      <c r="G497" s="101"/>
      <c r="H497" s="101"/>
      <c r="I497" s="93"/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  <c r="W497" s="93"/>
      <c r="X497" s="93"/>
      <c r="Y497" s="93"/>
    </row>
    <row r="498" ht="15.75" customHeight="1">
      <c r="A498" s="101"/>
      <c r="B498" s="101"/>
      <c r="C498" s="101"/>
      <c r="D498" s="101"/>
      <c r="E498" s="101"/>
      <c r="F498" s="101"/>
      <c r="G498" s="101"/>
      <c r="H498" s="101"/>
      <c r="I498" s="93"/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  <c r="W498" s="93"/>
      <c r="X498" s="93"/>
      <c r="Y498" s="93"/>
    </row>
    <row r="499" ht="15.75" customHeight="1">
      <c r="A499" s="101"/>
      <c r="B499" s="101"/>
      <c r="C499" s="101"/>
      <c r="D499" s="101"/>
      <c r="E499" s="101"/>
      <c r="F499" s="101"/>
      <c r="G499" s="101"/>
      <c r="H499" s="101"/>
      <c r="I499" s="93"/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  <c r="W499" s="93"/>
      <c r="X499" s="93"/>
      <c r="Y499" s="93"/>
    </row>
    <row r="500" ht="15.75" customHeight="1">
      <c r="A500" s="101"/>
      <c r="B500" s="101"/>
      <c r="C500" s="101"/>
      <c r="D500" s="101"/>
      <c r="E500" s="101"/>
      <c r="F500" s="101"/>
      <c r="G500" s="101"/>
      <c r="H500" s="101"/>
      <c r="I500" s="93"/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  <c r="W500" s="93"/>
      <c r="X500" s="93"/>
      <c r="Y500" s="93"/>
    </row>
    <row r="501" ht="15.75" customHeight="1">
      <c r="A501" s="101"/>
      <c r="B501" s="101"/>
      <c r="C501" s="101"/>
      <c r="D501" s="101"/>
      <c r="E501" s="101"/>
      <c r="F501" s="101"/>
      <c r="G501" s="101"/>
      <c r="H501" s="101"/>
      <c r="I501" s="93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93"/>
      <c r="X501" s="93"/>
      <c r="Y501" s="93"/>
    </row>
    <row r="502" ht="15.75" customHeight="1">
      <c r="A502" s="101"/>
      <c r="B502" s="101"/>
      <c r="C502" s="101"/>
      <c r="D502" s="101"/>
      <c r="E502" s="101"/>
      <c r="F502" s="101"/>
      <c r="G502" s="101"/>
      <c r="H502" s="101"/>
      <c r="I502" s="93"/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  <c r="W502" s="93"/>
      <c r="X502" s="93"/>
      <c r="Y502" s="93"/>
    </row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36:H36"/>
    <mergeCell ref="A96:H96"/>
    <mergeCell ref="A184:H184"/>
    <mergeCell ref="A282:H282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8.63"/>
    <col customWidth="1" min="3" max="3" width="7.88"/>
    <col customWidth="1" min="4" max="4" width="36.63"/>
    <col customWidth="1" min="5" max="5" width="31.13"/>
    <col customWidth="1" min="6" max="6" width="15.75"/>
    <col customWidth="1" min="7" max="7" width="15.0"/>
    <col customWidth="1" min="8" max="8" width="9.38"/>
  </cols>
  <sheetData>
    <row r="1" ht="15.75" customHeight="1">
      <c r="A1" s="4" t="s">
        <v>506</v>
      </c>
      <c r="B1" s="4" t="s">
        <v>2</v>
      </c>
      <c r="C1" s="4" t="s">
        <v>6</v>
      </c>
      <c r="D1" s="4" t="s">
        <v>7</v>
      </c>
      <c r="E1" s="4" t="s">
        <v>8</v>
      </c>
      <c r="F1" s="7" t="s">
        <v>9</v>
      </c>
      <c r="G1" s="7" t="s">
        <v>10</v>
      </c>
      <c r="H1" s="7" t="s">
        <v>11</v>
      </c>
    </row>
    <row r="2" ht="15.75" customHeight="1">
      <c r="A2" s="128" t="s">
        <v>78</v>
      </c>
      <c r="B2" s="129">
        <v>44845.0</v>
      </c>
      <c r="C2" s="130">
        <v>44851.0</v>
      </c>
      <c r="D2" s="128" t="s">
        <v>604</v>
      </c>
      <c r="E2" s="128" t="s">
        <v>24</v>
      </c>
      <c r="F2" s="128" t="s">
        <v>88</v>
      </c>
      <c r="G2" s="128" t="s">
        <v>120</v>
      </c>
      <c r="H2" s="131">
        <v>0.35</v>
      </c>
    </row>
    <row r="3" ht="15.75" customHeight="1">
      <c r="A3" s="128" t="s">
        <v>78</v>
      </c>
      <c r="B3" s="129">
        <v>44852.0</v>
      </c>
      <c r="C3" s="130">
        <v>44858.0</v>
      </c>
      <c r="D3" s="128" t="s">
        <v>603</v>
      </c>
      <c r="E3" s="128" t="s">
        <v>605</v>
      </c>
      <c r="F3" s="128" t="s">
        <v>132</v>
      </c>
      <c r="G3" s="128" t="s">
        <v>263</v>
      </c>
      <c r="H3" s="131">
        <v>0.5</v>
      </c>
    </row>
    <row r="4" ht="15.75" customHeight="1">
      <c r="A4" s="128" t="s">
        <v>78</v>
      </c>
      <c r="B4" s="129">
        <v>44852.0</v>
      </c>
      <c r="C4" s="130">
        <v>44858.0</v>
      </c>
      <c r="D4" s="128" t="s">
        <v>191</v>
      </c>
      <c r="E4" s="128" t="s">
        <v>99</v>
      </c>
      <c r="F4" s="128" t="s">
        <v>244</v>
      </c>
      <c r="G4" s="128" t="s">
        <v>252</v>
      </c>
      <c r="H4" s="131">
        <v>0.2</v>
      </c>
    </row>
    <row r="5" ht="15.75" customHeight="1">
      <c r="A5" s="128" t="s">
        <v>78</v>
      </c>
      <c r="B5" s="129">
        <v>44852.0</v>
      </c>
      <c r="C5" s="130">
        <v>44858.0</v>
      </c>
      <c r="D5" s="128" t="s">
        <v>191</v>
      </c>
      <c r="E5" s="128" t="s">
        <v>100</v>
      </c>
      <c r="F5" s="128" t="s">
        <v>244</v>
      </c>
      <c r="G5" s="128" t="s">
        <v>252</v>
      </c>
      <c r="H5" s="131">
        <v>0.2</v>
      </c>
    </row>
    <row r="6" ht="15.75" customHeight="1">
      <c r="A6" s="128" t="s">
        <v>78</v>
      </c>
      <c r="B6" s="129">
        <v>44873.0</v>
      </c>
      <c r="C6" s="130">
        <v>44879.0</v>
      </c>
      <c r="D6" s="128" t="s">
        <v>603</v>
      </c>
      <c r="E6" s="128" t="s">
        <v>24</v>
      </c>
      <c r="F6" s="128" t="s">
        <v>88</v>
      </c>
      <c r="G6" s="128" t="s">
        <v>134</v>
      </c>
      <c r="H6" s="132">
        <v>0.4</v>
      </c>
    </row>
    <row r="7" ht="15.75" customHeight="1">
      <c r="A7" s="128" t="s">
        <v>78</v>
      </c>
      <c r="B7" s="129">
        <v>44882.0</v>
      </c>
      <c r="C7" s="130">
        <v>44895.0</v>
      </c>
      <c r="D7" s="128" t="s">
        <v>103</v>
      </c>
      <c r="E7" s="128" t="s">
        <v>605</v>
      </c>
      <c r="F7" s="128" t="s">
        <v>132</v>
      </c>
      <c r="G7" s="128" t="s">
        <v>263</v>
      </c>
      <c r="H7" s="131">
        <v>0.5</v>
      </c>
    </row>
    <row r="8" ht="15.75" customHeight="1">
      <c r="A8" s="128" t="s">
        <v>78</v>
      </c>
      <c r="B8" s="129">
        <v>44901.0</v>
      </c>
      <c r="C8" s="130">
        <v>44907.0</v>
      </c>
      <c r="D8" s="128" t="s">
        <v>603</v>
      </c>
      <c r="E8" s="128" t="s">
        <v>24</v>
      </c>
      <c r="F8" s="128" t="s">
        <v>88</v>
      </c>
      <c r="G8" s="128" t="s">
        <v>137</v>
      </c>
      <c r="H8" s="132">
        <v>0.5</v>
      </c>
    </row>
    <row r="9" ht="15.75" customHeight="1">
      <c r="A9" s="128" t="s">
        <v>78</v>
      </c>
      <c r="B9" s="129">
        <v>44901.0</v>
      </c>
      <c r="C9" s="130">
        <v>44907.0</v>
      </c>
      <c r="D9" s="128" t="s">
        <v>191</v>
      </c>
      <c r="E9" s="128" t="s">
        <v>99</v>
      </c>
      <c r="F9" s="128" t="s">
        <v>244</v>
      </c>
      <c r="G9" s="128" t="s">
        <v>254</v>
      </c>
      <c r="H9" s="132">
        <v>0.3</v>
      </c>
    </row>
    <row r="10" ht="15.75" customHeight="1">
      <c r="A10" s="128" t="s">
        <v>78</v>
      </c>
      <c r="B10" s="129">
        <v>44901.0</v>
      </c>
      <c r="C10" s="130">
        <v>44907.0</v>
      </c>
      <c r="D10" s="128" t="s">
        <v>191</v>
      </c>
      <c r="E10" s="128" t="s">
        <v>100</v>
      </c>
      <c r="F10" s="128" t="s">
        <v>244</v>
      </c>
      <c r="G10" s="128" t="s">
        <v>252</v>
      </c>
      <c r="H10" s="131">
        <v>0.2</v>
      </c>
    </row>
    <row r="11" ht="15.75" customHeight="1">
      <c r="A11" s="9">
        <v>2023.0</v>
      </c>
    </row>
    <row r="12" ht="15.75" customHeight="1">
      <c r="A12" s="128" t="s">
        <v>78</v>
      </c>
      <c r="B12" s="129">
        <v>44571.0</v>
      </c>
      <c r="C12" s="130">
        <v>44577.0</v>
      </c>
      <c r="D12" s="128" t="s">
        <v>603</v>
      </c>
      <c r="E12" s="128" t="s">
        <v>24</v>
      </c>
      <c r="F12" s="128" t="s">
        <v>88</v>
      </c>
      <c r="G12" s="128" t="s">
        <v>137</v>
      </c>
      <c r="H12" s="131">
        <v>0.5</v>
      </c>
    </row>
    <row r="13" ht="15.75" customHeight="1">
      <c r="A13" s="128" t="s">
        <v>78</v>
      </c>
      <c r="B13" s="129">
        <v>44571.0</v>
      </c>
      <c r="C13" s="130">
        <v>44577.0</v>
      </c>
      <c r="D13" s="128" t="s">
        <v>191</v>
      </c>
      <c r="E13" s="128" t="s">
        <v>99</v>
      </c>
      <c r="F13" s="128" t="s">
        <v>244</v>
      </c>
      <c r="G13" s="128" t="s">
        <v>254</v>
      </c>
      <c r="H13" s="131">
        <v>0.3</v>
      </c>
    </row>
    <row r="14" ht="15.75" customHeight="1">
      <c r="A14" s="128" t="s">
        <v>78</v>
      </c>
      <c r="B14" s="129">
        <v>44571.0</v>
      </c>
      <c r="C14" s="130">
        <v>44577.0</v>
      </c>
      <c r="D14" s="128" t="s">
        <v>191</v>
      </c>
      <c r="E14" s="128" t="s">
        <v>100</v>
      </c>
      <c r="F14" s="128" t="s">
        <v>244</v>
      </c>
      <c r="G14" s="128" t="s">
        <v>254</v>
      </c>
      <c r="H14" s="131">
        <v>0.3</v>
      </c>
    </row>
    <row r="15" ht="15.75" customHeight="1">
      <c r="A15" s="128" t="s">
        <v>78</v>
      </c>
      <c r="B15" s="129">
        <v>44578.0</v>
      </c>
      <c r="C15" s="130">
        <v>44591.0</v>
      </c>
      <c r="D15" s="128" t="s">
        <v>190</v>
      </c>
      <c r="E15" s="128" t="s">
        <v>195</v>
      </c>
      <c r="F15" s="128" t="s">
        <v>196</v>
      </c>
      <c r="G15" s="128" t="s">
        <v>242</v>
      </c>
      <c r="H15" s="131">
        <v>0.2</v>
      </c>
    </row>
    <row r="16" ht="15.75" customHeight="1">
      <c r="A16" s="128" t="s">
        <v>78</v>
      </c>
      <c r="B16" s="129">
        <v>44578.0</v>
      </c>
      <c r="C16" s="130">
        <v>44591.0</v>
      </c>
      <c r="D16" s="128" t="s">
        <v>190</v>
      </c>
      <c r="E16" s="128" t="s">
        <v>201</v>
      </c>
      <c r="F16" s="128" t="s">
        <v>196</v>
      </c>
      <c r="G16" s="128" t="s">
        <v>242</v>
      </c>
      <c r="H16" s="131">
        <v>0.2</v>
      </c>
    </row>
    <row r="17" ht="15.75" customHeight="1">
      <c r="A17" s="128" t="s">
        <v>78</v>
      </c>
      <c r="B17" s="129">
        <v>44578.0</v>
      </c>
      <c r="C17" s="130">
        <v>44591.0</v>
      </c>
      <c r="D17" s="128" t="s">
        <v>190</v>
      </c>
      <c r="E17" s="128" t="s">
        <v>203</v>
      </c>
      <c r="F17" s="128" t="s">
        <v>196</v>
      </c>
      <c r="G17" s="128" t="s">
        <v>242</v>
      </c>
      <c r="H17" s="131">
        <v>0.2</v>
      </c>
    </row>
    <row r="18" ht="15.75" customHeight="1">
      <c r="A18" s="128" t="s">
        <v>78</v>
      </c>
      <c r="B18" s="129">
        <v>44578.0</v>
      </c>
      <c r="C18" s="130">
        <v>44591.0</v>
      </c>
      <c r="D18" s="128" t="s">
        <v>190</v>
      </c>
      <c r="E18" s="128" t="s">
        <v>205</v>
      </c>
      <c r="F18" s="128" t="s">
        <v>131</v>
      </c>
      <c r="G18" s="128" t="s">
        <v>372</v>
      </c>
      <c r="H18" s="131">
        <v>0.2</v>
      </c>
    </row>
    <row r="19" ht="15.75" customHeight="1">
      <c r="A19" s="128" t="s">
        <v>78</v>
      </c>
      <c r="B19" s="129">
        <v>44578.0</v>
      </c>
      <c r="C19" s="130">
        <v>44591.0</v>
      </c>
      <c r="D19" s="128" t="s">
        <v>190</v>
      </c>
      <c r="E19" s="128" t="s">
        <v>209</v>
      </c>
      <c r="F19" s="128" t="s">
        <v>196</v>
      </c>
      <c r="G19" s="128" t="s">
        <v>242</v>
      </c>
      <c r="H19" s="131">
        <v>0.2</v>
      </c>
    </row>
    <row r="20" ht="15.75" customHeight="1">
      <c r="A20" s="128" t="s">
        <v>78</v>
      </c>
      <c r="B20" s="129">
        <v>44578.0</v>
      </c>
      <c r="C20" s="130">
        <v>44591.0</v>
      </c>
      <c r="D20" s="128" t="s">
        <v>190</v>
      </c>
      <c r="E20" s="128" t="s">
        <v>607</v>
      </c>
      <c r="F20" s="128" t="s">
        <v>196</v>
      </c>
      <c r="G20" s="128" t="s">
        <v>242</v>
      </c>
      <c r="H20" s="131">
        <v>0.2</v>
      </c>
    </row>
    <row r="21" ht="15.75" customHeight="1">
      <c r="A21" s="128" t="s">
        <v>78</v>
      </c>
      <c r="B21" s="129">
        <v>44606.0</v>
      </c>
      <c r="C21" s="130">
        <v>44612.0</v>
      </c>
      <c r="D21" s="128" t="s">
        <v>603</v>
      </c>
      <c r="E21" s="128" t="s">
        <v>605</v>
      </c>
      <c r="F21" s="128" t="s">
        <v>95</v>
      </c>
      <c r="G21" s="128" t="s">
        <v>89</v>
      </c>
      <c r="H21" s="131">
        <v>0.4</v>
      </c>
    </row>
    <row r="22" ht="15.75" customHeight="1">
      <c r="A22" s="128" t="s">
        <v>78</v>
      </c>
      <c r="B22" s="129">
        <v>44620.0</v>
      </c>
      <c r="C22" s="130">
        <v>44626.0</v>
      </c>
      <c r="D22" s="128" t="s">
        <v>603</v>
      </c>
      <c r="E22" s="128" t="s">
        <v>195</v>
      </c>
      <c r="F22" s="128" t="s">
        <v>196</v>
      </c>
      <c r="G22" s="128" t="s">
        <v>242</v>
      </c>
      <c r="H22" s="131">
        <v>0.2</v>
      </c>
    </row>
    <row r="23" ht="15.75" customHeight="1">
      <c r="A23" s="128" t="s">
        <v>78</v>
      </c>
      <c r="B23" s="129">
        <v>44620.0</v>
      </c>
      <c r="C23" s="130">
        <v>44626.0</v>
      </c>
      <c r="D23" s="128" t="s">
        <v>603</v>
      </c>
      <c r="E23" s="128" t="s">
        <v>201</v>
      </c>
      <c r="F23" s="128" t="s">
        <v>196</v>
      </c>
      <c r="G23" s="128" t="s">
        <v>242</v>
      </c>
      <c r="H23" s="131">
        <v>0.2</v>
      </c>
    </row>
    <row r="24" ht="15.75" customHeight="1">
      <c r="A24" s="128" t="s">
        <v>78</v>
      </c>
      <c r="B24" s="129">
        <v>44620.0</v>
      </c>
      <c r="C24" s="130">
        <v>44626.0</v>
      </c>
      <c r="D24" s="128" t="s">
        <v>603</v>
      </c>
      <c r="E24" s="128" t="s">
        <v>203</v>
      </c>
      <c r="F24" s="128" t="s">
        <v>196</v>
      </c>
      <c r="G24" s="128" t="s">
        <v>242</v>
      </c>
      <c r="H24" s="131">
        <v>0.2</v>
      </c>
    </row>
    <row r="25" ht="15.75" customHeight="1">
      <c r="A25" s="128" t="s">
        <v>78</v>
      </c>
      <c r="B25" s="129">
        <v>44620.0</v>
      </c>
      <c r="C25" s="130">
        <v>44626.0</v>
      </c>
      <c r="D25" s="128" t="s">
        <v>603</v>
      </c>
      <c r="E25" s="128" t="s">
        <v>205</v>
      </c>
      <c r="F25" s="128" t="s">
        <v>131</v>
      </c>
      <c r="G25" s="128" t="s">
        <v>372</v>
      </c>
      <c r="H25" s="131">
        <v>0.2</v>
      </c>
    </row>
    <row r="26" ht="15.75" customHeight="1">
      <c r="A26" s="128" t="s">
        <v>78</v>
      </c>
      <c r="B26" s="129">
        <v>44620.0</v>
      </c>
      <c r="C26" s="130">
        <v>44626.0</v>
      </c>
      <c r="D26" s="128" t="s">
        <v>603</v>
      </c>
      <c r="E26" s="128" t="s">
        <v>209</v>
      </c>
      <c r="F26" s="128" t="s">
        <v>196</v>
      </c>
      <c r="G26" s="128" t="s">
        <v>242</v>
      </c>
      <c r="H26" s="131">
        <v>0.2</v>
      </c>
    </row>
    <row r="27" ht="15.75" customHeight="1">
      <c r="A27" s="128" t="s">
        <v>78</v>
      </c>
      <c r="B27" s="129">
        <v>44620.0</v>
      </c>
      <c r="C27" s="130">
        <v>44626.0</v>
      </c>
      <c r="D27" s="128" t="s">
        <v>603</v>
      </c>
      <c r="E27" s="128" t="s">
        <v>607</v>
      </c>
      <c r="F27" s="128" t="s">
        <v>196</v>
      </c>
      <c r="G27" s="128" t="s">
        <v>242</v>
      </c>
      <c r="H27" s="131">
        <v>0.2</v>
      </c>
    </row>
    <row r="28" ht="15.75" customHeight="1">
      <c r="A28" s="128" t="s">
        <v>78</v>
      </c>
      <c r="B28" s="129">
        <v>44627.0</v>
      </c>
      <c r="C28" s="130">
        <v>44633.0</v>
      </c>
      <c r="D28" s="128" t="s">
        <v>191</v>
      </c>
      <c r="E28" s="128" t="s">
        <v>99</v>
      </c>
      <c r="F28" s="128" t="s">
        <v>244</v>
      </c>
      <c r="G28" s="128" t="s">
        <v>254</v>
      </c>
      <c r="H28" s="131">
        <v>0.3</v>
      </c>
    </row>
    <row r="29" ht="15.75" customHeight="1">
      <c r="A29" s="128" t="s">
        <v>78</v>
      </c>
      <c r="B29" s="129">
        <v>44627.0</v>
      </c>
      <c r="C29" s="130">
        <v>44633.0</v>
      </c>
      <c r="D29" s="128" t="s">
        <v>191</v>
      </c>
      <c r="E29" s="128" t="s">
        <v>100</v>
      </c>
      <c r="F29" s="128" t="s">
        <v>244</v>
      </c>
      <c r="G29" s="128" t="s">
        <v>254</v>
      </c>
      <c r="H29" s="131">
        <v>0.3</v>
      </c>
    </row>
    <row r="30" ht="15.75" customHeight="1">
      <c r="A30" s="128" t="s">
        <v>78</v>
      </c>
      <c r="B30" s="129">
        <v>44627.0</v>
      </c>
      <c r="C30" s="130">
        <v>44633.0</v>
      </c>
      <c r="D30" s="128" t="s">
        <v>349</v>
      </c>
      <c r="E30" s="128" t="s">
        <v>24</v>
      </c>
      <c r="F30" s="128" t="s">
        <v>88</v>
      </c>
      <c r="G30" s="128" t="s">
        <v>137</v>
      </c>
      <c r="H30" s="131">
        <v>0.5</v>
      </c>
    </row>
    <row r="31" ht="15.75" customHeight="1">
      <c r="A31" s="128" t="s">
        <v>78</v>
      </c>
      <c r="B31" s="129">
        <v>44641.0</v>
      </c>
      <c r="C31" s="130">
        <v>44647.0</v>
      </c>
      <c r="D31" s="128" t="s">
        <v>608</v>
      </c>
      <c r="E31" s="128" t="s">
        <v>605</v>
      </c>
      <c r="F31" s="128" t="s">
        <v>95</v>
      </c>
      <c r="G31" s="128" t="s">
        <v>89</v>
      </c>
      <c r="H31" s="131">
        <v>0.4</v>
      </c>
    </row>
    <row r="32" ht="15.75" customHeight="1"/>
    <row r="33" ht="15.75" customHeight="1">
      <c r="A33" s="4" t="s">
        <v>506</v>
      </c>
      <c r="B33" s="4" t="s">
        <v>2</v>
      </c>
      <c r="C33" s="4" t="s">
        <v>6</v>
      </c>
      <c r="D33" s="4" t="s">
        <v>7</v>
      </c>
      <c r="E33" s="4" t="s">
        <v>8</v>
      </c>
      <c r="F33" s="7" t="s">
        <v>9</v>
      </c>
      <c r="G33" s="7" t="s">
        <v>10</v>
      </c>
      <c r="H33" s="7" t="s">
        <v>11</v>
      </c>
    </row>
    <row r="34" ht="15.75" customHeight="1">
      <c r="A34" s="44" t="s">
        <v>509</v>
      </c>
      <c r="B34" s="43">
        <v>44735.0</v>
      </c>
      <c r="C34" s="43">
        <v>44749.0</v>
      </c>
      <c r="D34" s="44" t="s">
        <v>56</v>
      </c>
      <c r="E34" s="13" t="s">
        <v>24</v>
      </c>
      <c r="F34" s="8">
        <v>29.99</v>
      </c>
      <c r="G34" s="8">
        <f t="shared" ref="G34:G40" si="1">F34*(1-H34)</f>
        <v>17.994</v>
      </c>
      <c r="H34" s="46">
        <v>0.4</v>
      </c>
    </row>
    <row r="35" ht="15.75" customHeight="1">
      <c r="A35" s="44" t="s">
        <v>509</v>
      </c>
      <c r="B35" s="43">
        <v>44735.0</v>
      </c>
      <c r="C35" s="43">
        <v>44749.0</v>
      </c>
      <c r="D35" s="44" t="s">
        <v>56</v>
      </c>
      <c r="E35" s="13" t="s">
        <v>605</v>
      </c>
      <c r="F35" s="8">
        <v>49.99</v>
      </c>
      <c r="G35" s="8">
        <f t="shared" si="1"/>
        <v>29.994</v>
      </c>
      <c r="H35" s="46">
        <v>0.4</v>
      </c>
    </row>
    <row r="36" ht="15.75" customHeight="1">
      <c r="A36" s="44" t="s">
        <v>509</v>
      </c>
      <c r="B36" s="43">
        <v>44735.0</v>
      </c>
      <c r="C36" s="43">
        <v>44749.0</v>
      </c>
      <c r="D36" s="44" t="s">
        <v>56</v>
      </c>
      <c r="E36" s="13" t="s">
        <v>99</v>
      </c>
      <c r="F36" s="8">
        <v>24.99</v>
      </c>
      <c r="G36" s="8">
        <f t="shared" si="1"/>
        <v>19.992</v>
      </c>
      <c r="H36" s="46">
        <v>0.2</v>
      </c>
    </row>
    <row r="37" ht="15.75" customHeight="1">
      <c r="A37" s="44" t="s">
        <v>509</v>
      </c>
      <c r="B37" s="43">
        <v>44735.0</v>
      </c>
      <c r="C37" s="43">
        <v>44749.0</v>
      </c>
      <c r="D37" s="44" t="s">
        <v>56</v>
      </c>
      <c r="E37" s="13" t="s">
        <v>100</v>
      </c>
      <c r="F37" s="8">
        <v>24.99</v>
      </c>
      <c r="G37" s="8">
        <f t="shared" si="1"/>
        <v>21.2415</v>
      </c>
      <c r="H37" s="46">
        <v>0.15</v>
      </c>
    </row>
    <row r="38" ht="15.75" customHeight="1">
      <c r="A38" s="44" t="s">
        <v>509</v>
      </c>
      <c r="B38" s="43">
        <v>44735.0</v>
      </c>
      <c r="C38" s="43">
        <v>44749.0</v>
      </c>
      <c r="D38" s="44" t="s">
        <v>56</v>
      </c>
      <c r="E38" s="13" t="s">
        <v>609</v>
      </c>
      <c r="F38" s="8">
        <v>6.99</v>
      </c>
      <c r="G38" s="8">
        <f t="shared" si="1"/>
        <v>5.2425</v>
      </c>
      <c r="H38" s="46">
        <v>0.25</v>
      </c>
    </row>
    <row r="39" ht="15.75" customHeight="1">
      <c r="A39" s="44" t="s">
        <v>509</v>
      </c>
      <c r="B39" s="43">
        <v>44735.0</v>
      </c>
      <c r="C39" s="43">
        <v>44749.0</v>
      </c>
      <c r="D39" s="44" t="s">
        <v>56</v>
      </c>
      <c r="E39" s="13" t="s">
        <v>610</v>
      </c>
      <c r="F39" s="8">
        <v>11.99</v>
      </c>
      <c r="G39" s="8">
        <f t="shared" si="1"/>
        <v>8.9925</v>
      </c>
      <c r="H39" s="46">
        <v>0.25</v>
      </c>
    </row>
    <row r="40" ht="15.75" customHeight="1">
      <c r="A40" s="44" t="s">
        <v>509</v>
      </c>
      <c r="B40" s="43">
        <v>44735.0</v>
      </c>
      <c r="C40" s="43">
        <v>44749.0</v>
      </c>
      <c r="D40" s="44" t="s">
        <v>56</v>
      </c>
      <c r="E40" s="13" t="s">
        <v>611</v>
      </c>
      <c r="F40" s="8">
        <v>6.99</v>
      </c>
      <c r="G40" s="8">
        <f t="shared" si="1"/>
        <v>5.9415</v>
      </c>
      <c r="H40" s="46">
        <v>0.15</v>
      </c>
    </row>
    <row r="41" ht="15.75" customHeight="1">
      <c r="A41" s="44" t="s">
        <v>509</v>
      </c>
      <c r="B41" s="43">
        <v>44735.0</v>
      </c>
      <c r="C41" s="43">
        <v>44749.0</v>
      </c>
      <c r="D41" s="44" t="s">
        <v>56</v>
      </c>
      <c r="E41" s="13" t="s">
        <v>612</v>
      </c>
      <c r="F41" s="8" t="s">
        <v>613</v>
      </c>
      <c r="G41" s="8" t="s">
        <v>613</v>
      </c>
      <c r="H41" s="46">
        <v>0.2</v>
      </c>
    </row>
    <row r="42" ht="15.75" customHeight="1">
      <c r="A42" s="101"/>
      <c r="B42" s="133"/>
      <c r="C42" s="133"/>
      <c r="D42" s="101"/>
      <c r="E42" s="134"/>
      <c r="F42" s="61"/>
      <c r="G42" s="61"/>
      <c r="H42" s="135"/>
    </row>
    <row r="43" ht="15.75" customHeight="1">
      <c r="A43" s="44" t="s">
        <v>509</v>
      </c>
      <c r="B43" s="43">
        <v>44809.0</v>
      </c>
      <c r="C43" s="43">
        <v>44819.0</v>
      </c>
      <c r="D43" s="44" t="s">
        <v>615</v>
      </c>
      <c r="E43" s="13" t="s">
        <v>24</v>
      </c>
      <c r="F43" s="8">
        <v>29.99</v>
      </c>
      <c r="G43" s="8">
        <f t="shared" ref="G43:G49" si="2">F43*(1-H43)</f>
        <v>17.994</v>
      </c>
      <c r="H43" s="46">
        <v>0.4</v>
      </c>
    </row>
    <row r="44" ht="15.75" customHeight="1">
      <c r="A44" s="44" t="s">
        <v>509</v>
      </c>
      <c r="B44" s="43">
        <v>44810.0</v>
      </c>
      <c r="C44" s="43">
        <v>44820.0</v>
      </c>
      <c r="D44" s="44" t="s">
        <v>615</v>
      </c>
      <c r="E44" s="13" t="s">
        <v>605</v>
      </c>
      <c r="F44" s="8">
        <v>49.99</v>
      </c>
      <c r="G44" s="8">
        <f t="shared" si="2"/>
        <v>29.994</v>
      </c>
      <c r="H44" s="46">
        <v>0.4</v>
      </c>
    </row>
    <row r="45" ht="15.75" customHeight="1">
      <c r="A45" s="44" t="s">
        <v>509</v>
      </c>
      <c r="B45" s="43">
        <v>44811.0</v>
      </c>
      <c r="C45" s="43">
        <v>44821.0</v>
      </c>
      <c r="D45" s="44" t="s">
        <v>615</v>
      </c>
      <c r="E45" s="13" t="s">
        <v>99</v>
      </c>
      <c r="F45" s="8">
        <v>24.99</v>
      </c>
      <c r="G45" s="8">
        <f t="shared" si="2"/>
        <v>18.7425</v>
      </c>
      <c r="H45" s="46">
        <v>0.25</v>
      </c>
    </row>
    <row r="46" ht="15.75" customHeight="1">
      <c r="A46" s="44" t="s">
        <v>509</v>
      </c>
      <c r="B46" s="43">
        <v>44812.0</v>
      </c>
      <c r="C46" s="43">
        <v>44822.0</v>
      </c>
      <c r="D46" s="44" t="s">
        <v>615</v>
      </c>
      <c r="E46" s="13" t="s">
        <v>100</v>
      </c>
      <c r="F46" s="8">
        <v>24.99</v>
      </c>
      <c r="G46" s="8">
        <f t="shared" si="2"/>
        <v>19.992</v>
      </c>
      <c r="H46" s="46">
        <v>0.2</v>
      </c>
    </row>
    <row r="47" ht="15.75" customHeight="1">
      <c r="A47" s="44" t="s">
        <v>509</v>
      </c>
      <c r="B47" s="43">
        <v>44813.0</v>
      </c>
      <c r="C47" s="43">
        <v>44823.0</v>
      </c>
      <c r="D47" s="44" t="s">
        <v>615</v>
      </c>
      <c r="E47" s="13" t="s">
        <v>609</v>
      </c>
      <c r="F47" s="8">
        <v>6.99</v>
      </c>
      <c r="G47" s="8">
        <f t="shared" si="2"/>
        <v>4.893</v>
      </c>
      <c r="H47" s="46">
        <v>0.3</v>
      </c>
    </row>
    <row r="48" ht="15.75" customHeight="1">
      <c r="A48" s="44" t="s">
        <v>509</v>
      </c>
      <c r="B48" s="43">
        <v>44814.0</v>
      </c>
      <c r="C48" s="43">
        <v>44824.0</v>
      </c>
      <c r="D48" s="44" t="s">
        <v>615</v>
      </c>
      <c r="E48" s="13" t="s">
        <v>610</v>
      </c>
      <c r="F48" s="8">
        <v>11.99</v>
      </c>
      <c r="G48" s="8">
        <f t="shared" si="2"/>
        <v>8.393</v>
      </c>
      <c r="H48" s="46">
        <v>0.3</v>
      </c>
    </row>
    <row r="49" ht="15.75" customHeight="1">
      <c r="A49" s="44" t="s">
        <v>509</v>
      </c>
      <c r="B49" s="43">
        <v>44815.0</v>
      </c>
      <c r="C49" s="43">
        <v>44825.0</v>
      </c>
      <c r="D49" s="44" t="s">
        <v>615</v>
      </c>
      <c r="E49" s="13" t="s">
        <v>611</v>
      </c>
      <c r="F49" s="8">
        <v>6.99</v>
      </c>
      <c r="G49" s="8">
        <f t="shared" si="2"/>
        <v>5.592</v>
      </c>
      <c r="H49" s="46">
        <v>0.2</v>
      </c>
    </row>
    <row r="50" ht="15.75" customHeight="1">
      <c r="A50" s="44" t="s">
        <v>509</v>
      </c>
      <c r="B50" s="43">
        <v>44816.0</v>
      </c>
      <c r="C50" s="43">
        <v>44826.0</v>
      </c>
      <c r="D50" s="44" t="s">
        <v>615</v>
      </c>
      <c r="E50" s="13" t="s">
        <v>612</v>
      </c>
      <c r="F50" s="8" t="s">
        <v>613</v>
      </c>
      <c r="G50" s="8" t="s">
        <v>613</v>
      </c>
      <c r="H50" s="46">
        <v>0.2</v>
      </c>
    </row>
    <row r="51" ht="15.75" customHeight="1">
      <c r="A51" s="101"/>
      <c r="B51" s="133"/>
      <c r="C51" s="133"/>
      <c r="D51" s="101"/>
      <c r="E51" s="134"/>
      <c r="F51" s="61"/>
      <c r="G51" s="61"/>
      <c r="H51" s="135"/>
    </row>
    <row r="52" ht="15.75" customHeight="1">
      <c r="A52" s="44" t="s">
        <v>509</v>
      </c>
      <c r="B52" s="43">
        <v>44847.0</v>
      </c>
      <c r="C52" s="43">
        <v>44856.0</v>
      </c>
      <c r="D52" s="44" t="s">
        <v>617</v>
      </c>
      <c r="E52" s="13" t="s">
        <v>24</v>
      </c>
      <c r="F52" s="8">
        <v>29.99</v>
      </c>
      <c r="G52" s="8">
        <f t="shared" ref="G52:G58" si="3">F52*(1-H52)</f>
        <v>17.994</v>
      </c>
      <c r="H52" s="46">
        <v>0.4</v>
      </c>
    </row>
    <row r="53" ht="15.75" customHeight="1">
      <c r="A53" s="44" t="s">
        <v>509</v>
      </c>
      <c r="B53" s="43">
        <v>44847.0</v>
      </c>
      <c r="C53" s="43">
        <v>44856.0</v>
      </c>
      <c r="D53" s="44" t="s">
        <v>617</v>
      </c>
      <c r="E53" s="13" t="s">
        <v>605</v>
      </c>
      <c r="F53" s="8">
        <v>49.99</v>
      </c>
      <c r="G53" s="8">
        <f t="shared" si="3"/>
        <v>29.994</v>
      </c>
      <c r="H53" s="46">
        <v>0.4</v>
      </c>
    </row>
    <row r="54" ht="15.75" customHeight="1">
      <c r="A54" s="44" t="s">
        <v>509</v>
      </c>
      <c r="B54" s="43">
        <v>44847.0</v>
      </c>
      <c r="C54" s="43">
        <v>44856.0</v>
      </c>
      <c r="D54" s="44" t="s">
        <v>617</v>
      </c>
      <c r="E54" s="13" t="s">
        <v>99</v>
      </c>
      <c r="F54" s="8">
        <v>24.99</v>
      </c>
      <c r="G54" s="8">
        <f t="shared" si="3"/>
        <v>18.7425</v>
      </c>
      <c r="H54" s="46">
        <v>0.25</v>
      </c>
    </row>
    <row r="55" ht="15.75" customHeight="1">
      <c r="A55" s="44" t="s">
        <v>509</v>
      </c>
      <c r="B55" s="43">
        <v>44847.0</v>
      </c>
      <c r="C55" s="43">
        <v>44856.0</v>
      </c>
      <c r="D55" s="44" t="s">
        <v>617</v>
      </c>
      <c r="E55" s="13" t="s">
        <v>100</v>
      </c>
      <c r="F55" s="8">
        <v>24.99</v>
      </c>
      <c r="G55" s="8">
        <f t="shared" si="3"/>
        <v>19.992</v>
      </c>
      <c r="H55" s="46">
        <v>0.2</v>
      </c>
    </row>
    <row r="56" ht="15.75" customHeight="1">
      <c r="A56" s="44" t="s">
        <v>509</v>
      </c>
      <c r="B56" s="43">
        <v>44847.0</v>
      </c>
      <c r="C56" s="43">
        <v>44856.0</v>
      </c>
      <c r="D56" s="44" t="s">
        <v>617</v>
      </c>
      <c r="E56" s="13" t="s">
        <v>609</v>
      </c>
      <c r="F56" s="8">
        <v>6.99</v>
      </c>
      <c r="G56" s="8">
        <f t="shared" si="3"/>
        <v>4.893</v>
      </c>
      <c r="H56" s="46">
        <v>0.3</v>
      </c>
    </row>
    <row r="57" ht="15.75" customHeight="1">
      <c r="A57" s="44" t="s">
        <v>509</v>
      </c>
      <c r="B57" s="43">
        <v>44847.0</v>
      </c>
      <c r="C57" s="43">
        <v>44856.0</v>
      </c>
      <c r="D57" s="44" t="s">
        <v>617</v>
      </c>
      <c r="E57" s="13" t="s">
        <v>610</v>
      </c>
      <c r="F57" s="8">
        <v>11.99</v>
      </c>
      <c r="G57" s="8">
        <f t="shared" si="3"/>
        <v>8.393</v>
      </c>
      <c r="H57" s="46">
        <v>0.3</v>
      </c>
    </row>
    <row r="58" ht="15.75" customHeight="1">
      <c r="A58" s="44" t="s">
        <v>509</v>
      </c>
      <c r="B58" s="43">
        <v>44847.0</v>
      </c>
      <c r="C58" s="43">
        <v>44856.0</v>
      </c>
      <c r="D58" s="44" t="s">
        <v>617</v>
      </c>
      <c r="E58" s="13" t="s">
        <v>611</v>
      </c>
      <c r="F58" s="8">
        <v>6.99</v>
      </c>
      <c r="G58" s="8">
        <f t="shared" si="3"/>
        <v>5.592</v>
      </c>
      <c r="H58" s="46">
        <v>0.2</v>
      </c>
    </row>
    <row r="59" ht="15.75" customHeight="1">
      <c r="A59" s="44" t="s">
        <v>509</v>
      </c>
      <c r="B59" s="43">
        <v>44847.0</v>
      </c>
      <c r="C59" s="43">
        <v>44856.0</v>
      </c>
      <c r="D59" s="44" t="s">
        <v>617</v>
      </c>
      <c r="E59" s="13" t="s">
        <v>612</v>
      </c>
      <c r="F59" s="8" t="s">
        <v>613</v>
      </c>
      <c r="G59" s="8" t="s">
        <v>613</v>
      </c>
      <c r="H59" s="46">
        <v>0.2</v>
      </c>
    </row>
    <row r="60" ht="15.75" customHeight="1">
      <c r="A60" s="101"/>
      <c r="B60" s="101"/>
      <c r="C60" s="101"/>
      <c r="D60" s="101"/>
      <c r="E60" s="136"/>
      <c r="F60" s="137"/>
      <c r="G60" s="137"/>
      <c r="H60" s="136"/>
    </row>
    <row r="61" ht="15.75" customHeight="1">
      <c r="A61" s="44" t="s">
        <v>509</v>
      </c>
      <c r="B61" s="43">
        <v>44887.0</v>
      </c>
      <c r="C61" s="43">
        <v>44894.0</v>
      </c>
      <c r="D61" s="44" t="s">
        <v>619</v>
      </c>
      <c r="E61" s="13" t="s">
        <v>24</v>
      </c>
      <c r="F61" s="8">
        <v>29.99</v>
      </c>
      <c r="G61" s="8">
        <f t="shared" ref="G61:G68" si="4">F61*(1-H61)</f>
        <v>16.4945</v>
      </c>
      <c r="H61" s="46">
        <v>0.45</v>
      </c>
    </row>
    <row r="62" ht="15.75" customHeight="1">
      <c r="A62" s="44" t="s">
        <v>509</v>
      </c>
      <c r="B62" s="43">
        <v>44887.0</v>
      </c>
      <c r="C62" s="43">
        <v>44894.0</v>
      </c>
      <c r="D62" s="44" t="s">
        <v>619</v>
      </c>
      <c r="E62" s="13" t="s">
        <v>605</v>
      </c>
      <c r="F62" s="8">
        <v>49.99</v>
      </c>
      <c r="G62" s="138">
        <f t="shared" si="4"/>
        <v>27.4945</v>
      </c>
      <c r="H62" s="139">
        <v>0.45</v>
      </c>
    </row>
    <row r="63" ht="15.75" customHeight="1">
      <c r="A63" s="44" t="s">
        <v>509</v>
      </c>
      <c r="B63" s="43">
        <v>44887.0</v>
      </c>
      <c r="C63" s="43">
        <v>44894.0</v>
      </c>
      <c r="D63" s="44" t="s">
        <v>619</v>
      </c>
      <c r="E63" s="13" t="s">
        <v>99</v>
      </c>
      <c r="F63" s="8">
        <v>24.99</v>
      </c>
      <c r="G63" s="8">
        <f t="shared" si="4"/>
        <v>18.7425</v>
      </c>
      <c r="H63" s="46">
        <v>0.25</v>
      </c>
    </row>
    <row r="64" ht="15.75" customHeight="1">
      <c r="A64" s="44" t="s">
        <v>509</v>
      </c>
      <c r="B64" s="43">
        <v>44887.0</v>
      </c>
      <c r="C64" s="43">
        <v>44894.0</v>
      </c>
      <c r="D64" s="44" t="s">
        <v>619</v>
      </c>
      <c r="E64" s="13" t="s">
        <v>100</v>
      </c>
      <c r="F64" s="8">
        <v>24.99</v>
      </c>
      <c r="G64" s="138">
        <f t="shared" si="4"/>
        <v>19.992</v>
      </c>
      <c r="H64" s="139">
        <v>0.2</v>
      </c>
    </row>
    <row r="65" ht="15.75" customHeight="1">
      <c r="A65" s="44" t="s">
        <v>509</v>
      </c>
      <c r="B65" s="43">
        <v>44887.0</v>
      </c>
      <c r="C65" s="43">
        <v>44894.0</v>
      </c>
      <c r="D65" s="44" t="s">
        <v>619</v>
      </c>
      <c r="E65" s="140" t="s">
        <v>620</v>
      </c>
      <c r="F65" s="8">
        <v>6.99</v>
      </c>
      <c r="G65" s="8">
        <f t="shared" si="4"/>
        <v>4.893</v>
      </c>
      <c r="H65" s="46">
        <v>0.3</v>
      </c>
    </row>
    <row r="66" ht="15.75" customHeight="1">
      <c r="A66" s="44" t="s">
        <v>509</v>
      </c>
      <c r="B66" s="43">
        <v>44887.0</v>
      </c>
      <c r="C66" s="43">
        <v>44894.0</v>
      </c>
      <c r="D66" s="44" t="s">
        <v>619</v>
      </c>
      <c r="E66" s="13" t="s">
        <v>610</v>
      </c>
      <c r="F66" s="8">
        <v>11.99</v>
      </c>
      <c r="G66" s="8">
        <f t="shared" si="4"/>
        <v>8.393</v>
      </c>
      <c r="H66" s="46">
        <v>0.3</v>
      </c>
    </row>
    <row r="67" ht="15.75" customHeight="1">
      <c r="A67" s="44" t="s">
        <v>509</v>
      </c>
      <c r="B67" s="43">
        <v>44887.0</v>
      </c>
      <c r="C67" s="43">
        <v>44894.0</v>
      </c>
      <c r="D67" s="44" t="s">
        <v>619</v>
      </c>
      <c r="E67" s="13" t="s">
        <v>622</v>
      </c>
      <c r="F67" s="8">
        <v>6.99</v>
      </c>
      <c r="G67" s="8">
        <f t="shared" si="4"/>
        <v>5.592</v>
      </c>
      <c r="H67" s="46">
        <v>0.2</v>
      </c>
    </row>
    <row r="68" ht="15.0" customHeight="1">
      <c r="A68" s="44" t="s">
        <v>509</v>
      </c>
      <c r="B68" s="43">
        <v>44887.0</v>
      </c>
      <c r="C68" s="43">
        <v>44894.0</v>
      </c>
      <c r="D68" s="44" t="s">
        <v>619</v>
      </c>
      <c r="E68" s="13" t="s">
        <v>623</v>
      </c>
      <c r="F68" s="8">
        <v>11.99</v>
      </c>
      <c r="G68" s="138">
        <f t="shared" si="4"/>
        <v>9.592</v>
      </c>
      <c r="H68" s="139">
        <v>0.2</v>
      </c>
    </row>
    <row r="69" ht="15.0" customHeight="1">
      <c r="A69" s="44" t="s">
        <v>509</v>
      </c>
      <c r="B69" s="43">
        <v>44887.0</v>
      </c>
      <c r="C69" s="43">
        <v>44893.0</v>
      </c>
      <c r="D69" s="44" t="s">
        <v>619</v>
      </c>
      <c r="E69" s="13" t="s">
        <v>612</v>
      </c>
      <c r="F69" s="8" t="s">
        <v>613</v>
      </c>
      <c r="G69" s="8" t="s">
        <v>613</v>
      </c>
      <c r="H69" s="46">
        <v>0.2</v>
      </c>
    </row>
    <row r="70" ht="15.75" customHeight="1">
      <c r="A70" s="101"/>
      <c r="B70" s="101"/>
      <c r="C70" s="101"/>
      <c r="D70" s="101"/>
      <c r="E70" s="136"/>
      <c r="F70" s="137"/>
      <c r="G70" s="137"/>
      <c r="H70" s="136"/>
    </row>
    <row r="71" ht="15.75" customHeight="1">
      <c r="A71" s="44" t="s">
        <v>509</v>
      </c>
      <c r="B71" s="43">
        <v>44903.0</v>
      </c>
      <c r="C71" s="43">
        <v>44910.0</v>
      </c>
      <c r="D71" s="44" t="s">
        <v>625</v>
      </c>
      <c r="E71" s="13" t="s">
        <v>24</v>
      </c>
      <c r="F71" s="8">
        <v>29.99</v>
      </c>
      <c r="G71" s="8">
        <f t="shared" ref="G71:G79" si="5">F71*(1-H71)</f>
        <v>16.4945</v>
      </c>
      <c r="H71" s="46">
        <v>0.45</v>
      </c>
    </row>
    <row r="72" ht="15.75" customHeight="1">
      <c r="A72" s="44" t="s">
        <v>509</v>
      </c>
      <c r="B72" s="43">
        <v>44903.0</v>
      </c>
      <c r="C72" s="43">
        <v>44910.0</v>
      </c>
      <c r="D72" s="44" t="s">
        <v>625</v>
      </c>
      <c r="E72" s="13" t="s">
        <v>626</v>
      </c>
      <c r="F72" s="143">
        <v>39.99</v>
      </c>
      <c r="G72" s="8">
        <f t="shared" si="5"/>
        <v>27.1932</v>
      </c>
      <c r="H72" s="46">
        <v>0.32</v>
      </c>
      <c r="I72" s="81">
        <f>G71+G73</f>
        <v>35.237</v>
      </c>
    </row>
    <row r="73" ht="15.75" customHeight="1">
      <c r="A73" s="44" t="s">
        <v>509</v>
      </c>
      <c r="B73" s="43">
        <v>44903.0</v>
      </c>
      <c r="C73" s="43">
        <v>44910.0</v>
      </c>
      <c r="D73" s="44" t="s">
        <v>625</v>
      </c>
      <c r="E73" s="13" t="s">
        <v>99</v>
      </c>
      <c r="F73" s="8">
        <v>24.99</v>
      </c>
      <c r="G73" s="8">
        <f t="shared" si="5"/>
        <v>18.7425</v>
      </c>
      <c r="H73" s="46">
        <v>0.25</v>
      </c>
    </row>
    <row r="74" ht="15.75" customHeight="1">
      <c r="A74" s="44" t="s">
        <v>509</v>
      </c>
      <c r="B74" s="43">
        <v>44903.0</v>
      </c>
      <c r="C74" s="43">
        <v>44910.0</v>
      </c>
      <c r="D74" s="44" t="s">
        <v>625</v>
      </c>
      <c r="E74" s="13" t="s">
        <v>100</v>
      </c>
      <c r="F74" s="8">
        <v>24.99</v>
      </c>
      <c r="G74" s="8">
        <f t="shared" si="5"/>
        <v>18.7425</v>
      </c>
      <c r="H74" s="46">
        <v>0.25</v>
      </c>
    </row>
    <row r="75" ht="15.75" customHeight="1">
      <c r="A75" s="44" t="s">
        <v>509</v>
      </c>
      <c r="B75" s="43">
        <v>44903.0</v>
      </c>
      <c r="C75" s="43">
        <v>44910.0</v>
      </c>
      <c r="D75" s="44" t="s">
        <v>625</v>
      </c>
      <c r="E75" s="13" t="s">
        <v>620</v>
      </c>
      <c r="F75" s="8">
        <v>6.99</v>
      </c>
      <c r="G75" s="8">
        <f t="shared" si="5"/>
        <v>4.893</v>
      </c>
      <c r="H75" s="46">
        <v>0.3</v>
      </c>
    </row>
    <row r="76" ht="15.75" customHeight="1">
      <c r="A76" s="44" t="s">
        <v>509</v>
      </c>
      <c r="B76" s="43">
        <v>44903.0</v>
      </c>
      <c r="C76" s="43">
        <v>44910.0</v>
      </c>
      <c r="D76" s="44" t="s">
        <v>625</v>
      </c>
      <c r="E76" s="13" t="s">
        <v>610</v>
      </c>
      <c r="F76" s="8">
        <v>11.99</v>
      </c>
      <c r="G76" s="8">
        <f t="shared" si="5"/>
        <v>8.393</v>
      </c>
      <c r="H76" s="46">
        <v>0.3</v>
      </c>
    </row>
    <row r="77" ht="15.75" customHeight="1">
      <c r="A77" s="44" t="s">
        <v>509</v>
      </c>
      <c r="B77" s="43">
        <v>44903.0</v>
      </c>
      <c r="C77" s="43">
        <v>44910.0</v>
      </c>
      <c r="D77" s="44" t="s">
        <v>625</v>
      </c>
      <c r="E77" s="13" t="s">
        <v>622</v>
      </c>
      <c r="F77" s="8">
        <v>6.99</v>
      </c>
      <c r="G77" s="8">
        <f t="shared" si="5"/>
        <v>4.893</v>
      </c>
      <c r="H77" s="46">
        <v>0.3</v>
      </c>
    </row>
    <row r="78" ht="15.75" customHeight="1">
      <c r="A78" s="44" t="s">
        <v>509</v>
      </c>
      <c r="B78" s="43">
        <v>44903.0</v>
      </c>
      <c r="C78" s="43">
        <v>44910.0</v>
      </c>
      <c r="D78" s="44" t="s">
        <v>625</v>
      </c>
      <c r="E78" s="13" t="s">
        <v>623</v>
      </c>
      <c r="F78" s="8">
        <v>6.99</v>
      </c>
      <c r="G78" s="8">
        <f t="shared" si="5"/>
        <v>4.893</v>
      </c>
      <c r="H78" s="46">
        <v>0.3</v>
      </c>
    </row>
    <row r="79" ht="15.75" customHeight="1">
      <c r="A79" s="44" t="s">
        <v>509</v>
      </c>
      <c r="B79" s="43">
        <v>44903.0</v>
      </c>
      <c r="C79" s="43">
        <v>44910.0</v>
      </c>
      <c r="D79" s="44" t="s">
        <v>625</v>
      </c>
      <c r="E79" s="13" t="s">
        <v>629</v>
      </c>
      <c r="F79" s="8">
        <v>69.99</v>
      </c>
      <c r="G79" s="8">
        <f t="shared" si="5"/>
        <v>44.0937</v>
      </c>
      <c r="H79" s="46">
        <v>0.37</v>
      </c>
      <c r="I79" s="81">
        <f>G72+G74</f>
        <v>45.9357</v>
      </c>
    </row>
    <row r="80" ht="15.75" customHeight="1">
      <c r="A80" s="101"/>
      <c r="B80" s="101"/>
      <c r="C80" s="101"/>
      <c r="D80" s="101"/>
      <c r="E80" s="136"/>
      <c r="F80" s="137"/>
      <c r="G80" s="137"/>
      <c r="H80" s="136"/>
    </row>
    <row r="81" ht="15.75" customHeight="1">
      <c r="A81" s="101"/>
      <c r="B81" s="101"/>
      <c r="C81" s="101"/>
      <c r="D81" s="101"/>
      <c r="E81" s="136"/>
      <c r="F81" s="137"/>
      <c r="G81" s="137"/>
      <c r="H81" s="136"/>
    </row>
    <row r="82" ht="15.75" customHeight="1">
      <c r="A82" s="44" t="s">
        <v>509</v>
      </c>
      <c r="B82" s="43">
        <v>44917.0</v>
      </c>
      <c r="C82" s="43">
        <v>44565.0</v>
      </c>
      <c r="D82" s="44" t="s">
        <v>410</v>
      </c>
      <c r="E82" s="13" t="s">
        <v>24</v>
      </c>
      <c r="F82" s="8">
        <v>29.99</v>
      </c>
      <c r="G82" s="8">
        <f t="shared" ref="G82:G88" si="6">F82*(1-H82)</f>
        <v>16.4945</v>
      </c>
      <c r="H82" s="46">
        <v>0.45</v>
      </c>
    </row>
    <row r="83" ht="15.75" customHeight="1">
      <c r="A83" s="44" t="s">
        <v>509</v>
      </c>
      <c r="B83" s="43">
        <v>44917.0</v>
      </c>
      <c r="C83" s="43">
        <v>44565.0</v>
      </c>
      <c r="D83" s="44" t="s">
        <v>410</v>
      </c>
      <c r="E83" s="13" t="s">
        <v>605</v>
      </c>
      <c r="F83" s="8">
        <v>39.99</v>
      </c>
      <c r="G83" s="8">
        <f t="shared" si="6"/>
        <v>27.1932</v>
      </c>
      <c r="H83" s="46">
        <v>0.32</v>
      </c>
    </row>
    <row r="84" ht="15.75" customHeight="1">
      <c r="A84" s="44" t="s">
        <v>509</v>
      </c>
      <c r="B84" s="43">
        <v>44917.0</v>
      </c>
      <c r="C84" s="43">
        <v>44565.0</v>
      </c>
      <c r="D84" s="44" t="s">
        <v>410</v>
      </c>
      <c r="E84" s="13" t="s">
        <v>99</v>
      </c>
      <c r="F84" s="8">
        <v>24.99</v>
      </c>
      <c r="G84" s="8">
        <f t="shared" si="6"/>
        <v>18.7425</v>
      </c>
      <c r="H84" s="46">
        <v>0.25</v>
      </c>
    </row>
    <row r="85" ht="15.75" customHeight="1">
      <c r="A85" s="44" t="s">
        <v>509</v>
      </c>
      <c r="B85" s="43">
        <v>44917.0</v>
      </c>
      <c r="C85" s="43">
        <v>44565.0</v>
      </c>
      <c r="D85" s="44" t="s">
        <v>410</v>
      </c>
      <c r="E85" s="13" t="s">
        <v>100</v>
      </c>
      <c r="F85" s="8">
        <v>24.99</v>
      </c>
      <c r="G85" s="8">
        <f t="shared" si="6"/>
        <v>18.7425</v>
      </c>
      <c r="H85" s="46">
        <v>0.25</v>
      </c>
    </row>
    <row r="86" ht="15.75" customHeight="1">
      <c r="A86" s="44" t="s">
        <v>509</v>
      </c>
      <c r="B86" s="43">
        <v>44917.0</v>
      </c>
      <c r="C86" s="43">
        <v>44565.0</v>
      </c>
      <c r="D86" s="44" t="s">
        <v>410</v>
      </c>
      <c r="E86" s="13" t="s">
        <v>620</v>
      </c>
      <c r="F86" s="8">
        <v>6.99</v>
      </c>
      <c r="G86" s="8">
        <f t="shared" si="6"/>
        <v>4.893</v>
      </c>
      <c r="H86" s="46">
        <v>0.3</v>
      </c>
    </row>
    <row r="87" ht="15.75" customHeight="1">
      <c r="A87" s="44" t="s">
        <v>509</v>
      </c>
      <c r="B87" s="43">
        <v>44917.0</v>
      </c>
      <c r="C87" s="43">
        <v>44565.0</v>
      </c>
      <c r="D87" s="44" t="s">
        <v>410</v>
      </c>
      <c r="E87" s="13" t="s">
        <v>610</v>
      </c>
      <c r="F87" s="8">
        <v>11.99</v>
      </c>
      <c r="G87" s="8">
        <f t="shared" si="6"/>
        <v>8.393</v>
      </c>
      <c r="H87" s="46">
        <v>0.3</v>
      </c>
    </row>
    <row r="88" ht="15.75" customHeight="1">
      <c r="A88" s="44" t="s">
        <v>509</v>
      </c>
      <c r="B88" s="43">
        <v>44917.0</v>
      </c>
      <c r="C88" s="43">
        <v>44565.0</v>
      </c>
      <c r="D88" s="44" t="s">
        <v>410</v>
      </c>
      <c r="E88" s="13" t="s">
        <v>622</v>
      </c>
      <c r="F88" s="8">
        <v>6.99</v>
      </c>
      <c r="G88" s="8">
        <f t="shared" si="6"/>
        <v>5.592</v>
      </c>
      <c r="H88" s="46">
        <v>0.2</v>
      </c>
    </row>
    <row r="89" ht="15.75" customHeight="1">
      <c r="A89" s="44" t="s">
        <v>509</v>
      </c>
      <c r="B89" s="43">
        <v>44917.0</v>
      </c>
      <c r="C89" s="43">
        <v>44565.0</v>
      </c>
      <c r="D89" s="44" t="s">
        <v>410</v>
      </c>
      <c r="E89" s="13" t="s">
        <v>612</v>
      </c>
      <c r="F89" s="8" t="s">
        <v>613</v>
      </c>
      <c r="G89" s="8" t="s">
        <v>613</v>
      </c>
      <c r="H89" s="46">
        <v>0.2</v>
      </c>
    </row>
    <row r="90" ht="15.75" customHeight="1">
      <c r="A90" s="9">
        <v>2023.0</v>
      </c>
    </row>
    <row r="91" ht="15.75" customHeight="1">
      <c r="A91" s="44" t="s">
        <v>509</v>
      </c>
      <c r="B91" s="43">
        <v>44959.0</v>
      </c>
      <c r="C91" s="43">
        <v>44966.0</v>
      </c>
      <c r="D91" s="44" t="s">
        <v>631</v>
      </c>
      <c r="E91" s="13" t="s">
        <v>24</v>
      </c>
      <c r="F91" s="8">
        <v>29.99</v>
      </c>
      <c r="G91" s="8">
        <f t="shared" ref="G91:G97" si="7">F91*(1-H91)</f>
        <v>16.4945</v>
      </c>
      <c r="H91" s="46">
        <v>0.45</v>
      </c>
    </row>
    <row r="92" ht="15.75" customHeight="1">
      <c r="A92" s="44" t="s">
        <v>509</v>
      </c>
      <c r="B92" s="43">
        <v>44959.0</v>
      </c>
      <c r="C92" s="43">
        <v>44966.0</v>
      </c>
      <c r="D92" s="44" t="s">
        <v>631</v>
      </c>
      <c r="E92" s="13" t="s">
        <v>76</v>
      </c>
      <c r="F92" s="8">
        <v>39.99</v>
      </c>
      <c r="G92" s="8">
        <f t="shared" si="7"/>
        <v>27.1932</v>
      </c>
      <c r="H92" s="46">
        <v>0.32</v>
      </c>
    </row>
    <row r="93" ht="15.75" customHeight="1">
      <c r="A93" s="44" t="s">
        <v>509</v>
      </c>
      <c r="B93" s="43">
        <v>44959.0</v>
      </c>
      <c r="C93" s="43">
        <v>44966.0</v>
      </c>
      <c r="D93" s="44" t="s">
        <v>631</v>
      </c>
      <c r="E93" s="13" t="s">
        <v>99</v>
      </c>
      <c r="F93" s="8">
        <v>24.99</v>
      </c>
      <c r="G93" s="8">
        <f t="shared" si="7"/>
        <v>18.7425</v>
      </c>
      <c r="H93" s="46">
        <v>0.25</v>
      </c>
    </row>
    <row r="94" ht="15.75" customHeight="1">
      <c r="A94" s="44" t="s">
        <v>509</v>
      </c>
      <c r="B94" s="43">
        <v>44959.0</v>
      </c>
      <c r="C94" s="43">
        <v>44966.0</v>
      </c>
      <c r="D94" s="44" t="s">
        <v>631</v>
      </c>
      <c r="E94" s="13" t="s">
        <v>100</v>
      </c>
      <c r="F94" s="8">
        <v>24.99</v>
      </c>
      <c r="G94" s="8">
        <f t="shared" si="7"/>
        <v>18.7425</v>
      </c>
      <c r="H94" s="46">
        <v>0.25</v>
      </c>
    </row>
    <row r="95" ht="15.75" customHeight="1">
      <c r="A95" s="44" t="s">
        <v>509</v>
      </c>
      <c r="B95" s="43">
        <v>44959.0</v>
      </c>
      <c r="C95" s="43">
        <v>44966.0</v>
      </c>
      <c r="D95" s="44" t="s">
        <v>631</v>
      </c>
      <c r="E95" s="13" t="s">
        <v>633</v>
      </c>
      <c r="F95" s="8">
        <v>6.99</v>
      </c>
      <c r="G95" s="8">
        <f t="shared" si="7"/>
        <v>4.893</v>
      </c>
      <c r="H95" s="46">
        <v>0.3</v>
      </c>
    </row>
    <row r="96" ht="15.75" customHeight="1">
      <c r="A96" s="44" t="s">
        <v>509</v>
      </c>
      <c r="B96" s="43">
        <v>44959.0</v>
      </c>
      <c r="C96" s="43">
        <v>44966.0</v>
      </c>
      <c r="D96" s="44" t="s">
        <v>631</v>
      </c>
      <c r="E96" s="13" t="s">
        <v>77</v>
      </c>
      <c r="F96" s="8">
        <v>69.57</v>
      </c>
      <c r="G96" s="8">
        <f t="shared" si="7"/>
        <v>46.6119</v>
      </c>
      <c r="H96" s="46">
        <v>0.33</v>
      </c>
      <c r="K96" s="148"/>
    </row>
    <row r="97" ht="15.75" customHeight="1">
      <c r="A97" s="44" t="s">
        <v>509</v>
      </c>
      <c r="B97" s="43">
        <v>44959.0</v>
      </c>
      <c r="C97" s="43">
        <v>44966.0</v>
      </c>
      <c r="D97" s="44" t="s">
        <v>631</v>
      </c>
      <c r="E97" s="13" t="s">
        <v>79</v>
      </c>
      <c r="F97" s="8">
        <v>91.31</v>
      </c>
      <c r="G97" s="8">
        <f t="shared" si="7"/>
        <v>59.3515</v>
      </c>
      <c r="H97" s="46">
        <v>0.35</v>
      </c>
    </row>
    <row r="98" ht="15.75" customHeight="1">
      <c r="A98" s="44" t="s">
        <v>509</v>
      </c>
      <c r="B98" s="43">
        <v>44959.0</v>
      </c>
      <c r="C98" s="43">
        <v>44966.0</v>
      </c>
      <c r="D98" s="44" t="s">
        <v>631</v>
      </c>
      <c r="E98" s="13" t="s">
        <v>613</v>
      </c>
      <c r="F98" s="8" t="s">
        <v>613</v>
      </c>
      <c r="G98" s="8" t="s">
        <v>613</v>
      </c>
      <c r="H98" s="46"/>
    </row>
    <row r="99" ht="15.75" customHeight="1">
      <c r="A99" s="44" t="s">
        <v>509</v>
      </c>
      <c r="B99" s="43">
        <v>45001.0</v>
      </c>
      <c r="C99" s="43">
        <v>45009.0</v>
      </c>
      <c r="D99" s="44" t="s">
        <v>54</v>
      </c>
      <c r="E99" s="13" t="s">
        <v>24</v>
      </c>
      <c r="F99" s="8">
        <v>29.99</v>
      </c>
      <c r="G99" s="8">
        <f t="shared" ref="G99:G106" si="8">F99*(1-H99)</f>
        <v>16.4945</v>
      </c>
      <c r="H99" s="46">
        <v>0.45</v>
      </c>
    </row>
    <row r="100" ht="15.75" customHeight="1">
      <c r="A100" s="44" t="s">
        <v>509</v>
      </c>
      <c r="B100" s="43">
        <v>45001.0</v>
      </c>
      <c r="C100" s="43">
        <v>45009.0</v>
      </c>
      <c r="D100" s="44" t="s">
        <v>54</v>
      </c>
      <c r="E100" s="13" t="s">
        <v>76</v>
      </c>
      <c r="F100" s="8">
        <v>39.99</v>
      </c>
      <c r="G100" s="8">
        <f t="shared" si="8"/>
        <v>27.1932</v>
      </c>
      <c r="H100" s="46">
        <v>0.32</v>
      </c>
    </row>
    <row r="101" ht="15.75" customHeight="1">
      <c r="A101" s="44" t="s">
        <v>509</v>
      </c>
      <c r="B101" s="43">
        <v>45001.0</v>
      </c>
      <c r="C101" s="43">
        <v>45009.0</v>
      </c>
      <c r="D101" s="44" t="s">
        <v>54</v>
      </c>
      <c r="E101" s="13" t="s">
        <v>99</v>
      </c>
      <c r="F101" s="8">
        <v>24.99</v>
      </c>
      <c r="G101" s="8">
        <f t="shared" si="8"/>
        <v>18.7425</v>
      </c>
      <c r="H101" s="46">
        <v>0.25</v>
      </c>
    </row>
    <row r="102" ht="15.75" customHeight="1">
      <c r="A102" s="44" t="s">
        <v>509</v>
      </c>
      <c r="B102" s="43">
        <v>45001.0</v>
      </c>
      <c r="C102" s="43">
        <v>45009.0</v>
      </c>
      <c r="D102" s="44" t="s">
        <v>54</v>
      </c>
      <c r="E102" s="13" t="s">
        <v>100</v>
      </c>
      <c r="F102" s="8">
        <v>24.99</v>
      </c>
      <c r="G102" s="8">
        <f t="shared" si="8"/>
        <v>18.7425</v>
      </c>
      <c r="H102" s="46">
        <v>0.25</v>
      </c>
    </row>
    <row r="103" ht="15.75" customHeight="1">
      <c r="A103" s="44" t="s">
        <v>509</v>
      </c>
      <c r="B103" s="43">
        <v>45001.0</v>
      </c>
      <c r="C103" s="43">
        <v>45009.0</v>
      </c>
      <c r="D103" s="44" t="s">
        <v>54</v>
      </c>
      <c r="E103" s="13" t="s">
        <v>641</v>
      </c>
      <c r="F103" s="8">
        <v>6.99</v>
      </c>
      <c r="G103" s="8">
        <f t="shared" si="8"/>
        <v>4.893</v>
      </c>
      <c r="H103" s="46">
        <v>0.3</v>
      </c>
    </row>
    <row r="104" ht="15.75" customHeight="1">
      <c r="A104" s="44" t="s">
        <v>509</v>
      </c>
      <c r="B104" s="43">
        <v>45001.0</v>
      </c>
      <c r="C104" s="43">
        <v>45009.0</v>
      </c>
      <c r="D104" s="44" t="s">
        <v>54</v>
      </c>
      <c r="E104" s="18" t="s">
        <v>643</v>
      </c>
      <c r="F104" s="8">
        <v>3.99</v>
      </c>
      <c r="G104" s="8">
        <f t="shared" si="8"/>
        <v>3.192</v>
      </c>
      <c r="H104" s="46">
        <v>0.2</v>
      </c>
    </row>
    <row r="105" ht="15.75" customHeight="1">
      <c r="A105" s="44" t="s">
        <v>509</v>
      </c>
      <c r="B105" s="43">
        <v>45001.0</v>
      </c>
      <c r="C105" s="43">
        <v>45009.0</v>
      </c>
      <c r="D105" s="44" t="s">
        <v>54</v>
      </c>
      <c r="E105" s="13" t="s">
        <v>77</v>
      </c>
      <c r="F105" s="8">
        <v>69.57</v>
      </c>
      <c r="G105" s="8">
        <f t="shared" si="8"/>
        <v>46.6119</v>
      </c>
      <c r="H105" s="46">
        <v>0.33</v>
      </c>
    </row>
    <row r="106" ht="15.75" customHeight="1">
      <c r="A106" s="44" t="s">
        <v>509</v>
      </c>
      <c r="B106" s="43">
        <v>45001.0</v>
      </c>
      <c r="C106" s="43">
        <v>45009.0</v>
      </c>
      <c r="D106" s="44" t="s">
        <v>54</v>
      </c>
      <c r="E106" s="13" t="s">
        <v>79</v>
      </c>
      <c r="F106" s="8">
        <v>91.31</v>
      </c>
      <c r="G106" s="8">
        <f t="shared" si="8"/>
        <v>59.3515</v>
      </c>
      <c r="H106" s="46">
        <v>0.35</v>
      </c>
    </row>
    <row r="107" ht="15.75" customHeight="1">
      <c r="A107" s="44"/>
      <c r="B107" s="43"/>
      <c r="C107" s="43"/>
      <c r="D107" s="44"/>
      <c r="E107" s="13"/>
      <c r="F107" s="8"/>
      <c r="G107" s="8"/>
      <c r="H107" s="46"/>
    </row>
    <row r="108" ht="15.75" customHeight="1">
      <c r="A108" s="44" t="s">
        <v>509</v>
      </c>
      <c r="B108" s="43">
        <v>45033.0</v>
      </c>
      <c r="C108" s="43">
        <v>45039.0</v>
      </c>
      <c r="D108" s="44" t="s">
        <v>646</v>
      </c>
      <c r="E108" s="13" t="s">
        <v>24</v>
      </c>
      <c r="F108" s="8">
        <v>29.99</v>
      </c>
      <c r="G108" s="8">
        <f t="shared" ref="G108:G115" si="9">F108*(1-H108)</f>
        <v>16.4945</v>
      </c>
      <c r="H108" s="46">
        <v>0.45</v>
      </c>
    </row>
    <row r="109" ht="15.75" customHeight="1">
      <c r="A109" s="44" t="s">
        <v>509</v>
      </c>
      <c r="B109" s="43">
        <v>45033.0</v>
      </c>
      <c r="C109" s="43">
        <v>45039.0</v>
      </c>
      <c r="D109" s="44" t="s">
        <v>646</v>
      </c>
      <c r="E109" s="13" t="s">
        <v>76</v>
      </c>
      <c r="F109" s="8">
        <v>39.99</v>
      </c>
      <c r="G109" s="8">
        <f t="shared" si="9"/>
        <v>27.1932</v>
      </c>
      <c r="H109" s="46">
        <v>0.32</v>
      </c>
    </row>
    <row r="110" ht="15.75" customHeight="1">
      <c r="A110" s="44" t="s">
        <v>509</v>
      </c>
      <c r="B110" s="43">
        <v>45033.0</v>
      </c>
      <c r="C110" s="43">
        <v>45039.0</v>
      </c>
      <c r="D110" s="44" t="s">
        <v>646</v>
      </c>
      <c r="E110" s="13" t="s">
        <v>99</v>
      </c>
      <c r="F110" s="8">
        <v>24.99</v>
      </c>
      <c r="G110" s="8">
        <f t="shared" si="9"/>
        <v>18.7425</v>
      </c>
      <c r="H110" s="46">
        <v>0.25</v>
      </c>
    </row>
    <row r="111" ht="15.75" customHeight="1">
      <c r="A111" s="44" t="s">
        <v>509</v>
      </c>
      <c r="B111" s="43">
        <v>45033.0</v>
      </c>
      <c r="C111" s="43">
        <v>45039.0</v>
      </c>
      <c r="D111" s="44" t="s">
        <v>646</v>
      </c>
      <c r="E111" s="13" t="s">
        <v>100</v>
      </c>
      <c r="F111" s="8">
        <v>24.99</v>
      </c>
      <c r="G111" s="8">
        <f t="shared" si="9"/>
        <v>18.7425</v>
      </c>
      <c r="H111" s="46">
        <v>0.25</v>
      </c>
    </row>
    <row r="112" ht="15.75" customHeight="1">
      <c r="A112" s="44" t="s">
        <v>509</v>
      </c>
      <c r="B112" s="43">
        <v>45033.0</v>
      </c>
      <c r="C112" s="43">
        <v>45039.0</v>
      </c>
      <c r="D112" s="44" t="s">
        <v>646</v>
      </c>
      <c r="E112" s="13" t="s">
        <v>641</v>
      </c>
      <c r="F112" s="8">
        <v>6.99</v>
      </c>
      <c r="G112" s="8">
        <f t="shared" si="9"/>
        <v>4.893</v>
      </c>
      <c r="H112" s="46">
        <v>0.3</v>
      </c>
    </row>
    <row r="113" ht="15.75" customHeight="1">
      <c r="A113" s="44" t="s">
        <v>509</v>
      </c>
      <c r="B113" s="43">
        <v>45033.0</v>
      </c>
      <c r="C113" s="43">
        <v>45039.0</v>
      </c>
      <c r="D113" s="44" t="s">
        <v>646</v>
      </c>
      <c r="E113" s="18" t="s">
        <v>643</v>
      </c>
      <c r="F113" s="8">
        <v>3.99</v>
      </c>
      <c r="G113" s="8">
        <f t="shared" si="9"/>
        <v>3.192</v>
      </c>
      <c r="H113" s="46">
        <v>0.2</v>
      </c>
    </row>
    <row r="114" ht="15.75" customHeight="1">
      <c r="A114" s="44" t="s">
        <v>509</v>
      </c>
      <c r="B114" s="43">
        <v>45033.0</v>
      </c>
      <c r="C114" s="43">
        <v>45039.0</v>
      </c>
      <c r="D114" s="44" t="s">
        <v>646</v>
      </c>
      <c r="E114" s="13" t="s">
        <v>77</v>
      </c>
      <c r="F114" s="8">
        <v>69.57</v>
      </c>
      <c r="G114" s="8">
        <f t="shared" si="9"/>
        <v>46.6119</v>
      </c>
      <c r="H114" s="46">
        <v>0.33</v>
      </c>
    </row>
    <row r="115" ht="15.75" customHeight="1">
      <c r="A115" s="44" t="s">
        <v>509</v>
      </c>
      <c r="B115" s="43">
        <v>45033.0</v>
      </c>
      <c r="C115" s="43">
        <v>45039.0</v>
      </c>
      <c r="D115" s="44" t="s">
        <v>646</v>
      </c>
      <c r="E115" s="13" t="s">
        <v>79</v>
      </c>
      <c r="F115" s="8">
        <v>91.31</v>
      </c>
      <c r="G115" s="8">
        <f t="shared" si="9"/>
        <v>59.3515</v>
      </c>
      <c r="H115" s="46">
        <v>0.35</v>
      </c>
    </row>
    <row r="116" ht="15.75" customHeight="1"/>
    <row r="117" ht="15.75" customHeight="1">
      <c r="A117" s="44" t="s">
        <v>509</v>
      </c>
      <c r="B117" s="43">
        <v>45106.0</v>
      </c>
      <c r="C117" s="43">
        <v>45120.0</v>
      </c>
      <c r="D117" s="44" t="s">
        <v>649</v>
      </c>
      <c r="E117" s="13" t="s">
        <v>24</v>
      </c>
      <c r="F117" s="8">
        <v>29.99</v>
      </c>
      <c r="G117" s="8">
        <f t="shared" ref="G117:G124" si="10">F117*(1-H117)</f>
        <v>16.4945</v>
      </c>
      <c r="H117" s="46">
        <v>0.45</v>
      </c>
    </row>
    <row r="118" ht="15.75" customHeight="1">
      <c r="A118" s="44" t="s">
        <v>509</v>
      </c>
      <c r="B118" s="43">
        <v>45106.0</v>
      </c>
      <c r="C118" s="43">
        <v>45120.0</v>
      </c>
      <c r="D118" s="44" t="s">
        <v>649</v>
      </c>
      <c r="E118" s="13" t="s">
        <v>76</v>
      </c>
      <c r="F118" s="8">
        <v>39.99</v>
      </c>
      <c r="G118" s="8">
        <f t="shared" si="10"/>
        <v>27.1932</v>
      </c>
      <c r="H118" s="46">
        <v>0.32</v>
      </c>
    </row>
    <row r="119" ht="15.75" customHeight="1">
      <c r="A119" s="44" t="s">
        <v>509</v>
      </c>
      <c r="B119" s="43">
        <v>45106.0</v>
      </c>
      <c r="C119" s="43">
        <v>45120.0</v>
      </c>
      <c r="D119" s="44" t="s">
        <v>649</v>
      </c>
      <c r="E119" s="18" t="s">
        <v>99</v>
      </c>
      <c r="F119" s="8">
        <v>24.99</v>
      </c>
      <c r="G119" s="143">
        <f t="shared" si="10"/>
        <v>17.493</v>
      </c>
      <c r="H119" s="46">
        <v>0.3</v>
      </c>
    </row>
    <row r="120" ht="15.75" customHeight="1">
      <c r="A120" s="44" t="s">
        <v>509</v>
      </c>
      <c r="B120" s="43">
        <v>45106.0</v>
      </c>
      <c r="C120" s="43">
        <v>45120.0</v>
      </c>
      <c r="D120" s="44" t="s">
        <v>649</v>
      </c>
      <c r="E120" s="18" t="s">
        <v>100</v>
      </c>
      <c r="F120" s="8">
        <v>24.99</v>
      </c>
      <c r="G120" s="143">
        <f t="shared" si="10"/>
        <v>17.493</v>
      </c>
      <c r="H120" s="46">
        <v>0.3</v>
      </c>
    </row>
    <row r="121" ht="15.75" customHeight="1">
      <c r="A121" s="44" t="s">
        <v>509</v>
      </c>
      <c r="B121" s="43">
        <v>45106.0</v>
      </c>
      <c r="C121" s="43">
        <v>45120.0</v>
      </c>
      <c r="D121" s="44" t="s">
        <v>649</v>
      </c>
      <c r="E121" s="13" t="s">
        <v>641</v>
      </c>
      <c r="F121" s="8">
        <v>6.99</v>
      </c>
      <c r="G121" s="8">
        <f t="shared" si="10"/>
        <v>4.893</v>
      </c>
      <c r="H121" s="46">
        <v>0.3</v>
      </c>
    </row>
    <row r="122" ht="15.75" customHeight="1">
      <c r="A122" s="44" t="s">
        <v>509</v>
      </c>
      <c r="B122" s="43">
        <v>45106.0</v>
      </c>
      <c r="C122" s="43">
        <v>45120.0</v>
      </c>
      <c r="D122" s="44" t="s">
        <v>649</v>
      </c>
      <c r="E122" s="6" t="s">
        <v>643</v>
      </c>
      <c r="F122" s="8">
        <v>3.99</v>
      </c>
      <c r="G122" s="8">
        <f t="shared" si="10"/>
        <v>3.192</v>
      </c>
      <c r="H122" s="46">
        <v>0.2</v>
      </c>
    </row>
    <row r="123" ht="15.75" customHeight="1">
      <c r="A123" s="44" t="s">
        <v>509</v>
      </c>
      <c r="B123" s="43">
        <v>45106.0</v>
      </c>
      <c r="C123" s="43">
        <v>45120.0</v>
      </c>
      <c r="D123" s="44" t="s">
        <v>649</v>
      </c>
      <c r="E123" s="13" t="s">
        <v>77</v>
      </c>
      <c r="F123" s="8">
        <v>69.57</v>
      </c>
      <c r="G123" s="8">
        <f t="shared" si="10"/>
        <v>46.6119</v>
      </c>
      <c r="H123" s="46">
        <v>0.33</v>
      </c>
    </row>
    <row r="124" ht="15.75" customHeight="1">
      <c r="A124" s="44" t="s">
        <v>509</v>
      </c>
      <c r="B124" s="43">
        <v>45106.0</v>
      </c>
      <c r="C124" s="43">
        <v>45120.0</v>
      </c>
      <c r="D124" s="44" t="s">
        <v>649</v>
      </c>
      <c r="E124" s="13" t="s">
        <v>79</v>
      </c>
      <c r="F124" s="8">
        <v>91.31</v>
      </c>
      <c r="G124" s="8">
        <f t="shared" si="10"/>
        <v>59.3515</v>
      </c>
      <c r="H124" s="46">
        <v>0.35</v>
      </c>
    </row>
    <row r="125" ht="15.75" customHeight="1"/>
    <row r="126" ht="15.75" customHeight="1"/>
    <row r="127" ht="15.75" customHeight="1">
      <c r="F127" s="81"/>
      <c r="G127" s="81"/>
    </row>
    <row r="128" ht="15.75" customHeight="1">
      <c r="A128" s="4" t="s">
        <v>506</v>
      </c>
      <c r="B128" s="4" t="s">
        <v>2</v>
      </c>
      <c r="C128" s="4" t="s">
        <v>6</v>
      </c>
      <c r="D128" s="4" t="s">
        <v>7</v>
      </c>
      <c r="E128" s="4" t="s">
        <v>8</v>
      </c>
      <c r="F128" s="7" t="s">
        <v>9</v>
      </c>
      <c r="G128" s="7" t="s">
        <v>10</v>
      </c>
      <c r="H128" s="7" t="s">
        <v>11</v>
      </c>
    </row>
    <row r="129" ht="15.75" customHeight="1">
      <c r="A129" s="154" t="s">
        <v>650</v>
      </c>
      <c r="B129" s="155">
        <v>44832.0</v>
      </c>
      <c r="C129" s="155">
        <v>44846.0</v>
      </c>
      <c r="D129" s="154" t="s">
        <v>424</v>
      </c>
      <c r="E129" s="154" t="s">
        <v>24</v>
      </c>
      <c r="F129" s="156">
        <v>39.99</v>
      </c>
      <c r="G129" s="156">
        <f t="shared" ref="G129:G140" si="11">F129*(1-H129)</f>
        <v>23.994</v>
      </c>
      <c r="H129" s="157">
        <v>0.4</v>
      </c>
    </row>
    <row r="130" ht="15.75" customHeight="1">
      <c r="A130" s="154" t="s">
        <v>650</v>
      </c>
      <c r="B130" s="155">
        <v>44832.0</v>
      </c>
      <c r="C130" s="155">
        <v>44846.0</v>
      </c>
      <c r="D130" s="154" t="s">
        <v>651</v>
      </c>
      <c r="E130" s="154" t="s">
        <v>18</v>
      </c>
      <c r="F130" s="156">
        <v>24.99</v>
      </c>
      <c r="G130" s="156">
        <f t="shared" si="11"/>
        <v>16.7433</v>
      </c>
      <c r="H130" s="157">
        <v>0.33</v>
      </c>
    </row>
    <row r="131" ht="15.75" customHeight="1">
      <c r="A131" s="154"/>
      <c r="B131" s="155"/>
      <c r="C131" s="155"/>
      <c r="D131" s="154"/>
      <c r="E131" s="154" t="s">
        <v>32</v>
      </c>
      <c r="F131" s="156">
        <v>24.99</v>
      </c>
      <c r="G131" s="156">
        <f t="shared" si="11"/>
        <v>18.7425</v>
      </c>
      <c r="H131" s="157">
        <v>0.25</v>
      </c>
    </row>
    <row r="132" ht="15.75" customHeight="1">
      <c r="A132" s="154"/>
      <c r="B132" s="155"/>
      <c r="C132" s="155"/>
      <c r="D132" s="154"/>
      <c r="E132" s="154" t="s">
        <v>652</v>
      </c>
      <c r="F132" s="156">
        <v>6.99</v>
      </c>
      <c r="G132" s="156">
        <f t="shared" si="11"/>
        <v>4.6833</v>
      </c>
      <c r="H132" s="157">
        <v>0.33</v>
      </c>
    </row>
    <row r="133" ht="15.75" customHeight="1">
      <c r="A133" s="154"/>
      <c r="B133" s="155"/>
      <c r="C133" s="155"/>
      <c r="D133" s="154"/>
      <c r="E133" s="154" t="s">
        <v>653</v>
      </c>
      <c r="F133" s="156">
        <v>11.99</v>
      </c>
      <c r="G133" s="156">
        <f t="shared" si="11"/>
        <v>8.0333</v>
      </c>
      <c r="H133" s="157">
        <v>0.33</v>
      </c>
    </row>
    <row r="134" ht="15.75" customHeight="1">
      <c r="A134" s="154"/>
      <c r="B134" s="155"/>
      <c r="C134" s="155"/>
      <c r="D134" s="154"/>
      <c r="E134" s="154" t="s">
        <v>654</v>
      </c>
      <c r="F134" s="156">
        <v>6.99</v>
      </c>
      <c r="G134" s="156">
        <f t="shared" si="11"/>
        <v>5.2425</v>
      </c>
      <c r="H134" s="157">
        <v>0.25</v>
      </c>
    </row>
    <row r="135" ht="15.75" customHeight="1">
      <c r="A135" s="154"/>
      <c r="B135" s="155"/>
      <c r="C135" s="155"/>
      <c r="D135" s="154"/>
      <c r="E135" s="154" t="s">
        <v>656</v>
      </c>
      <c r="F135" s="156">
        <v>6.99</v>
      </c>
      <c r="G135" s="156">
        <f t="shared" si="11"/>
        <v>5.592</v>
      </c>
      <c r="H135" s="157">
        <v>0.2</v>
      </c>
    </row>
    <row r="136" ht="15.75" customHeight="1">
      <c r="A136" s="154" t="s">
        <v>650</v>
      </c>
      <c r="B136" s="155">
        <v>44846.0</v>
      </c>
      <c r="C136" s="155">
        <v>44860.0</v>
      </c>
      <c r="D136" s="154" t="s">
        <v>554</v>
      </c>
      <c r="E136" s="154" t="s">
        <v>605</v>
      </c>
      <c r="F136" s="156">
        <v>59.99</v>
      </c>
      <c r="G136" s="156">
        <f t="shared" si="11"/>
        <v>35.994</v>
      </c>
      <c r="H136" s="157">
        <v>0.4</v>
      </c>
    </row>
    <row r="137" ht="15.75" customHeight="1">
      <c r="A137" s="154" t="s">
        <v>650</v>
      </c>
      <c r="B137" s="155">
        <v>44883.0</v>
      </c>
      <c r="C137" s="155">
        <v>44893.0</v>
      </c>
      <c r="D137" s="154" t="s">
        <v>425</v>
      </c>
      <c r="E137" s="154" t="s">
        <v>24</v>
      </c>
      <c r="F137" s="156">
        <v>39.99</v>
      </c>
      <c r="G137" s="156">
        <f t="shared" si="11"/>
        <v>19.995</v>
      </c>
      <c r="H137" s="157">
        <v>0.5</v>
      </c>
    </row>
    <row r="138" ht="15.75" customHeight="1">
      <c r="A138" s="154" t="s">
        <v>650</v>
      </c>
      <c r="B138" s="155">
        <v>44916.0</v>
      </c>
      <c r="C138" s="155">
        <v>44932.0</v>
      </c>
      <c r="D138" s="154" t="s">
        <v>316</v>
      </c>
      <c r="E138" s="154" t="s">
        <v>630</v>
      </c>
      <c r="F138" s="156">
        <v>49.99</v>
      </c>
      <c r="G138" s="156">
        <f t="shared" si="11"/>
        <v>32.4935</v>
      </c>
      <c r="H138" s="157">
        <v>0.35</v>
      </c>
    </row>
    <row r="139" ht="15.75" customHeight="1">
      <c r="A139" s="154"/>
      <c r="B139" s="155"/>
      <c r="C139" s="155"/>
      <c r="D139" s="154"/>
      <c r="E139" s="154" t="s">
        <v>18</v>
      </c>
      <c r="F139" s="156">
        <v>24.99</v>
      </c>
      <c r="G139" s="156">
        <f t="shared" si="11"/>
        <v>16.7433</v>
      </c>
      <c r="H139" s="157">
        <v>0.33</v>
      </c>
    </row>
    <row r="140" ht="15.75" customHeight="1">
      <c r="A140" s="154"/>
      <c r="B140" s="155"/>
      <c r="C140" s="155"/>
      <c r="D140" s="154"/>
      <c r="E140" s="154" t="s">
        <v>32</v>
      </c>
      <c r="F140" s="156">
        <v>24.99</v>
      </c>
      <c r="G140" s="156">
        <f t="shared" si="11"/>
        <v>18.7425</v>
      </c>
      <c r="H140" s="157">
        <v>0.25</v>
      </c>
    </row>
    <row r="141" ht="15.75" customHeight="1">
      <c r="A141" s="9">
        <v>2023.0</v>
      </c>
    </row>
    <row r="142" ht="15.75" customHeight="1">
      <c r="A142" s="154" t="s">
        <v>650</v>
      </c>
      <c r="B142" s="155">
        <v>44930.0</v>
      </c>
      <c r="C142" s="155">
        <v>44944.0</v>
      </c>
      <c r="D142" s="154" t="s">
        <v>317</v>
      </c>
      <c r="E142" s="154" t="s">
        <v>24</v>
      </c>
      <c r="F142" s="156">
        <v>39.99</v>
      </c>
      <c r="G142" s="156">
        <f t="shared" ref="G142:G149" si="12">F142*(1-H142)</f>
        <v>19.995</v>
      </c>
      <c r="H142" s="157">
        <v>0.5</v>
      </c>
    </row>
    <row r="143" ht="15.75" customHeight="1">
      <c r="A143" s="154" t="s">
        <v>650</v>
      </c>
      <c r="B143" s="155">
        <v>44958.0</v>
      </c>
      <c r="C143" s="155">
        <v>44972.0</v>
      </c>
      <c r="D143" s="154" t="s">
        <v>476</v>
      </c>
      <c r="E143" s="154" t="s">
        <v>640</v>
      </c>
      <c r="F143" s="156">
        <v>79.99</v>
      </c>
      <c r="G143" s="156">
        <f t="shared" si="12"/>
        <v>51.9935</v>
      </c>
      <c r="H143" s="157">
        <v>0.35</v>
      </c>
    </row>
    <row r="144" ht="15.75" customHeight="1">
      <c r="A144" s="154"/>
      <c r="B144" s="155"/>
      <c r="C144" s="155"/>
      <c r="D144" s="154"/>
      <c r="E144" s="154" t="s">
        <v>648</v>
      </c>
      <c r="F144" s="156">
        <v>99.99</v>
      </c>
      <c r="G144" s="156">
        <f t="shared" si="12"/>
        <v>64.9935</v>
      </c>
      <c r="H144" s="157">
        <v>0.35</v>
      </c>
    </row>
    <row r="145" ht="15.75" customHeight="1">
      <c r="A145" s="154" t="s">
        <v>650</v>
      </c>
      <c r="B145" s="155">
        <v>44972.0</v>
      </c>
      <c r="C145" s="155">
        <v>44986.0</v>
      </c>
      <c r="D145" s="154" t="s">
        <v>658</v>
      </c>
      <c r="E145" s="154" t="s">
        <v>630</v>
      </c>
      <c r="F145" s="156">
        <v>49.99</v>
      </c>
      <c r="G145" s="156">
        <f t="shared" si="12"/>
        <v>29.994</v>
      </c>
      <c r="H145" s="157">
        <v>0.4</v>
      </c>
    </row>
    <row r="146" ht="15.75" customHeight="1">
      <c r="A146" s="154" t="s">
        <v>650</v>
      </c>
      <c r="B146" s="155">
        <v>44979.0</v>
      </c>
      <c r="C146" s="155">
        <v>44993.0</v>
      </c>
      <c r="D146" s="154" t="s">
        <v>651</v>
      </c>
      <c r="E146" s="154" t="s">
        <v>18</v>
      </c>
      <c r="F146" s="156">
        <v>24.99</v>
      </c>
      <c r="G146" s="156">
        <f t="shared" si="12"/>
        <v>16.7433</v>
      </c>
      <c r="H146" s="157">
        <v>0.33</v>
      </c>
    </row>
    <row r="147" ht="15.75" customHeight="1">
      <c r="A147" s="154"/>
      <c r="B147" s="155"/>
      <c r="C147" s="155"/>
      <c r="D147" s="154"/>
      <c r="E147" s="154" t="s">
        <v>32</v>
      </c>
      <c r="F147" s="156">
        <v>24.99</v>
      </c>
      <c r="G147" s="156">
        <f t="shared" si="12"/>
        <v>16.7433</v>
      </c>
      <c r="H147" s="157">
        <v>0.33</v>
      </c>
    </row>
    <row r="148" ht="15.75" customHeight="1">
      <c r="A148" s="154"/>
      <c r="B148" s="155"/>
      <c r="C148" s="155"/>
      <c r="D148" s="154"/>
      <c r="E148" s="154" t="s">
        <v>659</v>
      </c>
      <c r="F148" s="156">
        <v>44.99</v>
      </c>
      <c r="G148" s="156">
        <f t="shared" si="12"/>
        <v>30.1433</v>
      </c>
      <c r="H148" s="157">
        <v>0.33</v>
      </c>
    </row>
    <row r="149" ht="15.75" customHeight="1">
      <c r="A149" s="154"/>
      <c r="B149" s="155"/>
      <c r="C149" s="155"/>
      <c r="D149" s="154"/>
      <c r="E149" s="154" t="s">
        <v>660</v>
      </c>
      <c r="F149" s="156">
        <v>64.99</v>
      </c>
      <c r="G149" s="156">
        <f t="shared" si="12"/>
        <v>51.992</v>
      </c>
      <c r="H149" s="157">
        <v>0.2</v>
      </c>
    </row>
    <row r="150" ht="15.75" customHeight="1">
      <c r="A150" s="154"/>
      <c r="B150" s="155"/>
      <c r="C150" s="155"/>
      <c r="D150" s="154"/>
      <c r="E150" s="154" t="s">
        <v>661</v>
      </c>
      <c r="F150" s="156" t="s">
        <v>4</v>
      </c>
      <c r="G150" s="156" t="s">
        <v>4</v>
      </c>
      <c r="H150" s="157">
        <v>0.33</v>
      </c>
    </row>
    <row r="151" ht="15.75" customHeight="1">
      <c r="A151" s="154"/>
      <c r="B151" s="155"/>
      <c r="C151" s="155"/>
      <c r="D151" s="154"/>
      <c r="E151" s="154" t="s">
        <v>623</v>
      </c>
      <c r="F151" s="156">
        <v>11.99</v>
      </c>
      <c r="G151" s="156">
        <f>F151*(1-H151)</f>
        <v>8.9925</v>
      </c>
      <c r="H151" s="157">
        <v>0.25</v>
      </c>
    </row>
    <row r="152" ht="15.75" customHeight="1">
      <c r="A152" s="154"/>
      <c r="B152" s="155"/>
      <c r="C152" s="155"/>
      <c r="D152" s="154"/>
      <c r="E152" s="154" t="s">
        <v>664</v>
      </c>
      <c r="F152" s="156" t="s">
        <v>4</v>
      </c>
      <c r="G152" s="156" t="s">
        <v>4</v>
      </c>
      <c r="H152" s="157">
        <v>0.33</v>
      </c>
    </row>
    <row r="153" ht="15.75" customHeight="1">
      <c r="A153" s="154"/>
      <c r="B153" s="155"/>
      <c r="C153" s="155"/>
      <c r="D153" s="154"/>
      <c r="E153" s="154" t="s">
        <v>665</v>
      </c>
      <c r="F153" s="156">
        <v>2.99</v>
      </c>
      <c r="G153" s="156">
        <f t="shared" ref="G153:G171" si="13">F153*(1-H153)</f>
        <v>2.392</v>
      </c>
      <c r="H153" s="157">
        <v>0.2</v>
      </c>
    </row>
    <row r="154" ht="15.75" customHeight="1">
      <c r="A154" s="154" t="s">
        <v>650</v>
      </c>
      <c r="B154" s="155">
        <v>44986.0</v>
      </c>
      <c r="C154" s="155">
        <v>45000.0</v>
      </c>
      <c r="D154" s="154" t="s">
        <v>523</v>
      </c>
      <c r="E154" s="154" t="s">
        <v>24</v>
      </c>
      <c r="F154" s="156">
        <v>39.99</v>
      </c>
      <c r="G154" s="156">
        <f t="shared" si="13"/>
        <v>19.995</v>
      </c>
      <c r="H154" s="157">
        <v>0.5</v>
      </c>
    </row>
    <row r="155" ht="15.75" customHeight="1">
      <c r="A155" s="154" t="s">
        <v>650</v>
      </c>
      <c r="B155" s="155">
        <v>45000.0</v>
      </c>
      <c r="C155" s="155">
        <v>45014.0</v>
      </c>
      <c r="D155" s="154" t="s">
        <v>554</v>
      </c>
      <c r="E155" s="154" t="s">
        <v>640</v>
      </c>
      <c r="F155" s="156">
        <v>79.99</v>
      </c>
      <c r="G155" s="156">
        <f t="shared" si="13"/>
        <v>51.9935</v>
      </c>
      <c r="H155" s="157">
        <v>0.35</v>
      </c>
    </row>
    <row r="156" ht="15.75" customHeight="1">
      <c r="A156" s="154"/>
      <c r="B156" s="155"/>
      <c r="C156" s="155"/>
      <c r="D156" s="154"/>
      <c r="E156" s="154" t="s">
        <v>648</v>
      </c>
      <c r="F156" s="156">
        <v>99.99</v>
      </c>
      <c r="G156" s="156">
        <f t="shared" si="13"/>
        <v>64.9935</v>
      </c>
      <c r="H156" s="157">
        <v>0.35</v>
      </c>
    </row>
    <row r="157" ht="15.75" customHeight="1">
      <c r="A157" s="154" t="s">
        <v>650</v>
      </c>
      <c r="B157" s="155">
        <v>45014.0</v>
      </c>
      <c r="C157" s="155">
        <v>45028.0</v>
      </c>
      <c r="D157" s="154" t="s">
        <v>146</v>
      </c>
      <c r="E157" s="154" t="s">
        <v>630</v>
      </c>
      <c r="F157" s="156">
        <v>49.99</v>
      </c>
      <c r="G157" s="156">
        <f t="shared" si="13"/>
        <v>29.994</v>
      </c>
      <c r="H157" s="157">
        <v>0.4</v>
      </c>
    </row>
    <row r="158" ht="15.75" customHeight="1">
      <c r="A158" s="154" t="s">
        <v>650</v>
      </c>
      <c r="B158" s="155">
        <v>45028.0</v>
      </c>
      <c r="C158" s="155">
        <v>45042.0</v>
      </c>
      <c r="D158" s="154" t="s">
        <v>147</v>
      </c>
      <c r="E158" s="154" t="s">
        <v>24</v>
      </c>
      <c r="F158" s="156">
        <v>39.99</v>
      </c>
      <c r="G158" s="156">
        <f t="shared" si="13"/>
        <v>19.995</v>
      </c>
      <c r="H158" s="157">
        <v>0.5</v>
      </c>
    </row>
    <row r="159" ht="15.75" customHeight="1">
      <c r="A159" s="154" t="s">
        <v>650</v>
      </c>
      <c r="B159" s="155">
        <v>45042.0</v>
      </c>
      <c r="C159" s="155">
        <v>45056.0</v>
      </c>
      <c r="D159" s="154" t="s">
        <v>667</v>
      </c>
      <c r="E159" s="154" t="s">
        <v>640</v>
      </c>
      <c r="F159" s="156">
        <v>79.99</v>
      </c>
      <c r="G159" s="156">
        <f t="shared" si="13"/>
        <v>51.9935</v>
      </c>
      <c r="H159" s="157">
        <v>0.35</v>
      </c>
    </row>
    <row r="160" ht="15.75" customHeight="1">
      <c r="A160" s="154"/>
      <c r="B160" s="155"/>
      <c r="C160" s="155"/>
      <c r="D160" s="154"/>
      <c r="E160" s="154" t="s">
        <v>648</v>
      </c>
      <c r="F160" s="156">
        <v>99.99</v>
      </c>
      <c r="G160" s="156">
        <f t="shared" si="13"/>
        <v>64.9935</v>
      </c>
      <c r="H160" s="157">
        <v>0.35</v>
      </c>
    </row>
    <row r="161" ht="15.75" customHeight="1">
      <c r="A161" s="154" t="s">
        <v>650</v>
      </c>
      <c r="B161" s="155">
        <v>45056.0</v>
      </c>
      <c r="C161" s="155">
        <v>45070.0</v>
      </c>
      <c r="D161" s="154" t="s">
        <v>525</v>
      </c>
      <c r="E161" s="154" t="s">
        <v>630</v>
      </c>
      <c r="F161" s="156">
        <v>49.99</v>
      </c>
      <c r="G161" s="156">
        <f t="shared" si="13"/>
        <v>29.994</v>
      </c>
      <c r="H161" s="157">
        <v>0.4</v>
      </c>
    </row>
    <row r="162" ht="15.75" customHeight="1">
      <c r="A162" s="154" t="s">
        <v>650</v>
      </c>
      <c r="B162" s="155">
        <v>45079.0</v>
      </c>
      <c r="C162" s="155">
        <v>45089.0</v>
      </c>
      <c r="D162" s="154" t="s">
        <v>151</v>
      </c>
      <c r="E162" s="154" t="s">
        <v>24</v>
      </c>
      <c r="F162" s="156">
        <v>39.99</v>
      </c>
      <c r="G162" s="156">
        <f t="shared" si="13"/>
        <v>19.995</v>
      </c>
      <c r="H162" s="157">
        <v>0.5</v>
      </c>
    </row>
    <row r="163" ht="15.75" customHeight="1">
      <c r="A163" s="154" t="s">
        <v>650</v>
      </c>
      <c r="B163" s="155">
        <v>45098.0</v>
      </c>
      <c r="C163" s="155">
        <v>45112.0</v>
      </c>
      <c r="D163" s="154" t="s">
        <v>357</v>
      </c>
      <c r="E163" s="154" t="s">
        <v>630</v>
      </c>
      <c r="F163" s="156">
        <v>49.99</v>
      </c>
      <c r="G163" s="156">
        <f t="shared" si="13"/>
        <v>29.994</v>
      </c>
      <c r="H163" s="157">
        <v>0.4</v>
      </c>
    </row>
    <row r="164" ht="15.75" customHeight="1">
      <c r="A164" s="154" t="s">
        <v>650</v>
      </c>
      <c r="B164" s="155">
        <v>45112.0</v>
      </c>
      <c r="C164" s="155">
        <v>45126.0</v>
      </c>
      <c r="D164" s="154" t="s">
        <v>554</v>
      </c>
      <c r="E164" s="154" t="s">
        <v>640</v>
      </c>
      <c r="F164" s="156">
        <v>79.99</v>
      </c>
      <c r="G164" s="156">
        <f t="shared" si="13"/>
        <v>47.994</v>
      </c>
      <c r="H164" s="157">
        <v>0.4</v>
      </c>
    </row>
    <row r="165" ht="15.75" customHeight="1">
      <c r="A165" s="154"/>
      <c r="B165" s="155"/>
      <c r="C165" s="155"/>
      <c r="D165" s="154"/>
      <c r="E165" s="154" t="s">
        <v>648</v>
      </c>
      <c r="F165" s="156">
        <v>99.99</v>
      </c>
      <c r="G165" s="156">
        <f t="shared" si="13"/>
        <v>59.994</v>
      </c>
      <c r="H165" s="157">
        <v>0.4</v>
      </c>
    </row>
    <row r="166" ht="15.75" customHeight="1">
      <c r="A166" s="154" t="s">
        <v>650</v>
      </c>
      <c r="B166" s="155">
        <v>45126.0</v>
      </c>
      <c r="C166" s="155">
        <v>45140.0</v>
      </c>
      <c r="D166" s="154" t="s">
        <v>419</v>
      </c>
      <c r="E166" s="154" t="s">
        <v>24</v>
      </c>
      <c r="F166" s="156">
        <v>39.99</v>
      </c>
      <c r="G166" s="156">
        <f t="shared" si="13"/>
        <v>19.995</v>
      </c>
      <c r="H166" s="157">
        <v>0.5</v>
      </c>
    </row>
    <row r="167" ht="15.75" customHeight="1">
      <c r="A167" s="154" t="s">
        <v>650</v>
      </c>
      <c r="B167" s="155">
        <v>45139.0</v>
      </c>
      <c r="C167" s="155">
        <v>45154.0</v>
      </c>
      <c r="D167" s="154" t="s">
        <v>559</v>
      </c>
      <c r="E167" s="154" t="s">
        <v>630</v>
      </c>
      <c r="F167" s="156">
        <v>49.99</v>
      </c>
      <c r="G167" s="156">
        <f t="shared" si="13"/>
        <v>29.994</v>
      </c>
      <c r="H167" s="157">
        <v>0.4</v>
      </c>
    </row>
    <row r="168" ht="15.75" customHeight="1">
      <c r="A168" s="154" t="s">
        <v>650</v>
      </c>
      <c r="B168" s="155">
        <v>45126.0</v>
      </c>
      <c r="C168" s="155">
        <v>45140.0</v>
      </c>
      <c r="D168" s="154" t="s">
        <v>668</v>
      </c>
      <c r="E168" s="154" t="s">
        <v>669</v>
      </c>
      <c r="F168" s="156">
        <v>24.99</v>
      </c>
      <c r="G168" s="156">
        <f t="shared" si="13"/>
        <v>14.994</v>
      </c>
      <c r="H168" s="157">
        <v>0.4</v>
      </c>
      <c r="I168" s="53" t="s">
        <v>670</v>
      </c>
    </row>
    <row r="169" ht="15.75" customHeight="1">
      <c r="A169" s="154"/>
      <c r="B169" s="155"/>
      <c r="C169" s="155"/>
      <c r="D169" s="154"/>
      <c r="E169" s="154" t="s">
        <v>34</v>
      </c>
      <c r="F169" s="156">
        <v>24.99</v>
      </c>
      <c r="G169" s="156">
        <f t="shared" si="13"/>
        <v>19.992</v>
      </c>
      <c r="H169" s="157">
        <v>0.2</v>
      </c>
      <c r="I169" s="53" t="s">
        <v>671</v>
      </c>
    </row>
    <row r="170" ht="15.75" customHeight="1">
      <c r="A170" s="154"/>
      <c r="B170" s="155"/>
      <c r="C170" s="155"/>
      <c r="D170" s="154"/>
      <c r="E170" s="154" t="s">
        <v>672</v>
      </c>
      <c r="F170" s="156">
        <v>44.99</v>
      </c>
      <c r="G170" s="156">
        <f t="shared" si="13"/>
        <v>26.994</v>
      </c>
      <c r="H170" s="157">
        <v>0.4</v>
      </c>
      <c r="I170" s="53" t="s">
        <v>670</v>
      </c>
    </row>
    <row r="171" ht="15.75" customHeight="1">
      <c r="A171" s="154"/>
      <c r="B171" s="155"/>
      <c r="C171" s="155"/>
      <c r="D171" s="154"/>
      <c r="E171" s="154" t="s">
        <v>673</v>
      </c>
      <c r="F171" s="156">
        <v>64.99</v>
      </c>
      <c r="G171" s="156">
        <f t="shared" si="13"/>
        <v>48.7425</v>
      </c>
      <c r="H171" s="157">
        <v>0.25</v>
      </c>
      <c r="I171" s="53" t="s">
        <v>674</v>
      </c>
    </row>
    <row r="172" ht="15.75" customHeight="1">
      <c r="A172" s="154"/>
      <c r="B172" s="155"/>
      <c r="C172" s="155"/>
      <c r="D172" s="154"/>
      <c r="E172" s="154" t="s">
        <v>664</v>
      </c>
      <c r="F172" s="156" t="s">
        <v>4</v>
      </c>
      <c r="G172" s="156" t="s">
        <v>4</v>
      </c>
      <c r="H172" s="157">
        <v>0.4</v>
      </c>
      <c r="I172" s="53" t="s">
        <v>670</v>
      </c>
    </row>
    <row r="173" ht="15.75" customHeight="1">
      <c r="A173" s="154"/>
      <c r="B173" s="155"/>
      <c r="C173" s="155"/>
      <c r="D173" s="154"/>
      <c r="E173" s="154" t="s">
        <v>675</v>
      </c>
      <c r="F173" s="156" t="s">
        <v>4</v>
      </c>
      <c r="G173" s="156" t="s">
        <v>4</v>
      </c>
      <c r="H173" s="157">
        <v>0.4</v>
      </c>
      <c r="I173" s="53" t="s">
        <v>670</v>
      </c>
    </row>
    <row r="174" ht="15.75" customHeight="1">
      <c r="A174" s="154"/>
      <c r="B174" s="155"/>
      <c r="C174" s="155"/>
      <c r="D174" s="154"/>
      <c r="E174" s="154" t="s">
        <v>676</v>
      </c>
      <c r="F174" s="156">
        <v>6.99</v>
      </c>
      <c r="G174" s="156">
        <f t="shared" ref="G174:G184" si="14">F174*(1-H174)</f>
        <v>4.893</v>
      </c>
      <c r="H174" s="157">
        <v>0.3</v>
      </c>
      <c r="I174" s="53" t="s">
        <v>677</v>
      </c>
    </row>
    <row r="175" ht="15.75" customHeight="1">
      <c r="A175" s="154" t="s">
        <v>650</v>
      </c>
      <c r="B175" s="155">
        <v>45154.0</v>
      </c>
      <c r="C175" s="155">
        <v>45168.0</v>
      </c>
      <c r="D175" s="154" t="s">
        <v>562</v>
      </c>
      <c r="E175" s="154" t="s">
        <v>640</v>
      </c>
      <c r="F175" s="156">
        <v>79.99</v>
      </c>
      <c r="G175" s="156">
        <f t="shared" si="14"/>
        <v>47.994</v>
      </c>
      <c r="H175" s="157">
        <v>0.4</v>
      </c>
    </row>
    <row r="176" ht="15.75" customHeight="1">
      <c r="A176" s="154"/>
      <c r="B176" s="155"/>
      <c r="C176" s="155"/>
      <c r="D176" s="154"/>
      <c r="E176" s="154" t="s">
        <v>648</v>
      </c>
      <c r="F176" s="156">
        <v>99.99</v>
      </c>
      <c r="G176" s="156">
        <f t="shared" si="14"/>
        <v>59.994</v>
      </c>
      <c r="H176" s="157">
        <v>0.4</v>
      </c>
    </row>
    <row r="177" ht="15.75" customHeight="1">
      <c r="A177" s="154" t="s">
        <v>650</v>
      </c>
      <c r="B177" s="155">
        <v>45168.0</v>
      </c>
      <c r="C177" s="155">
        <v>45182.0</v>
      </c>
      <c r="D177" s="154" t="s">
        <v>658</v>
      </c>
      <c r="E177" s="154" t="s">
        <v>24</v>
      </c>
      <c r="F177" s="156">
        <v>39.99</v>
      </c>
      <c r="G177" s="156">
        <f t="shared" si="14"/>
        <v>19.995</v>
      </c>
      <c r="H177" s="157">
        <v>0.5</v>
      </c>
    </row>
    <row r="178" ht="15.75" customHeight="1">
      <c r="A178" s="154" t="s">
        <v>650</v>
      </c>
      <c r="B178" s="155">
        <v>45182.0</v>
      </c>
      <c r="C178" s="155">
        <v>45196.0</v>
      </c>
      <c r="D178" s="154" t="s">
        <v>525</v>
      </c>
      <c r="E178" s="154" t="s">
        <v>630</v>
      </c>
      <c r="F178" s="156">
        <v>49.99</v>
      </c>
      <c r="G178" s="156">
        <f t="shared" si="14"/>
        <v>29.994</v>
      </c>
      <c r="H178" s="157">
        <v>0.4</v>
      </c>
      <c r="J178" s="5" t="s">
        <v>678</v>
      </c>
    </row>
    <row r="179" ht="15.75" customHeight="1">
      <c r="A179" s="18" t="s">
        <v>650</v>
      </c>
      <c r="B179" s="155">
        <v>45196.0</v>
      </c>
      <c r="C179" s="155">
        <v>45210.0</v>
      </c>
      <c r="D179" s="154" t="s">
        <v>680</v>
      </c>
      <c r="E179" s="154" t="s">
        <v>640</v>
      </c>
      <c r="F179" s="156">
        <v>79.99</v>
      </c>
      <c r="G179" s="156">
        <f t="shared" si="14"/>
        <v>39.995</v>
      </c>
      <c r="H179" s="161">
        <v>0.5</v>
      </c>
      <c r="I179" s="53" t="s">
        <v>108</v>
      </c>
      <c r="J179" s="162">
        <v>0.4</v>
      </c>
    </row>
    <row r="180" ht="15.75" customHeight="1">
      <c r="A180" s="18" t="s">
        <v>650</v>
      </c>
      <c r="B180" s="155"/>
      <c r="C180" s="155"/>
      <c r="D180" s="154"/>
      <c r="E180" s="154" t="s">
        <v>648</v>
      </c>
      <c r="F180" s="156">
        <v>99.99</v>
      </c>
      <c r="G180" s="156">
        <f t="shared" si="14"/>
        <v>49.995</v>
      </c>
      <c r="H180" s="161">
        <v>0.5</v>
      </c>
      <c r="I180" s="53" t="s">
        <v>108</v>
      </c>
      <c r="J180" s="162">
        <v>0.4</v>
      </c>
    </row>
    <row r="181" ht="15.75" customHeight="1">
      <c r="A181" s="18" t="s">
        <v>650</v>
      </c>
      <c r="B181" s="155"/>
      <c r="C181" s="155"/>
      <c r="D181" s="154"/>
      <c r="E181" s="154" t="s">
        <v>669</v>
      </c>
      <c r="F181" s="156">
        <v>24.99</v>
      </c>
      <c r="G181" s="156">
        <f t="shared" si="14"/>
        <v>16.7433</v>
      </c>
      <c r="H181" s="157">
        <v>0.33</v>
      </c>
    </row>
    <row r="182" ht="15.75" customHeight="1">
      <c r="A182" s="18" t="s">
        <v>650</v>
      </c>
      <c r="B182" s="155"/>
      <c r="C182" s="155"/>
      <c r="D182" s="154"/>
      <c r="E182" s="154" t="s">
        <v>34</v>
      </c>
      <c r="F182" s="156">
        <v>24.99</v>
      </c>
      <c r="G182" s="156">
        <f t="shared" si="14"/>
        <v>19.992</v>
      </c>
      <c r="H182" s="157">
        <v>0.2</v>
      </c>
    </row>
    <row r="183" ht="15.75" customHeight="1">
      <c r="A183" s="18" t="s">
        <v>650</v>
      </c>
      <c r="B183" s="155"/>
      <c r="C183" s="155"/>
      <c r="D183" s="154"/>
      <c r="E183" s="154" t="s">
        <v>672</v>
      </c>
      <c r="F183" s="156">
        <v>44.99</v>
      </c>
      <c r="G183" s="156">
        <f t="shared" si="14"/>
        <v>30.1433</v>
      </c>
      <c r="H183" s="157">
        <v>0.33</v>
      </c>
    </row>
    <row r="184" ht="15.75" customHeight="1">
      <c r="A184" s="18" t="s">
        <v>650</v>
      </c>
      <c r="B184" s="155"/>
      <c r="C184" s="155"/>
      <c r="D184" s="154"/>
      <c r="E184" s="154" t="s">
        <v>673</v>
      </c>
      <c r="F184" s="156">
        <v>64.99</v>
      </c>
      <c r="G184" s="156">
        <f t="shared" si="14"/>
        <v>48.7425</v>
      </c>
      <c r="H184" s="157">
        <v>0.25</v>
      </c>
    </row>
    <row r="185" ht="15.75" customHeight="1">
      <c r="A185" s="18" t="s">
        <v>650</v>
      </c>
      <c r="B185" s="155"/>
      <c r="C185" s="155"/>
      <c r="D185" s="154"/>
      <c r="E185" s="154" t="s">
        <v>664</v>
      </c>
      <c r="F185" s="156" t="s">
        <v>4</v>
      </c>
      <c r="G185" s="156" t="s">
        <v>4</v>
      </c>
      <c r="H185" s="157">
        <v>0.33</v>
      </c>
      <c r="J185" s="5"/>
    </row>
    <row r="186" ht="15.75" customHeight="1">
      <c r="A186" s="18" t="s">
        <v>650</v>
      </c>
      <c r="B186" s="155"/>
      <c r="C186" s="155"/>
      <c r="D186" s="154"/>
      <c r="E186" s="154" t="s">
        <v>683</v>
      </c>
      <c r="F186" s="156" t="s">
        <v>4</v>
      </c>
      <c r="G186" s="156" t="s">
        <v>4</v>
      </c>
      <c r="H186" s="161">
        <v>0.35</v>
      </c>
      <c r="I186" s="53" t="s">
        <v>684</v>
      </c>
      <c r="J186" s="5" t="s">
        <v>685</v>
      </c>
    </row>
    <row r="187" ht="15.75" customHeight="1">
      <c r="A187" s="18" t="s">
        <v>650</v>
      </c>
      <c r="B187" s="155"/>
      <c r="C187" s="155"/>
      <c r="D187" s="154"/>
      <c r="E187" s="154" t="s">
        <v>686</v>
      </c>
      <c r="F187" s="156">
        <v>6.99</v>
      </c>
      <c r="G187" s="156">
        <f t="shared" ref="G187:G204" si="15">F187*(1-H187)</f>
        <v>5.592</v>
      </c>
      <c r="H187" s="161">
        <v>0.2</v>
      </c>
      <c r="I187" s="53" t="s">
        <v>108</v>
      </c>
      <c r="J187" s="5" t="s">
        <v>687</v>
      </c>
    </row>
    <row r="188" ht="15.75" customHeight="1">
      <c r="A188" s="18" t="s">
        <v>650</v>
      </c>
      <c r="B188" s="155">
        <v>45210.0</v>
      </c>
      <c r="C188" s="155">
        <v>45224.0</v>
      </c>
      <c r="D188" s="154" t="s">
        <v>564</v>
      </c>
      <c r="E188" s="154" t="s">
        <v>24</v>
      </c>
      <c r="F188" s="156">
        <v>39.99</v>
      </c>
      <c r="G188" s="156">
        <f t="shared" si="15"/>
        <v>19.995</v>
      </c>
      <c r="H188" s="157">
        <v>0.5</v>
      </c>
    </row>
    <row r="189" ht="15.75" customHeight="1">
      <c r="A189" s="18" t="s">
        <v>650</v>
      </c>
      <c r="B189" s="155">
        <v>45224.0</v>
      </c>
      <c r="C189" s="155">
        <v>45247.0</v>
      </c>
      <c r="D189" s="154" t="s">
        <v>554</v>
      </c>
      <c r="E189" s="154" t="s">
        <v>630</v>
      </c>
      <c r="F189" s="156">
        <v>49.99</v>
      </c>
      <c r="G189" s="156">
        <f t="shared" si="15"/>
        <v>24.995</v>
      </c>
      <c r="H189" s="161">
        <v>0.5</v>
      </c>
      <c r="I189" s="53" t="s">
        <v>689</v>
      </c>
    </row>
    <row r="190" ht="15.75" customHeight="1">
      <c r="A190" s="18" t="s">
        <v>650</v>
      </c>
      <c r="B190" s="155">
        <v>45247.0</v>
      </c>
      <c r="C190" s="155">
        <v>45257.0</v>
      </c>
      <c r="D190" s="154" t="s">
        <v>425</v>
      </c>
      <c r="E190" s="154" t="s">
        <v>640</v>
      </c>
      <c r="F190" s="156">
        <v>79.99</v>
      </c>
      <c r="G190" s="156">
        <f t="shared" si="15"/>
        <v>39.995</v>
      </c>
      <c r="H190" s="161">
        <v>0.5</v>
      </c>
      <c r="I190" s="53" t="s">
        <v>689</v>
      </c>
    </row>
    <row r="191" ht="15.75" customHeight="1">
      <c r="A191" s="18" t="s">
        <v>650</v>
      </c>
      <c r="B191" s="155"/>
      <c r="C191" s="155"/>
      <c r="D191" s="154"/>
      <c r="E191" s="154" t="s">
        <v>648</v>
      </c>
      <c r="F191" s="156">
        <v>99.99</v>
      </c>
      <c r="G191" s="156">
        <f t="shared" si="15"/>
        <v>49.995</v>
      </c>
      <c r="H191" s="161">
        <v>0.5</v>
      </c>
      <c r="I191" s="53" t="s">
        <v>689</v>
      </c>
    </row>
    <row r="192" ht="15.75" customHeight="1">
      <c r="A192" s="18" t="s">
        <v>650</v>
      </c>
      <c r="B192" s="155"/>
      <c r="C192" s="155"/>
      <c r="D192" s="154"/>
      <c r="E192" s="154" t="s">
        <v>669</v>
      </c>
      <c r="F192" s="156">
        <v>24.99</v>
      </c>
      <c r="G192" s="156">
        <f t="shared" si="15"/>
        <v>16.7433</v>
      </c>
      <c r="H192" s="157">
        <v>0.33</v>
      </c>
    </row>
    <row r="193" ht="15.75" customHeight="1">
      <c r="A193" s="18" t="s">
        <v>650</v>
      </c>
      <c r="B193" s="155"/>
      <c r="C193" s="155"/>
      <c r="D193" s="154"/>
      <c r="E193" s="154" t="s">
        <v>34</v>
      </c>
      <c r="F193" s="156">
        <v>24.99</v>
      </c>
      <c r="G193" s="156">
        <f t="shared" si="15"/>
        <v>19.992</v>
      </c>
      <c r="H193" s="157">
        <v>0.2</v>
      </c>
    </row>
    <row r="194" ht="15.75" customHeight="1">
      <c r="A194" s="18" t="s">
        <v>650</v>
      </c>
      <c r="B194" s="155"/>
      <c r="C194" s="155"/>
      <c r="D194" s="154"/>
      <c r="E194" s="154" t="s">
        <v>672</v>
      </c>
      <c r="F194" s="156">
        <v>44.99</v>
      </c>
      <c r="G194" s="156">
        <f t="shared" si="15"/>
        <v>30.1433</v>
      </c>
      <c r="H194" s="157">
        <v>0.33</v>
      </c>
    </row>
    <row r="195" ht="15.75" customHeight="1">
      <c r="A195" s="18" t="s">
        <v>650</v>
      </c>
      <c r="B195" s="155"/>
      <c r="C195" s="155"/>
      <c r="D195" s="154"/>
      <c r="E195" s="154" t="s">
        <v>673</v>
      </c>
      <c r="F195" s="156">
        <v>64.99</v>
      </c>
      <c r="G195" s="156">
        <f t="shared" si="15"/>
        <v>48.7425</v>
      </c>
      <c r="H195" s="157">
        <v>0.25</v>
      </c>
    </row>
    <row r="196" ht="15.75" customHeight="1">
      <c r="A196" s="18" t="s">
        <v>650</v>
      </c>
      <c r="B196" s="155">
        <v>45257.0</v>
      </c>
      <c r="C196" s="155">
        <v>45280.0</v>
      </c>
      <c r="D196" s="154" t="s">
        <v>426</v>
      </c>
      <c r="E196" s="154" t="s">
        <v>24</v>
      </c>
      <c r="F196" s="156">
        <v>39.99</v>
      </c>
      <c r="G196" s="156">
        <f t="shared" si="15"/>
        <v>19.995</v>
      </c>
      <c r="H196" s="161">
        <v>0.5</v>
      </c>
      <c r="I196" s="53" t="s">
        <v>691</v>
      </c>
    </row>
    <row r="197" ht="15.75" customHeight="1">
      <c r="A197" s="18" t="s">
        <v>650</v>
      </c>
      <c r="B197" s="155">
        <v>45280.0</v>
      </c>
      <c r="C197" s="155">
        <v>45296.0</v>
      </c>
      <c r="D197" s="154" t="s">
        <v>316</v>
      </c>
      <c r="E197" s="154" t="s">
        <v>630</v>
      </c>
      <c r="F197" s="156">
        <v>49.99</v>
      </c>
      <c r="G197" s="156">
        <f t="shared" si="15"/>
        <v>24.995</v>
      </c>
      <c r="H197" s="161">
        <v>0.5</v>
      </c>
      <c r="I197" s="53" t="s">
        <v>689</v>
      </c>
    </row>
    <row r="198" ht="15.75" customHeight="1">
      <c r="A198" s="18" t="s">
        <v>650</v>
      </c>
      <c r="B198" s="155">
        <v>45294.0</v>
      </c>
      <c r="C198" s="155">
        <v>45308.0</v>
      </c>
      <c r="D198" s="154" t="s">
        <v>317</v>
      </c>
      <c r="E198" s="154" t="s">
        <v>640</v>
      </c>
      <c r="F198" s="156">
        <v>79.99</v>
      </c>
      <c r="G198" s="156">
        <f t="shared" si="15"/>
        <v>39.995</v>
      </c>
      <c r="H198" s="161">
        <v>0.5</v>
      </c>
      <c r="I198" s="53" t="s">
        <v>689</v>
      </c>
    </row>
    <row r="199" ht="15.75" customHeight="1">
      <c r="A199" s="18" t="s">
        <v>650</v>
      </c>
      <c r="B199" s="155"/>
      <c r="C199" s="155"/>
      <c r="D199" s="154"/>
      <c r="E199" s="154" t="s">
        <v>648</v>
      </c>
      <c r="F199" s="156">
        <v>99.99</v>
      </c>
      <c r="G199" s="156">
        <f t="shared" si="15"/>
        <v>49.995</v>
      </c>
      <c r="H199" s="161">
        <v>0.5</v>
      </c>
      <c r="I199" s="53" t="s">
        <v>689</v>
      </c>
    </row>
    <row r="200" ht="15.75" customHeight="1">
      <c r="A200" s="18" t="s">
        <v>650</v>
      </c>
      <c r="B200" s="155"/>
      <c r="C200" s="155"/>
      <c r="D200" s="154"/>
      <c r="E200" s="154" t="s">
        <v>669</v>
      </c>
      <c r="F200" s="156">
        <v>24.99</v>
      </c>
      <c r="G200" s="156">
        <f t="shared" si="15"/>
        <v>16.7433</v>
      </c>
      <c r="H200" s="157">
        <v>0.33</v>
      </c>
    </row>
    <row r="201" ht="15.75" customHeight="1">
      <c r="A201" s="18" t="s">
        <v>650</v>
      </c>
      <c r="B201" s="155"/>
      <c r="C201" s="155"/>
      <c r="D201" s="154"/>
      <c r="E201" s="154" t="s">
        <v>34</v>
      </c>
      <c r="F201" s="156">
        <v>24.99</v>
      </c>
      <c r="G201" s="156">
        <f t="shared" si="15"/>
        <v>19.992</v>
      </c>
      <c r="H201" s="157">
        <v>0.2</v>
      </c>
    </row>
    <row r="202" ht="15.75" customHeight="1">
      <c r="A202" s="18" t="s">
        <v>650</v>
      </c>
      <c r="B202" s="155"/>
      <c r="C202" s="155"/>
      <c r="D202" s="154"/>
      <c r="E202" s="154" t="s">
        <v>672</v>
      </c>
      <c r="F202" s="156">
        <v>44.99</v>
      </c>
      <c r="G202" s="156">
        <f t="shared" si="15"/>
        <v>30.1433</v>
      </c>
      <c r="H202" s="157">
        <v>0.33</v>
      </c>
    </row>
    <row r="203" ht="15.75" customHeight="1">
      <c r="A203" s="18" t="s">
        <v>650</v>
      </c>
      <c r="B203" s="155"/>
      <c r="C203" s="155"/>
      <c r="D203" s="154"/>
      <c r="E203" s="154" t="s">
        <v>673</v>
      </c>
      <c r="F203" s="156">
        <v>64.99</v>
      </c>
      <c r="G203" s="156">
        <f t="shared" si="15"/>
        <v>48.7425</v>
      </c>
      <c r="H203" s="157">
        <v>0.25</v>
      </c>
    </row>
    <row r="204" ht="15.75" customHeight="1">
      <c r="A204" s="154"/>
      <c r="B204" s="155"/>
      <c r="C204" s="155"/>
      <c r="D204" s="154"/>
      <c r="E204" s="154"/>
      <c r="F204" s="156"/>
      <c r="G204" s="156">
        <f t="shared" si="15"/>
        <v>0</v>
      </c>
      <c r="H204" s="157"/>
    </row>
    <row r="205" ht="15.75" customHeight="1"/>
    <row r="206" ht="15.75" customHeight="1"/>
    <row r="207" ht="15.75" customHeight="1">
      <c r="A207" s="9">
        <v>2023.0</v>
      </c>
    </row>
    <row r="208" ht="15.75" customHeight="1">
      <c r="A208" s="140" t="s">
        <v>695</v>
      </c>
      <c r="B208" s="165">
        <v>44959.0</v>
      </c>
      <c r="C208" s="165">
        <v>44973.0</v>
      </c>
      <c r="D208" s="140" t="s">
        <v>698</v>
      </c>
      <c r="E208" s="166" t="s">
        <v>699</v>
      </c>
      <c r="F208" s="167">
        <v>29.99</v>
      </c>
      <c r="G208" s="167">
        <f t="shared" ref="G208:G214" si="16">F208*(1-H208)</f>
        <v>16.4945</v>
      </c>
      <c r="H208" s="168">
        <v>0.45</v>
      </c>
    </row>
    <row r="209" ht="15.75" customHeight="1">
      <c r="A209" s="140" t="s">
        <v>695</v>
      </c>
      <c r="B209" s="165">
        <v>44959.0</v>
      </c>
      <c r="C209" s="165">
        <v>44973.0</v>
      </c>
      <c r="D209" s="140" t="s">
        <v>698</v>
      </c>
      <c r="E209" s="166" t="s">
        <v>704</v>
      </c>
      <c r="F209" s="167">
        <v>39.99</v>
      </c>
      <c r="G209" s="167">
        <f t="shared" si="16"/>
        <v>27.993</v>
      </c>
      <c r="H209" s="168">
        <v>0.3</v>
      </c>
    </row>
    <row r="210" ht="15.75" customHeight="1">
      <c r="A210" s="140" t="s">
        <v>695</v>
      </c>
      <c r="B210" s="165">
        <v>44959.0</v>
      </c>
      <c r="C210" s="165">
        <v>44973.0</v>
      </c>
      <c r="D210" s="140" t="s">
        <v>698</v>
      </c>
      <c r="E210" s="166" t="s">
        <v>705</v>
      </c>
      <c r="F210" s="167">
        <v>69.99</v>
      </c>
      <c r="G210" s="167">
        <f t="shared" si="16"/>
        <v>48.993</v>
      </c>
      <c r="H210" s="168">
        <v>0.3</v>
      </c>
    </row>
    <row r="211" ht="15.75" customHeight="1">
      <c r="A211" s="140" t="s">
        <v>695</v>
      </c>
      <c r="B211" s="165">
        <v>44959.0</v>
      </c>
      <c r="C211" s="165">
        <v>44973.0</v>
      </c>
      <c r="D211" s="140" t="s">
        <v>698</v>
      </c>
      <c r="E211" s="166" t="s">
        <v>706</v>
      </c>
      <c r="F211" s="167">
        <v>89.99</v>
      </c>
      <c r="G211" s="167">
        <f t="shared" si="16"/>
        <v>71.992</v>
      </c>
      <c r="H211" s="168">
        <v>0.2</v>
      </c>
    </row>
    <row r="212" ht="15.75" customHeight="1">
      <c r="A212" s="140" t="s">
        <v>695</v>
      </c>
      <c r="B212" s="165">
        <v>44959.0</v>
      </c>
      <c r="C212" s="165">
        <v>44973.0</v>
      </c>
      <c r="D212" s="140" t="s">
        <v>698</v>
      </c>
      <c r="E212" s="166" t="s">
        <v>707</v>
      </c>
      <c r="F212" s="167"/>
      <c r="G212" s="167">
        <f t="shared" si="16"/>
        <v>0</v>
      </c>
      <c r="H212" s="168">
        <v>0.3</v>
      </c>
    </row>
    <row r="213" ht="15.75" customHeight="1">
      <c r="A213" s="140" t="s">
        <v>695</v>
      </c>
      <c r="B213" s="165">
        <v>44959.0</v>
      </c>
      <c r="C213" s="165">
        <v>44973.0</v>
      </c>
      <c r="D213" s="140" t="s">
        <v>698</v>
      </c>
      <c r="E213" s="166" t="s">
        <v>709</v>
      </c>
      <c r="F213" s="167">
        <v>24.99</v>
      </c>
      <c r="G213" s="167">
        <f t="shared" si="16"/>
        <v>18.7425</v>
      </c>
      <c r="H213" s="168">
        <v>0.25</v>
      </c>
    </row>
    <row r="214" ht="15.75" customHeight="1">
      <c r="A214" s="140" t="s">
        <v>695</v>
      </c>
      <c r="B214" s="165">
        <v>44959.0</v>
      </c>
      <c r="C214" s="165">
        <v>44973.0</v>
      </c>
      <c r="D214" s="140" t="s">
        <v>698</v>
      </c>
      <c r="E214" s="166" t="s">
        <v>100</v>
      </c>
      <c r="F214" s="167">
        <v>24.99</v>
      </c>
      <c r="G214" s="167">
        <f t="shared" si="16"/>
        <v>18.7425</v>
      </c>
      <c r="H214" s="168">
        <v>0.25</v>
      </c>
    </row>
    <row r="215" ht="15.75" customHeight="1">
      <c r="A215" s="140" t="s">
        <v>695</v>
      </c>
      <c r="B215" s="165">
        <v>44959.0</v>
      </c>
      <c r="C215" s="165">
        <v>44973.0</v>
      </c>
      <c r="D215" s="140" t="s">
        <v>698</v>
      </c>
      <c r="E215" s="166" t="s">
        <v>711</v>
      </c>
      <c r="F215" s="167"/>
      <c r="G215" s="167"/>
      <c r="H215" s="168">
        <v>0.2</v>
      </c>
    </row>
    <row r="216" ht="15.75" customHeight="1">
      <c r="A216" s="4"/>
      <c r="B216" s="4"/>
      <c r="C216" s="4"/>
      <c r="D216" s="4"/>
      <c r="E216" s="4"/>
      <c r="F216" s="7"/>
      <c r="G216" s="7"/>
      <c r="H216" s="7"/>
    </row>
    <row r="217" ht="15.75" customHeight="1">
      <c r="A217" s="140" t="s">
        <v>695</v>
      </c>
      <c r="B217" s="169">
        <v>44994.0</v>
      </c>
      <c r="C217" s="169">
        <v>45001.0</v>
      </c>
      <c r="D217" s="170" t="s">
        <v>712</v>
      </c>
      <c r="E217" s="166" t="s">
        <v>699</v>
      </c>
      <c r="F217" s="167">
        <v>29.99</v>
      </c>
      <c r="G217" s="167">
        <f t="shared" ref="G217:G223" si="17">F217*(1-H217)</f>
        <v>16.4945</v>
      </c>
      <c r="H217" s="168">
        <v>0.45</v>
      </c>
      <c r="I217" s="171" t="s">
        <v>713</v>
      </c>
    </row>
    <row r="218" ht="15.75" customHeight="1">
      <c r="A218" s="140" t="s">
        <v>695</v>
      </c>
      <c r="B218" s="169">
        <v>44994.0</v>
      </c>
      <c r="C218" s="169">
        <v>45001.0</v>
      </c>
      <c r="D218" s="170" t="s">
        <v>712</v>
      </c>
      <c r="E218" s="166" t="s">
        <v>704</v>
      </c>
      <c r="F218" s="167">
        <v>39.99</v>
      </c>
      <c r="G218" s="167">
        <f t="shared" si="17"/>
        <v>27.1932</v>
      </c>
      <c r="H218" s="168">
        <v>0.32</v>
      </c>
    </row>
    <row r="219" ht="15.75" customHeight="1">
      <c r="A219" s="140" t="s">
        <v>695</v>
      </c>
      <c r="B219" s="169">
        <v>44994.0</v>
      </c>
      <c r="C219" s="169">
        <v>45001.0</v>
      </c>
      <c r="D219" s="170" t="s">
        <v>712</v>
      </c>
      <c r="E219" s="166" t="s">
        <v>705</v>
      </c>
      <c r="F219" s="167">
        <v>69.99</v>
      </c>
      <c r="G219" s="167">
        <f t="shared" si="17"/>
        <v>45.4935</v>
      </c>
      <c r="H219" s="168">
        <v>0.35</v>
      </c>
    </row>
    <row r="220" ht="15.75" customHeight="1">
      <c r="A220" s="140" t="s">
        <v>695</v>
      </c>
      <c r="B220" s="169">
        <v>44994.0</v>
      </c>
      <c r="C220" s="169">
        <v>45001.0</v>
      </c>
      <c r="D220" s="170" t="s">
        <v>712</v>
      </c>
      <c r="E220" s="166" t="s">
        <v>706</v>
      </c>
      <c r="F220" s="167">
        <v>89.99</v>
      </c>
      <c r="G220" s="167">
        <f t="shared" si="17"/>
        <v>58.4935</v>
      </c>
      <c r="H220" s="168">
        <v>0.35</v>
      </c>
    </row>
    <row r="221" ht="15.75" customHeight="1">
      <c r="A221" s="140" t="s">
        <v>695</v>
      </c>
      <c r="B221" s="169">
        <v>44994.0</v>
      </c>
      <c r="C221" s="169">
        <v>45001.0</v>
      </c>
      <c r="D221" s="170" t="s">
        <v>712</v>
      </c>
      <c r="E221" s="166" t="s">
        <v>707</v>
      </c>
      <c r="F221" s="167"/>
      <c r="G221" s="167">
        <f t="shared" si="17"/>
        <v>0</v>
      </c>
      <c r="H221" s="168">
        <v>0.3</v>
      </c>
    </row>
    <row r="222" ht="15.75" customHeight="1">
      <c r="A222" s="140" t="s">
        <v>695</v>
      </c>
      <c r="B222" s="169">
        <v>44994.0</v>
      </c>
      <c r="C222" s="169">
        <v>45001.0</v>
      </c>
      <c r="D222" s="170" t="s">
        <v>712</v>
      </c>
      <c r="E222" s="166" t="s">
        <v>709</v>
      </c>
      <c r="F222" s="167">
        <v>24.99</v>
      </c>
      <c r="G222" s="167">
        <f t="shared" si="17"/>
        <v>18.7425</v>
      </c>
      <c r="H222" s="168">
        <v>0.25</v>
      </c>
    </row>
    <row r="223" ht="15.75" customHeight="1">
      <c r="A223" s="140" t="s">
        <v>695</v>
      </c>
      <c r="B223" s="169">
        <v>44994.0</v>
      </c>
      <c r="C223" s="169">
        <v>45001.0</v>
      </c>
      <c r="D223" s="170" t="s">
        <v>712</v>
      </c>
      <c r="E223" s="166" t="s">
        <v>100</v>
      </c>
      <c r="F223" s="167">
        <v>24.99</v>
      </c>
      <c r="G223" s="167">
        <f t="shared" si="17"/>
        <v>18.7425</v>
      </c>
      <c r="H223" s="168">
        <v>0.25</v>
      </c>
    </row>
    <row r="224" ht="15.75" customHeight="1">
      <c r="A224" s="140" t="s">
        <v>695</v>
      </c>
      <c r="B224" s="169">
        <v>44994.0</v>
      </c>
      <c r="C224" s="169">
        <v>45001.0</v>
      </c>
      <c r="D224" s="170" t="s">
        <v>712</v>
      </c>
      <c r="E224" s="166" t="s">
        <v>711</v>
      </c>
      <c r="F224" s="167"/>
      <c r="G224" s="167"/>
      <c r="H224" s="168">
        <v>0.2</v>
      </c>
    </row>
    <row r="225" ht="15.75" customHeight="1">
      <c r="A225" s="172"/>
      <c r="B225" s="172"/>
      <c r="C225" s="172"/>
      <c r="D225" s="172"/>
      <c r="E225" s="172"/>
      <c r="F225" s="173"/>
      <c r="G225" s="173"/>
      <c r="H225" s="173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ht="15.75" customHeight="1">
      <c r="A226" s="4" t="s">
        <v>506</v>
      </c>
      <c r="B226" s="4" t="s">
        <v>2</v>
      </c>
      <c r="C226" s="4" t="s">
        <v>6</v>
      </c>
      <c r="D226" s="4" t="s">
        <v>7</v>
      </c>
      <c r="E226" s="4" t="s">
        <v>8</v>
      </c>
      <c r="F226" s="7" t="s">
        <v>9</v>
      </c>
      <c r="G226" s="7" t="s">
        <v>10</v>
      </c>
      <c r="H226" s="7" t="s">
        <v>11</v>
      </c>
    </row>
    <row r="227" ht="15.75" customHeight="1">
      <c r="A227" s="174" t="s">
        <v>715</v>
      </c>
      <c r="B227" s="175">
        <v>44906.0</v>
      </c>
      <c r="C227" s="175">
        <v>44923.0</v>
      </c>
      <c r="D227" s="174" t="s">
        <v>716</v>
      </c>
      <c r="E227" s="174" t="s">
        <v>24</v>
      </c>
      <c r="F227" s="176">
        <v>29.99</v>
      </c>
      <c r="G227" s="176">
        <v>16.49</v>
      </c>
      <c r="H227" s="177">
        <v>0.45</v>
      </c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1:H11"/>
    <mergeCell ref="A90:H90"/>
    <mergeCell ref="A141:H141"/>
    <mergeCell ref="A207:H207"/>
  </mergeCells>
  <drawing r:id="rId1"/>
</worksheet>
</file>